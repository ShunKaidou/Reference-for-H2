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thermofisher.sharepoint.com/sites/HenkelProjectInternalTeam/Shared Documents/General/05 RTM/"/>
    </mc:Choice>
  </mc:AlternateContent>
  <xr:revisionPtr revIDLastSave="136" documentId="13_ncr:1_{5A539912-ABDF-424C-A3CB-F1A0AA4B6379}" xr6:coauthVersionLast="47" xr6:coauthVersionMax="47" xr10:uidLastSave="{959E358E-DEB9-4928-891D-7FEDDF509514}"/>
  <bookViews>
    <workbookView xWindow="-110" yWindow="-110" windowWidth="19420" windowHeight="10300" tabRatio="903" xr2:uid="{00000000-000D-0000-FFFF-FFFF00000000}"/>
  </bookViews>
  <sheets>
    <sheet name="Updated Gap Analysis" sheetId="20" r:id="rId1"/>
    <sheet name="Workflow" sheetId="21" r:id="rId2"/>
    <sheet name="SAP" sheetId="23" r:id="rId3"/>
    <sheet name="Dashboard" sheetId="22" r:id="rId4"/>
    <sheet name="Dashboard details" sheetId="2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4" l="1"/>
  <c r="A2" i="23"/>
  <c r="A3" i="23"/>
  <c r="A4" i="23"/>
  <c r="A5" i="23"/>
  <c r="A6" i="23"/>
  <c r="A7" i="23"/>
  <c r="A8" i="23"/>
  <c r="A9" i="23"/>
  <c r="A10" i="23"/>
  <c r="D11" i="22"/>
</calcChain>
</file>

<file path=xl/sharedStrings.xml><?xml version="1.0" encoding="utf-8"?>
<sst xmlns="http://schemas.openxmlformats.org/spreadsheetml/2006/main" count="247" uniqueCount="172">
  <si>
    <t>No</t>
  </si>
  <si>
    <t>Key tasks/Milestones</t>
    <phoneticPr fontId="2" type="noConversion"/>
  </si>
  <si>
    <t>Content</t>
    <phoneticPr fontId="2" type="noConversion"/>
  </si>
  <si>
    <t>Deliverables</t>
    <phoneticPr fontId="2" type="noConversion"/>
  </si>
  <si>
    <t>PPA Original</t>
    <phoneticPr fontId="2" type="noConversion"/>
  </si>
  <si>
    <t>PPA Estimation After workshop</t>
    <phoneticPr fontId="2" type="noConversion"/>
  </si>
  <si>
    <t>PPA Gap</t>
    <phoneticPr fontId="2" type="noConversion"/>
  </si>
  <si>
    <t>PPB Original</t>
    <phoneticPr fontId="2" type="noConversion"/>
  </si>
  <si>
    <t>PPB Estimation After workshop</t>
    <phoneticPr fontId="2" type="noConversion"/>
  </si>
  <si>
    <t>PPB Gap</t>
    <phoneticPr fontId="2" type="noConversion"/>
  </si>
  <si>
    <t>SOW No.</t>
  </si>
  <si>
    <r>
      <t>1.</t>
    </r>
    <r>
      <rPr>
        <sz val="7"/>
        <color theme="1"/>
        <rFont val="Times New Roman"/>
        <family val="1"/>
      </rPr>
      <t xml:space="preserve">   </t>
    </r>
    <r>
      <rPr>
        <sz val="10"/>
        <color theme="1"/>
        <rFont val="宋体"/>
        <family val="3"/>
        <charset val="134"/>
      </rPr>
      <t> </t>
    </r>
  </si>
  <si>
    <t>Kick-off &amp; General Project Effort</t>
    <phoneticPr fontId="2" type="noConversion"/>
  </si>
  <si>
    <t>Workshop</t>
    <phoneticPr fontId="2" type="noConversion"/>
  </si>
  <si>
    <t>Project management alignment, etc</t>
    <phoneticPr fontId="2" type="noConversion"/>
  </si>
  <si>
    <r>
      <t>2.</t>
    </r>
    <r>
      <rPr>
        <sz val="7"/>
        <color theme="1"/>
        <rFont val="Times New Roman"/>
        <family val="1"/>
      </rPr>
      <t xml:space="preserve">   </t>
    </r>
    <r>
      <rPr>
        <sz val="10"/>
        <color theme="1"/>
        <rFont val="宋体"/>
        <family val="3"/>
        <charset val="134"/>
      </rPr>
      <t> </t>
    </r>
  </si>
  <si>
    <t>SampleManager Training</t>
    <phoneticPr fontId="2" type="noConversion"/>
  </si>
  <si>
    <t>User training</t>
    <phoneticPr fontId="2" type="noConversion"/>
  </si>
  <si>
    <t>SampleManager Standard Course</t>
    <phoneticPr fontId="2" type="noConversion"/>
  </si>
  <si>
    <r>
      <t>3.</t>
    </r>
    <r>
      <rPr>
        <sz val="7"/>
        <color theme="1"/>
        <rFont val="Times New Roman"/>
        <family val="1"/>
      </rPr>
      <t xml:space="preserve">   </t>
    </r>
    <r>
      <rPr>
        <sz val="10"/>
        <color theme="1"/>
        <rFont val="宋体"/>
        <family val="3"/>
        <charset val="134"/>
      </rPr>
      <t> </t>
    </r>
  </si>
  <si>
    <t>Requirements Gathering Workshops and Architecture analysis</t>
    <phoneticPr fontId="2" type="noConversion"/>
  </si>
  <si>
    <t>Requirements Gathering, RTM signoff</t>
    <phoneticPr fontId="2" type="noConversion"/>
  </si>
  <si>
    <t>RTM</t>
    <phoneticPr fontId="2" type="noConversion"/>
  </si>
  <si>
    <t>Instrument Investigation</t>
    <phoneticPr fontId="2" type="noConversion"/>
  </si>
  <si>
    <t>Instrument Survey</t>
    <phoneticPr fontId="2" type="noConversion"/>
  </si>
  <si>
    <r>
      <t>4.</t>
    </r>
    <r>
      <rPr>
        <sz val="7"/>
        <color theme="1"/>
        <rFont val="Times New Roman"/>
        <family val="1"/>
      </rPr>
      <t xml:space="preserve">   </t>
    </r>
    <r>
      <rPr>
        <sz val="10"/>
        <color theme="1"/>
        <rFont val="宋体"/>
        <family val="3"/>
        <charset val="134"/>
      </rPr>
      <t> </t>
    </r>
  </si>
  <si>
    <t>Installation and deployment on Dev, Test and Prod servers</t>
    <phoneticPr fontId="2" type="noConversion"/>
  </si>
  <si>
    <t>Environment installation (Test, PROD)</t>
    <phoneticPr fontId="2" type="noConversion"/>
  </si>
  <si>
    <t>Finish the installation</t>
    <phoneticPr fontId="2" type="noConversion"/>
  </si>
  <si>
    <r>
      <t>5.</t>
    </r>
    <r>
      <rPr>
        <sz val="7"/>
        <color theme="1"/>
        <rFont val="Times New Roman"/>
        <family val="1"/>
      </rPr>
      <t xml:space="preserve">   </t>
    </r>
    <r>
      <rPr>
        <sz val="10"/>
        <color theme="1"/>
        <rFont val="宋体"/>
        <family val="3"/>
        <charset val="134"/>
      </rPr>
      <t> </t>
    </r>
  </si>
  <si>
    <t>Function implementation</t>
    <phoneticPr fontId="2" type="noConversion"/>
  </si>
  <si>
    <t xml:space="preserve">Sample  </t>
  </si>
  <si>
    <t>System with functions implemented</t>
    <phoneticPr fontId="2" type="noConversion"/>
  </si>
  <si>
    <t>4,5</t>
  </si>
  <si>
    <t>Stock</t>
  </si>
  <si>
    <t>Instrument</t>
  </si>
  <si>
    <t>Retain</t>
  </si>
  <si>
    <t>Security</t>
  </si>
  <si>
    <t>Training</t>
  </si>
  <si>
    <t>Other</t>
    <phoneticPr fontId="2" type="noConversion"/>
  </si>
  <si>
    <t>Report (6, not statistics)</t>
    <phoneticPr fontId="2" type="noConversion"/>
  </si>
  <si>
    <t>Label (8)</t>
    <phoneticPr fontId="2" type="noConversion"/>
  </si>
  <si>
    <t>Workflow (4 + 10)</t>
    <phoneticPr fontId="2" type="noConversion"/>
  </si>
  <si>
    <t>Dashboard (1 static)</t>
    <phoneticPr fontId="2" type="noConversion"/>
  </si>
  <si>
    <t>Shift&amp; Scheduler</t>
  </si>
  <si>
    <r>
      <t>6.</t>
    </r>
    <r>
      <rPr>
        <sz val="7"/>
        <color theme="1"/>
        <rFont val="Times New Roman"/>
        <family val="1"/>
      </rPr>
      <t xml:space="preserve">   </t>
    </r>
    <r>
      <rPr>
        <sz val="10"/>
        <color theme="1"/>
        <rFont val="宋体"/>
        <family val="3"/>
        <charset val="134"/>
      </rPr>
      <t> </t>
    </r>
  </si>
  <si>
    <t>Interfaces</t>
    <phoneticPr fontId="2" type="noConversion"/>
  </si>
  <si>
    <t>A:SAP</t>
  </si>
  <si>
    <t>Interfaces modules</t>
    <phoneticPr fontId="2" type="noConversion"/>
  </si>
  <si>
    <r>
      <t xml:space="preserve">B:Vegam, </t>
    </r>
    <r>
      <rPr>
        <sz val="11"/>
        <color rgb="FF000000"/>
        <rFont val="宋体"/>
        <family val="3"/>
        <charset val="134"/>
      </rPr>
      <t>OSDP</t>
    </r>
    <phoneticPr fontId="2" type="noConversion"/>
  </si>
  <si>
    <r>
      <t>7.</t>
    </r>
    <r>
      <rPr>
        <sz val="7"/>
        <color theme="1"/>
        <rFont val="Times New Roman"/>
        <family val="1"/>
      </rPr>
      <t xml:space="preserve">   </t>
    </r>
    <r>
      <rPr>
        <sz val="10"/>
        <color theme="1"/>
        <rFont val="宋体"/>
        <family val="3"/>
        <charset val="134"/>
      </rPr>
      <t> </t>
    </r>
  </si>
  <si>
    <t>Basic Data Entry</t>
    <phoneticPr fontId="2" type="noConversion"/>
  </si>
  <si>
    <t>Static Data Assistance</t>
    <phoneticPr fontId="2" type="noConversion"/>
  </si>
  <si>
    <t>Finish the Data entry</t>
    <phoneticPr fontId="2" type="noConversion"/>
  </si>
  <si>
    <t>LES</t>
  </si>
  <si>
    <r>
      <t>8.</t>
    </r>
    <r>
      <rPr>
        <sz val="7"/>
        <color theme="1"/>
        <rFont val="Times New Roman"/>
        <family val="1"/>
      </rPr>
      <t xml:space="preserve">   </t>
    </r>
    <r>
      <rPr>
        <sz val="10"/>
        <color theme="1"/>
        <rFont val="宋体"/>
        <family val="3"/>
        <charset val="134"/>
      </rPr>
      <t> </t>
    </r>
  </si>
  <si>
    <t>Instrument Integration</t>
    <phoneticPr fontId="2" type="noConversion"/>
  </si>
  <si>
    <r>
      <t>Instrument Integration (</t>
    </r>
    <r>
      <rPr>
        <sz val="10"/>
        <color rgb="FF000000"/>
        <rFont val="宋体"/>
        <family val="3"/>
        <charset val="134"/>
      </rPr>
      <t>A</t>
    </r>
    <r>
      <rPr>
        <sz val="10"/>
        <color rgb="FF000000"/>
        <rFont val="等线"/>
        <family val="3"/>
        <charset val="134"/>
      </rPr>
      <t>：</t>
    </r>
    <r>
      <rPr>
        <sz val="10"/>
        <color rgb="FF000000"/>
        <rFont val="宋体"/>
        <family val="3"/>
        <charset val="134"/>
      </rPr>
      <t>3+5</t>
    </r>
    <phoneticPr fontId="2" type="noConversion"/>
  </si>
  <si>
    <r>
      <t>/ B</t>
    </r>
    <r>
      <rPr>
        <sz val="10"/>
        <color rgb="FF000000"/>
        <rFont val="等线"/>
        <family val="3"/>
        <charset val="134"/>
      </rPr>
      <t>：</t>
    </r>
    <r>
      <rPr>
        <sz val="10"/>
        <color rgb="FF000000"/>
        <rFont val="宋体"/>
        <family val="3"/>
        <charset val="134"/>
      </rPr>
      <t>2+10)</t>
    </r>
    <phoneticPr fontId="2" type="noConversion"/>
  </si>
  <si>
    <r>
      <t>9.</t>
    </r>
    <r>
      <rPr>
        <sz val="7"/>
        <color theme="1"/>
        <rFont val="Times New Roman"/>
        <family val="1"/>
      </rPr>
      <t xml:space="preserve">   </t>
    </r>
    <r>
      <rPr>
        <sz val="10"/>
        <color theme="1"/>
        <rFont val="宋体"/>
        <family val="3"/>
        <charset val="134"/>
      </rPr>
      <t> </t>
    </r>
  </si>
  <si>
    <t>Documentation</t>
    <phoneticPr fontId="2" type="noConversion"/>
  </si>
  <si>
    <t xml:space="preserve"> RTM, Functional Specification, Configuration Summary, User Manual for SampleManager, and Instrument connection repository </t>
    <phoneticPr fontId="2" type="noConversion"/>
  </si>
  <si>
    <t>Deliver the documents</t>
    <phoneticPr fontId="2" type="noConversion"/>
  </si>
  <si>
    <r>
      <t>10.</t>
    </r>
    <r>
      <rPr>
        <sz val="7"/>
        <color theme="1"/>
        <rFont val="Times New Roman"/>
        <family val="1"/>
      </rPr>
      <t xml:space="preserve"> </t>
    </r>
    <r>
      <rPr>
        <sz val="10"/>
        <color theme="1"/>
        <rFont val="宋体"/>
        <family val="3"/>
        <charset val="134"/>
      </rPr>
      <t> </t>
    </r>
  </si>
  <si>
    <t>System Integration Testing</t>
    <phoneticPr fontId="2" type="noConversion"/>
  </si>
  <si>
    <t>Finish System Integration Testing</t>
    <phoneticPr fontId="2" type="noConversion"/>
  </si>
  <si>
    <r>
      <t>11.</t>
    </r>
    <r>
      <rPr>
        <sz val="7"/>
        <color theme="1"/>
        <rFont val="Times New Roman"/>
        <family val="1"/>
      </rPr>
      <t xml:space="preserve"> </t>
    </r>
    <r>
      <rPr>
        <sz val="10"/>
        <color theme="1"/>
        <rFont val="宋体"/>
        <family val="3"/>
        <charset val="134"/>
      </rPr>
      <t> </t>
    </r>
  </si>
  <si>
    <t>UAT and Go Live Support</t>
    <phoneticPr fontId="2" type="noConversion"/>
  </si>
  <si>
    <t>Hypercare</t>
    <phoneticPr fontId="2" type="noConversion"/>
  </si>
  <si>
    <r>
      <t>12.</t>
    </r>
    <r>
      <rPr>
        <sz val="7"/>
        <color theme="1"/>
        <rFont val="Times New Roman"/>
        <family val="1"/>
      </rPr>
      <t xml:space="preserve"> </t>
    </r>
    <r>
      <rPr>
        <sz val="10"/>
        <color theme="1"/>
        <rFont val="宋体"/>
        <family val="3"/>
        <charset val="134"/>
      </rPr>
      <t> </t>
    </r>
  </si>
  <si>
    <t>Project Management</t>
    <phoneticPr fontId="2" type="noConversion"/>
  </si>
  <si>
    <t>Project Plan, Communication, Resource management, Quality Ensurrance, Progress management, Risks, etc.</t>
    <phoneticPr fontId="2" type="noConversion"/>
  </si>
  <si>
    <t>Weekly status Report</t>
    <phoneticPr fontId="2" type="noConversion"/>
  </si>
  <si>
    <r>
      <t>13.</t>
    </r>
    <r>
      <rPr>
        <sz val="7"/>
        <color theme="1"/>
        <rFont val="Times New Roman"/>
        <family val="1"/>
      </rPr>
      <t xml:space="preserve"> </t>
    </r>
    <r>
      <rPr>
        <sz val="10"/>
        <color theme="1"/>
        <rFont val="宋体"/>
        <family val="3"/>
        <charset val="134"/>
      </rPr>
      <t> </t>
    </r>
  </si>
  <si>
    <t>Total</t>
    <phoneticPr fontId="2" type="noConversion"/>
  </si>
  <si>
    <t>No</t>
    <phoneticPr fontId="2" type="noConversion"/>
  </si>
  <si>
    <t>Add function: Test result copy</t>
    <phoneticPr fontId="2" type="noConversion"/>
  </si>
  <si>
    <t>Remove two OOO items</t>
    <phoneticPr fontId="2" type="noConversion"/>
  </si>
  <si>
    <t>B</t>
  </si>
  <si>
    <t>Capture ECoA result and keep in SAP/QCLaD</t>
  </si>
  <si>
    <t>A</t>
  </si>
  <si>
    <t>Perform skip lot testing (configure by user)</t>
  </si>
  <si>
    <t>Moving sample/material to storage location</t>
  </si>
  <si>
    <r>
      <t>Moving sample/material to storage location(</t>
    </r>
    <r>
      <rPr>
        <sz val="12"/>
        <color rgb="FFFF0000"/>
        <rFont val="等线"/>
        <family val="2"/>
        <scheme val="minor"/>
      </rPr>
      <t>pending</t>
    </r>
    <r>
      <rPr>
        <sz val="12"/>
        <color theme="1"/>
        <rFont val="等线"/>
        <family val="2"/>
        <scheme val="minor"/>
      </rPr>
      <t xml:space="preserve">)  </t>
    </r>
  </si>
  <si>
    <t>Support Workflow</t>
  </si>
  <si>
    <t>Testing for Customer/Supplier/PD/TCS/Other sites/MOC/NPI / Improvement project (Including, Stability studies (shelf-life study, aging test, reliability test, etc.))</t>
  </si>
  <si>
    <t>Test for NCMR-Shelf life extension (RM, SFG, FG, Package material, consumble &amp; Instrument calibration sample)</t>
  </si>
  <si>
    <t>Note: SCMS: supplier complaint management system;NCMR: nonconformance management system;CCMS: custome complaint management system</t>
  </si>
  <si>
    <t>Test for SCMS/NCMR /CCMS investigation (Based on SCMS, NCMR, CCMS type)</t>
  </si>
  <si>
    <t xml:space="preserve">Test for SCMS/NCMR /CCMS investigation (Based on SCMS, NCMR, CCMS type)
</t>
  </si>
  <si>
    <t>Certification test for QC technician</t>
  </si>
  <si>
    <t xml:space="preserve">Test for MSA  </t>
  </si>
  <si>
    <t>/</t>
  </si>
  <si>
    <r>
      <t>Test for MSA(</t>
    </r>
    <r>
      <rPr>
        <sz val="12"/>
        <color rgb="FFFF0000"/>
        <rFont val="等线"/>
        <family val="2"/>
        <scheme val="minor"/>
      </rPr>
      <t>pending</t>
    </r>
    <r>
      <rPr>
        <sz val="12"/>
        <color rgb="FF000000"/>
        <rFont val="等线"/>
        <family val="2"/>
        <scheme val="minor"/>
      </rPr>
      <t xml:space="preserve">)  </t>
    </r>
  </si>
  <si>
    <t>Instrument calibration sample test</t>
  </si>
  <si>
    <t>Package material incoming test  (Note: Dragon package material has IDH#, no batch# manage in SAP)</t>
  </si>
  <si>
    <t>Consumables incoming test</t>
  </si>
  <si>
    <t xml:space="preserve">Standard finished goods outgoing test. </t>
  </si>
  <si>
    <t>Standard in process testing for semi finished and finished goods</t>
  </si>
  <si>
    <t>Add a new function: Test result copy</t>
    <phoneticPr fontId="2" type="noConversion"/>
  </si>
  <si>
    <t>7 + 3</t>
    <phoneticPr fontId="2" type="noConversion"/>
  </si>
  <si>
    <t xml:space="preserve">Standard Raw Material (RM) testing for incoming </t>
  </si>
  <si>
    <t>Standard RM test for Incoming</t>
  </si>
  <si>
    <t>Phase</t>
  </si>
  <si>
    <t>Old SOW</t>
  </si>
  <si>
    <t>Main Workflow</t>
  </si>
  <si>
    <t>New Estimate</t>
  </si>
  <si>
    <t>Old</t>
  </si>
  <si>
    <t>New</t>
  </si>
  <si>
    <t>SOW:3days</t>
    <phoneticPr fontId="2" type="noConversion"/>
  </si>
  <si>
    <t xml:space="preserve">The dashboard shall display: anotther column chart in which x axis has the Sample Count, and y axis has the inspection type (IQC, OQC, IPQC), and the column chart should be colour-coded according to the sample status (Not Started, Test in Progress, Test Completed). </t>
    <phoneticPr fontId="2" type="noConversion"/>
  </si>
  <si>
    <t>4.11.1.9</t>
  </si>
  <si>
    <t>The dashboard shall display:the column chart in which x axis has the Sample Count, and y axis has the product line. and the column chart is coloured according to the status of the samples (Not Started, Test in Progress, Test Completed).</t>
    <phoneticPr fontId="2" type="noConversion"/>
  </si>
  <si>
    <t>4.11.1.8</t>
  </si>
  <si>
    <t>The dashboard shall display: list of urgent sample</t>
  </si>
  <si>
    <t>4.11.1.7</t>
  </si>
  <si>
    <t>The dashboard shall display: list of delayed sample</t>
  </si>
  <si>
    <t>4.11.1.6</t>
  </si>
  <si>
    <t>The dashboard shall display: of the criteria, the statistic of all the tasks :
Count of samples received on the same day that were not reviewed and completed
Count of samples received prior to the day that were not audited and completed
Count of samples completed
Count of samples in-testing
Count of not started
Count of delayed sample
Count of urgent sample</t>
    <phoneticPr fontId="2" type="noConversion"/>
  </si>
  <si>
    <t>4.11.1.5</t>
  </si>
  <si>
    <t xml:space="preserve">The dashboard shall display: Date of the day, of that day, the lists of on-duty operators, only showing the operator ID </t>
    <phoneticPr fontId="2" type="noConversion"/>
  </si>
  <si>
    <t>4.11.1.4</t>
  </si>
  <si>
    <t>Dynamic dashboards with default conditions are filtered by plant, work centre, business team(group) where the currently logged in person is located.</t>
    <phoneticPr fontId="2" type="noConversion"/>
  </si>
  <si>
    <t>4.11.1.3</t>
  </si>
  <si>
    <t>The static dashboard with filters has the following filters:plant, work center,  business team(group)</t>
    <phoneticPr fontId="2" type="noConversion"/>
  </si>
  <si>
    <t>4.11.1.2</t>
  </si>
  <si>
    <t>Two dashboards are required, a static dashboard with filtered conditions and a dynamic dashboard with default conditions with timed refreshes; the content displayed in both dashboards is the same</t>
  </si>
  <si>
    <t>4.11.1.1</t>
  </si>
  <si>
    <t>Days</t>
    <phoneticPr fontId="2" type="noConversion"/>
  </si>
  <si>
    <t>Henkel requirements</t>
    <phoneticPr fontId="2" type="noConversion"/>
  </si>
  <si>
    <t>RTM Reference</t>
    <phoneticPr fontId="2" type="noConversion"/>
  </si>
  <si>
    <t>No.</t>
    <phoneticPr fontId="2" type="noConversion"/>
  </si>
  <si>
    <t>Extra Effort</t>
    <phoneticPr fontId="2" type="noConversion"/>
  </si>
  <si>
    <t>SMIDI:28 + Cus:27 = 55</t>
    <phoneticPr fontId="2" type="noConversion"/>
  </si>
  <si>
    <t>SOW:28days</t>
    <phoneticPr fontId="2" type="noConversion"/>
  </si>
  <si>
    <t xml:space="preserve">1)  No, read these results is impossible. 
	Only the first test result can be send back.
2)  Yes, configure in SAP
3) Depending on the SAP setup this is possible.  </t>
    <phoneticPr fontId="2" type="noConversion"/>
  </si>
  <si>
    <t>1)  No
2)  Yes
3）Yes
4）Yes</t>
    <phoneticPr fontId="2" type="noConversion"/>
  </si>
  <si>
    <t>4.5.1.9</t>
  </si>
  <si>
    <t>SMIDI cannot get info from seperate table</t>
    <phoneticPr fontId="2" type="noConversion"/>
  </si>
  <si>
    <t>4.5.1.8</t>
  </si>
  <si>
    <t xml:space="preserve">No
</t>
    <phoneticPr fontId="2" type="noConversion"/>
  </si>
  <si>
    <t>4.5.1.7</t>
  </si>
  <si>
    <t>customer want to sync in real time, but In SMIDI is impossible.</t>
    <phoneticPr fontId="2" type="noConversion"/>
  </si>
  <si>
    <t>4.5.1.6</t>
  </si>
  <si>
    <t>4.5.1.5</t>
  </si>
  <si>
    <t>4.5.1.4</t>
  </si>
  <si>
    <t>4.5.1.3</t>
  </si>
  <si>
    <r>
      <t>solution 1-SMIDI：Add fields from Batch information to QAIVC table,Write directly to the sample table，</t>
    </r>
    <r>
      <rPr>
        <b/>
        <sz val="11"/>
        <color theme="4" tint="-0.499984740745262"/>
        <rFont val="等线"/>
        <family val="3"/>
        <charset val="134"/>
        <scheme val="minor"/>
      </rPr>
      <t>Need confirmation by Henkel</t>
    </r>
    <r>
      <rPr>
        <sz val="11"/>
        <color theme="1"/>
        <rFont val="等线"/>
        <family val="2"/>
        <scheme val="minor"/>
      </rPr>
      <t xml:space="preserve">,--  0days
solution 2:Batch information is a separate entity that needs to be downloaded to the Batch table in QCLAD. -- 4days
solution 3-Cus：Put the Batch field into the JSON string downloaded by lot and write it directly to the sample table；-- 0days
</t>
    </r>
    <phoneticPr fontId="2" type="noConversion"/>
  </si>
  <si>
    <t>Yes, solution 1</t>
    <phoneticPr fontId="2" type="noConversion"/>
  </si>
  <si>
    <t>4.5.1.2</t>
  </si>
  <si>
    <t xml:space="preserve">	
1) Yes
2)  YES
3)  YES</t>
    <phoneticPr fontId="2" type="noConversion"/>
  </si>
  <si>
    <t>4.5.1.1</t>
  </si>
  <si>
    <t>Commends</t>
    <phoneticPr fontId="2" type="noConversion"/>
  </si>
  <si>
    <t>Customisation- Day</t>
    <phoneticPr fontId="2" type="noConversion"/>
  </si>
  <si>
    <t>SMIDI + Customisation - Day</t>
    <phoneticPr fontId="2" type="noConversion"/>
  </si>
  <si>
    <t>Can be done by SMIDI</t>
    <phoneticPr fontId="2" type="noConversion"/>
  </si>
  <si>
    <t>Priority</t>
    <phoneticPr fontId="2" type="noConversion"/>
  </si>
  <si>
    <r>
      <t xml:space="preserve">Dynamic dashboards with default conditions are filtered by plant, work centre, business team(group) where the currently logged in p
erson is located.
</t>
    </r>
    <r>
      <rPr>
        <sz val="11"/>
        <color rgb="FFFF0000"/>
        <rFont val="等线"/>
        <family val="3"/>
        <charset val="134"/>
        <scheme val="minor"/>
      </rPr>
      <t>1. Plant filter on the top</t>
    </r>
    <r>
      <rPr>
        <sz val="11"/>
        <color theme="1"/>
        <rFont val="等线"/>
        <family val="2"/>
        <scheme val="minor"/>
      </rPr>
      <t xml:space="preserve">
</t>
    </r>
    <r>
      <rPr>
        <sz val="11"/>
        <color rgb="FFFF0000"/>
        <rFont val="等线"/>
        <family val="3"/>
        <charset val="134"/>
        <scheme val="minor"/>
      </rPr>
      <t>2. Work center filter below Plant filter
3. Business Team filter - 对应到Team 下拉三角形</t>
    </r>
    <phoneticPr fontId="2" type="noConversion"/>
  </si>
  <si>
    <r>
      <t xml:space="preserve">The static dashboard with filters has the following filters:plant, work center,  business team(group)
</t>
    </r>
    <r>
      <rPr>
        <sz val="11"/>
        <color rgb="FFFF0000"/>
        <rFont val="等线"/>
        <family val="3"/>
        <charset val="134"/>
        <scheme val="minor"/>
      </rPr>
      <t>1. 与1.3相同是静态Dashboard的功能</t>
    </r>
    <phoneticPr fontId="2" type="noConversion"/>
  </si>
  <si>
    <r>
      <t xml:space="preserve">The dashboard shall display: Date of the day, of that day, the lists of on-duty operators, only showing the operator ID 
</t>
    </r>
    <r>
      <rPr>
        <sz val="11"/>
        <color rgb="FFFF0000"/>
        <rFont val="等线"/>
        <family val="3"/>
        <charset val="134"/>
        <scheme val="minor"/>
      </rPr>
      <t>1. 显示当天日期
2. 显示业务组的当天在班的成员ID</t>
    </r>
    <phoneticPr fontId="2" type="noConversion"/>
  </si>
  <si>
    <r>
      <t xml:space="preserve">The dashboard shall display: of the criteria, the statistic of all the tasks :
Count of samples received on the same day that were not reviewed and completed
Count of samples received prior to the day that were not audited and completed
Count of samples completed
Count of samples in-testing
Count of not started
Count of delayed sample
Count of urgent sample
</t>
    </r>
    <r>
      <rPr>
        <sz val="11"/>
        <color rgb="FFFF0000"/>
        <rFont val="等线"/>
        <family val="3"/>
        <charset val="134"/>
        <scheme val="minor"/>
      </rPr>
      <t>仪表盘中需显示：
当天收样但未审核完成的样品数量 
当天之前收样但未审核完成的样品数量
测试已完成的样品数量completed --</t>
    </r>
    <r>
      <rPr>
        <sz val="11"/>
        <color theme="4" tint="-0.499984740745262"/>
        <rFont val="等线"/>
        <family val="3"/>
        <charset val="134"/>
        <scheme val="minor"/>
      </rPr>
      <t>系统内状态</t>
    </r>
    <r>
      <rPr>
        <sz val="11"/>
        <color rgb="FFFF0000"/>
        <rFont val="等线"/>
        <family val="3"/>
        <charset val="134"/>
        <scheme val="minor"/>
      </rPr>
      <t xml:space="preserve">
测试中的样品数量in-testing（sample状态为Available，sample下 test存在In Progress，Completed、Authorised状态的）-- </t>
    </r>
    <r>
      <rPr>
        <sz val="11"/>
        <color theme="4" tint="-0.499984740745262"/>
        <rFont val="等线"/>
        <family val="3"/>
        <charset val="134"/>
        <scheme val="minor"/>
      </rPr>
      <t>系统外状态，需要逻辑处理</t>
    </r>
    <r>
      <rPr>
        <sz val="11"/>
        <color rgb="FFFF0000"/>
        <rFont val="等线"/>
        <family val="3"/>
        <charset val="134"/>
        <scheme val="minor"/>
      </rPr>
      <t xml:space="preserve">
未开始的样品数量not started（sample状态为Available，且sample下的test没有In Progress、Completed、Authorised 、Rejected状态的）-- </t>
    </r>
    <r>
      <rPr>
        <sz val="11"/>
        <color theme="4" tint="-0.499984740745262"/>
        <rFont val="等线"/>
        <family val="3"/>
        <charset val="134"/>
        <scheme val="minor"/>
      </rPr>
      <t>系统外状态，需要逻辑处理</t>
    </r>
    <r>
      <rPr>
        <sz val="11"/>
        <color rgb="FFFF0000"/>
        <rFont val="等线"/>
        <family val="3"/>
        <charset val="134"/>
        <scheme val="minor"/>
      </rPr>
      <t xml:space="preserve">
the count of delayed sample -- </t>
    </r>
    <r>
      <rPr>
        <sz val="11"/>
        <color theme="4" tint="-0.499984740745262"/>
        <rFont val="等线"/>
        <family val="3"/>
        <charset val="134"/>
        <scheme val="minor"/>
      </rPr>
      <t>需要额外先把预计完成时间算出来</t>
    </r>
    <r>
      <rPr>
        <sz val="11"/>
        <color rgb="FFFF0000"/>
        <rFont val="等线"/>
        <family val="3"/>
        <charset val="134"/>
        <scheme val="minor"/>
      </rPr>
      <t xml:space="preserve">
the count of urgent sample -- </t>
    </r>
    <r>
      <rPr>
        <sz val="11"/>
        <color theme="4" tint="-0.499984740745262"/>
        <rFont val="等线"/>
        <family val="3"/>
        <charset val="134"/>
        <scheme val="minor"/>
      </rPr>
      <t>需要额外字段标识</t>
    </r>
    <phoneticPr fontId="2" type="noConversion"/>
  </si>
  <si>
    <r>
      <t xml:space="preserve">The dashboard shall display:the column chart in which x axis has the Sample Count, and y axis has the product line. and the column chart is coloured according to the status of the samples (Not Started, Test in Progress, Test Completed).
</t>
    </r>
    <r>
      <rPr>
        <sz val="11"/>
        <color rgb="FFFF0000"/>
        <rFont val="等线"/>
        <family val="3"/>
        <charset val="134"/>
        <scheme val="minor"/>
      </rPr>
      <t>1. 横坐标数量，纵坐标产线
2. 且柱状图中按照样品状态（未开始-</t>
    </r>
    <r>
      <rPr>
        <sz val="11"/>
        <color theme="4" tint="-0.499984740745262"/>
        <rFont val="等线"/>
        <family val="3"/>
        <charset val="134"/>
        <scheme val="minor"/>
      </rPr>
      <t>额外逻辑处理</t>
    </r>
    <r>
      <rPr>
        <sz val="11"/>
        <color rgb="FFFF0000"/>
        <rFont val="等线"/>
        <family val="3"/>
        <charset val="134"/>
        <scheme val="minor"/>
      </rPr>
      <t>，测试中-</t>
    </r>
    <r>
      <rPr>
        <sz val="11"/>
        <color theme="4" tint="-0.499984740745262"/>
        <rFont val="等线"/>
        <family val="3"/>
        <charset val="134"/>
        <scheme val="minor"/>
      </rPr>
      <t>额外逻辑处理</t>
    </r>
    <r>
      <rPr>
        <sz val="11"/>
        <color rgb="FFFF0000"/>
        <rFont val="等线"/>
        <family val="3"/>
        <charset val="134"/>
        <scheme val="minor"/>
      </rPr>
      <t>，测试已完成）分颜色显示</t>
    </r>
    <phoneticPr fontId="2" type="noConversion"/>
  </si>
  <si>
    <r>
      <t xml:space="preserve">The dashboard shall display: anotther column chart in which x axis has the Sample Count, and y axis has the inspection type (IQC, OQC, IPQC), and the column chart should be colour-coded according to the sample status (Not Started, Test in Progress, Test Completed). 
</t>
    </r>
    <r>
      <rPr>
        <sz val="11"/>
        <color rgb="FFFF0000"/>
        <rFont val="等线"/>
        <family val="3"/>
        <charset val="134"/>
        <scheme val="minor"/>
      </rPr>
      <t>1. 横坐标数量，纵坐标inspection Type
2. 且柱状图中按照样品状态（未开始-</t>
    </r>
    <r>
      <rPr>
        <sz val="11"/>
        <color theme="4" tint="-0.499984740745262"/>
        <rFont val="等线"/>
        <family val="3"/>
        <charset val="134"/>
        <scheme val="minor"/>
      </rPr>
      <t>额外逻辑处理</t>
    </r>
    <r>
      <rPr>
        <sz val="11"/>
        <color rgb="FFFF0000"/>
        <rFont val="等线"/>
        <family val="3"/>
        <charset val="134"/>
        <scheme val="minor"/>
      </rPr>
      <t>，测试中-</t>
    </r>
    <r>
      <rPr>
        <sz val="11"/>
        <color theme="4" tint="-0.499984740745262"/>
        <rFont val="等线"/>
        <family val="3"/>
        <charset val="134"/>
        <scheme val="minor"/>
      </rPr>
      <t>额外逻辑处理</t>
    </r>
    <r>
      <rPr>
        <sz val="11"/>
        <color rgb="FFFF0000"/>
        <rFont val="等线"/>
        <family val="3"/>
        <charset val="134"/>
        <scheme val="minor"/>
      </rPr>
      <t>，测试已完成）分颜色显示</t>
    </r>
    <phoneticPr fontId="2" type="noConversion"/>
  </si>
  <si>
    <r>
      <t xml:space="preserve">System shall support download </t>
    </r>
    <r>
      <rPr>
        <b/>
        <sz val="14"/>
        <rFont val="等线 Light"/>
        <family val="2"/>
        <scheme val="major"/>
      </rPr>
      <t>inspection lot</t>
    </r>
    <r>
      <rPr>
        <sz val="14"/>
        <rFont val="等线 Light"/>
        <family val="2"/>
        <scheme val="major"/>
      </rPr>
      <t xml:space="preserve"> from SAP to QCLAD.
1）</t>
    </r>
    <r>
      <rPr>
        <sz val="14"/>
        <color rgb="FFFF0000"/>
        <rFont val="等线 Light"/>
        <family val="2"/>
        <scheme val="major"/>
      </rPr>
      <t>Create a sample in QCLAD based on the downloaded Inspection Lot, or change an existing sample (JIT process).</t>
    </r>
    <r>
      <rPr>
        <sz val="14"/>
        <rFont val="等线 Light"/>
        <family val="2"/>
        <scheme val="major"/>
      </rPr>
      <t xml:space="preserve">
2）If the inspection lot in SAP also has multiple activities, then QCLAD needs to create multiple samples.
3）The test item in lot has a field for whether or not to skip the batch (dynamic message), and whether the SMIDI standard function can be written directly to the test table.</t>
    </r>
  </si>
  <si>
    <r>
      <t xml:space="preserve">System shall support download </t>
    </r>
    <r>
      <rPr>
        <b/>
        <sz val="14"/>
        <rFont val="等线 Light"/>
        <family val="2"/>
        <scheme val="major"/>
      </rPr>
      <t>Batch information</t>
    </r>
    <r>
      <rPr>
        <sz val="14"/>
        <rFont val="等线 Light"/>
        <family val="2"/>
        <scheme val="major"/>
      </rPr>
      <t xml:space="preserve"> from SAP to QCLAD.
</t>
    </r>
    <r>
      <rPr>
        <sz val="14"/>
        <color rgb="FFFF0000"/>
        <rFont val="等线 Light"/>
        <family val="2"/>
        <scheme val="major"/>
      </rPr>
      <t>Batch information is a separate entity that needs to be downloaded to the Batch table in QCLAD.</t>
    </r>
    <r>
      <rPr>
        <sz val="14"/>
        <rFont val="等线 Light"/>
        <family val="2"/>
        <scheme val="major"/>
      </rPr>
      <t xml:space="preserve">
solution 1:Batch information is a separate entity that needs to be downloaded to the Batch table in QCLAD.
solution 2:Add fields from Batch information to QAIVC table，Pending confirmation by Henkel.</t>
    </r>
  </si>
  <si>
    <r>
      <t xml:space="preserve">System shall support download </t>
    </r>
    <r>
      <rPr>
        <b/>
        <sz val="14"/>
        <rFont val="等线 Light"/>
        <family val="2"/>
        <scheme val="major"/>
      </rPr>
      <t>Inspection Plan</t>
    </r>
    <r>
      <rPr>
        <sz val="14"/>
        <rFont val="等线 Light"/>
        <family val="2"/>
        <scheme val="major"/>
      </rPr>
      <t xml:space="preserve"> from SAP to QCLAD. </t>
    </r>
    <r>
      <rPr>
        <sz val="14"/>
        <color rgb="FFFF0000"/>
        <rFont val="等线 Light"/>
        <family val="2"/>
        <scheme val="major"/>
      </rPr>
      <t>Needs to be synchronised and updated in real time.</t>
    </r>
  </si>
  <si>
    <r>
      <t>The system shall support the downloading of Inspection plans from SAP to QCLAD whose Inspection Plan contains the</t>
    </r>
    <r>
      <rPr>
        <b/>
        <sz val="14"/>
        <rFont val="等线 Light"/>
        <family val="2"/>
        <scheme val="major"/>
      </rPr>
      <t xml:space="preserve"> MIC</t>
    </r>
    <r>
      <rPr>
        <sz val="14"/>
        <rFont val="等线 Light"/>
        <family val="2"/>
        <scheme val="major"/>
      </rPr>
      <t xml:space="preserve">. </t>
    </r>
    <r>
      <rPr>
        <sz val="14"/>
        <color rgb="FFFF0000"/>
        <rFont val="等线 Light"/>
        <family val="2"/>
        <scheme val="major"/>
      </rPr>
      <t>Needs to be synchronised and updated in real time.</t>
    </r>
  </si>
  <si>
    <r>
      <t xml:space="preserve">The system shall support the downloading of Inspection plans from SAP to QCLAD whose Inspection Plan contains the </t>
    </r>
    <r>
      <rPr>
        <b/>
        <sz val="14"/>
        <rFont val="等线 Light"/>
        <family val="2"/>
        <scheme val="major"/>
      </rPr>
      <t>specification</t>
    </r>
    <r>
      <rPr>
        <sz val="14"/>
        <rFont val="等线 Light"/>
        <family val="2"/>
        <scheme val="major"/>
      </rPr>
      <t xml:space="preserve">. </t>
    </r>
    <r>
      <rPr>
        <sz val="14"/>
        <color rgb="FFFF0000"/>
        <rFont val="等线 Light"/>
        <family val="2"/>
        <scheme val="major"/>
      </rPr>
      <t>Needs to be synchronised and updated in real time.</t>
    </r>
  </si>
  <si>
    <r>
      <t xml:space="preserve">The system shall support the downloading of Inspection plans from SAP to QCLAD whose Inspection Plan contains the </t>
    </r>
    <r>
      <rPr>
        <b/>
        <sz val="14"/>
        <rFont val="等线 Light"/>
        <family val="2"/>
        <scheme val="major"/>
      </rPr>
      <t>Material master data</t>
    </r>
    <r>
      <rPr>
        <sz val="14"/>
        <rFont val="等线 Light"/>
        <family val="2"/>
        <scheme val="major"/>
      </rPr>
      <t xml:space="preserve">. </t>
    </r>
    <r>
      <rPr>
        <sz val="14"/>
        <color rgb="FFFF0000"/>
        <rFont val="等线 Light"/>
        <family val="2"/>
        <scheme val="major"/>
      </rPr>
      <t>Needs to be synchronised and updated in real time.</t>
    </r>
  </si>
  <si>
    <r>
      <t xml:space="preserve">System shall support download Plant from SAP to QCLAD. 
</t>
    </r>
    <r>
      <rPr>
        <b/>
        <sz val="14"/>
        <rFont val="等线 Light"/>
        <family val="2"/>
        <scheme val="major"/>
      </rPr>
      <t>Plant</t>
    </r>
    <r>
      <rPr>
        <sz val="14"/>
        <rFont val="等线 Light"/>
        <family val="2"/>
        <scheme val="major"/>
      </rPr>
      <t xml:space="preserve"> is a separate entity that needs to be downloaded to the Plant table in QCLAD.</t>
    </r>
  </si>
  <si>
    <r>
      <t xml:space="preserve">System shall support download </t>
    </r>
    <r>
      <rPr>
        <b/>
        <sz val="14"/>
        <rFont val="等线 Light"/>
        <family val="2"/>
        <scheme val="major"/>
      </rPr>
      <t>QM notification</t>
    </r>
    <r>
      <rPr>
        <sz val="14"/>
        <rFont val="等线 Light"/>
        <family val="2"/>
        <scheme val="major"/>
      </rPr>
      <t xml:space="preserve"> from SAP to QCLAD. 
QM notification is a separate entity that needs to be downloaded to the QM notification table in QCLAD.</t>
    </r>
  </si>
  <si>
    <r>
      <t xml:space="preserve">System shall support to </t>
    </r>
    <r>
      <rPr>
        <b/>
        <sz val="14"/>
        <rFont val="等线 Light"/>
        <family val="2"/>
        <scheme val="major"/>
      </rPr>
      <t>upload result value</t>
    </r>
    <r>
      <rPr>
        <sz val="14"/>
        <rFont val="等线 Light"/>
        <family val="2"/>
        <scheme val="major"/>
      </rPr>
      <t xml:space="preserve"> from QCLAD to SAP.
1）</t>
    </r>
    <r>
      <rPr>
        <sz val="14"/>
        <color rgb="FFFF0000"/>
        <rFont val="等线 Light"/>
        <family val="2"/>
        <scheme val="major"/>
      </rPr>
      <t xml:space="preserve">When there is a Retest operation done, the result of the last Retest needs to be returned to SAP.
</t>
    </r>
    <r>
      <rPr>
        <sz val="14"/>
        <rFont val="等线 Light"/>
        <family val="2"/>
        <scheme val="major"/>
      </rPr>
      <t>2）</t>
    </r>
    <r>
      <rPr>
        <sz val="14"/>
        <color rgb="FFFF0000"/>
        <rFont val="等线 Light"/>
        <family val="2"/>
        <scheme val="major"/>
      </rPr>
      <t xml:space="preserve">once the LIMS post result back to SAP，SAP MIC status should be auto rejected or accepted? </t>
    </r>
    <r>
      <rPr>
        <sz val="14"/>
        <rFont val="等线 Light"/>
        <family val="2"/>
        <scheme val="major"/>
      </rPr>
      <t xml:space="preserve">
3）</t>
    </r>
    <r>
      <rPr>
        <sz val="14"/>
        <color rgb="FFFF0000"/>
        <rFont val="等线 Light"/>
        <family val="2"/>
        <scheme val="major"/>
      </rPr>
      <t>system shall support post all the samples result back to SAP, including the resampled sample.
4）related to item 1, whether Smidi can configure that, once inspection lot is downloaded mapped with an existing sample in LIMS; if that sample is authorized with result, then Smidi can also trigger the result pushing to SAP?
(JIT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</si>
</sst>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等线"/>
      <family val="2"/>
      <scheme val="minor"/>
    </font>
    <font>
      <sz val="11"/>
      <color rgb="FF000000"/>
      <name val="Calibri"/>
      <family val="2"/>
    </font>
    <font>
      <sz val="9"/>
      <name val="等线"/>
      <family val="3"/>
      <charset val="134"/>
      <scheme val="minor"/>
    </font>
    <font>
      <b/>
      <sz val="11"/>
      <color theme="1"/>
      <name val="等线"/>
      <family val="3"/>
      <charset val="134"/>
      <scheme val="minor"/>
    </font>
    <font>
      <b/>
      <sz val="10"/>
      <color rgb="FF000000"/>
      <name val="Calibri"/>
      <family val="2"/>
    </font>
    <font>
      <b/>
      <sz val="10"/>
      <color rgb="FF000000"/>
      <name val="等线"/>
      <family val="3"/>
      <charset val="134"/>
    </font>
    <font>
      <sz val="10"/>
      <color theme="1"/>
      <name val="宋体"/>
      <family val="3"/>
      <charset val="134"/>
    </font>
    <font>
      <sz val="7"/>
      <color theme="1"/>
      <name val="Times New Roman"/>
      <family val="1"/>
    </font>
    <font>
      <sz val="10"/>
      <color rgb="FF000000"/>
      <name val="等线"/>
      <family val="3"/>
      <charset val="134"/>
    </font>
    <font>
      <sz val="10"/>
      <color rgb="FF000000"/>
      <name val="宋体"/>
      <family val="3"/>
      <charset val="134"/>
    </font>
    <font>
      <sz val="11"/>
      <color rgb="FF000000"/>
      <name val="宋体"/>
      <family val="3"/>
      <charset val="134"/>
    </font>
    <font>
      <u/>
      <sz val="11"/>
      <color theme="10"/>
      <name val="等线"/>
      <family val="2"/>
      <scheme val="minor"/>
    </font>
    <font>
      <sz val="11"/>
      <color theme="1"/>
      <name val="等线"/>
      <family val="2"/>
      <scheme val="minor"/>
    </font>
    <font>
      <b/>
      <sz val="11"/>
      <name val="等线 Light"/>
      <family val="1"/>
      <scheme val="major"/>
    </font>
    <font>
      <sz val="11"/>
      <name val="等线 Light"/>
      <family val="1"/>
      <scheme val="major"/>
    </font>
    <font>
      <sz val="11"/>
      <name val="等线 Light"/>
      <family val="3"/>
      <charset val="134"/>
      <scheme val="major"/>
    </font>
    <font>
      <sz val="12"/>
      <color theme="1"/>
      <name val="等线"/>
      <family val="2"/>
      <scheme val="minor"/>
    </font>
    <font>
      <u/>
      <sz val="12"/>
      <color theme="10"/>
      <name val="等线"/>
      <family val="2"/>
      <scheme val="minor"/>
    </font>
    <font>
      <sz val="12"/>
      <color rgb="FFFF0000"/>
      <name val="等线"/>
      <family val="2"/>
      <scheme val="minor"/>
    </font>
    <font>
      <sz val="12"/>
      <color rgb="FF000000"/>
      <name val="等线"/>
      <family val="2"/>
      <scheme val="minor"/>
    </font>
    <font>
      <b/>
      <sz val="12"/>
      <color theme="1"/>
      <name val="等线"/>
      <family val="2"/>
      <scheme val="minor"/>
    </font>
    <font>
      <sz val="11"/>
      <name val="Cambria"/>
      <family val="1"/>
    </font>
    <font>
      <b/>
      <sz val="12"/>
      <color theme="1"/>
      <name val="等线"/>
      <family val="3"/>
      <charset val="134"/>
      <scheme val="minor"/>
    </font>
    <font>
      <b/>
      <sz val="11"/>
      <color theme="4" tint="-0.499984740745262"/>
      <name val="等线"/>
      <family val="3"/>
      <charset val="134"/>
      <scheme val="minor"/>
    </font>
    <font>
      <sz val="11"/>
      <color rgb="FFFF0000"/>
      <name val="等线"/>
      <family val="3"/>
      <charset val="134"/>
      <scheme val="minor"/>
    </font>
    <font>
      <sz val="11"/>
      <color theme="4" tint="-0.499984740745262"/>
      <name val="等线"/>
      <family val="3"/>
      <charset val="134"/>
      <scheme val="minor"/>
    </font>
    <font>
      <sz val="14"/>
      <name val="等线 Light"/>
      <family val="2"/>
      <scheme val="major"/>
    </font>
    <font>
      <b/>
      <sz val="14"/>
      <name val="等线 Light"/>
      <family val="2"/>
      <scheme val="major"/>
    </font>
    <font>
      <sz val="14"/>
      <color rgb="FFFF0000"/>
      <name val="等线 Light"/>
      <family val="2"/>
      <scheme val="major"/>
    </font>
  </fonts>
  <fills count="10">
    <fill>
      <patternFill patternType="none"/>
    </fill>
    <fill>
      <patternFill patternType="gray125"/>
    </fill>
    <fill>
      <patternFill patternType="solid">
        <fgColor rgb="FFFFFFFF"/>
        <bgColor indexed="64"/>
      </patternFill>
    </fill>
    <fill>
      <patternFill patternType="solid">
        <fgColor rgb="FFB3E5A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5" tint="0.39997558519241921"/>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left>
      <right/>
      <top style="thin">
        <color theme="4"/>
      </top>
      <bottom/>
      <diagonal/>
    </border>
    <border>
      <left/>
      <right/>
      <top style="thin">
        <color theme="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s>
  <cellStyleXfs count="3">
    <xf numFmtId="0" fontId="0" fillId="0" borderId="0"/>
    <xf numFmtId="0" fontId="11" fillId="0" borderId="0" applyNumberFormat="0" applyFill="0" applyBorder="0" applyAlignment="0" applyProtection="0"/>
    <xf numFmtId="0" fontId="12" fillId="0" borderId="0"/>
  </cellStyleXfs>
  <cellXfs count="89">
    <xf numFmtId="0" fontId="0" fillId="0" borderId="0" xfId="0"/>
    <xf numFmtId="0" fontId="4" fillId="3" borderId="1" xfId="0" applyFont="1" applyFill="1" applyBorder="1" applyAlignment="1">
      <alignment vertical="center" wrapText="1"/>
    </xf>
    <xf numFmtId="0" fontId="5" fillId="3" borderId="2" xfId="0" applyFont="1" applyFill="1" applyBorder="1" applyAlignment="1">
      <alignment vertical="center" wrapText="1"/>
    </xf>
    <xf numFmtId="0" fontId="4" fillId="3" borderId="2" xfId="0" applyFont="1" applyFill="1" applyBorder="1" applyAlignment="1">
      <alignment vertical="center" wrapText="1"/>
    </xf>
    <xf numFmtId="0" fontId="4" fillId="3" borderId="2" xfId="0" applyFont="1" applyFill="1" applyBorder="1" applyAlignment="1">
      <alignment horizontal="center" vertical="center" wrapText="1"/>
    </xf>
    <xf numFmtId="0" fontId="6" fillId="0" borderId="3" xfId="0" applyFont="1" applyBorder="1" applyAlignment="1">
      <alignment horizontal="left" vertical="center" indent="2"/>
    </xf>
    <xf numFmtId="0" fontId="8" fillId="2" borderId="4" xfId="0" applyFont="1" applyFill="1" applyBorder="1" applyAlignment="1">
      <alignment vertical="center" wrapText="1"/>
    </xf>
    <xf numFmtId="0" fontId="9" fillId="2" borderId="4" xfId="0" applyFont="1" applyFill="1" applyBorder="1" applyAlignment="1">
      <alignment vertical="center" wrapText="1"/>
    </xf>
    <xf numFmtId="0" fontId="9"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8" fillId="2" borderId="8" xfId="0" applyFont="1" applyFill="1" applyBorder="1" applyAlignment="1">
      <alignment vertical="center" wrapText="1"/>
    </xf>
    <xf numFmtId="0" fontId="6" fillId="2" borderId="4" xfId="0" applyFont="1" applyFill="1" applyBorder="1" applyAlignment="1">
      <alignment vertical="center" wrapText="1"/>
    </xf>
    <xf numFmtId="0" fontId="1" fillId="2" borderId="4" xfId="0" applyFont="1" applyFill="1" applyBorder="1" applyAlignment="1">
      <alignment vertical="center" wrapText="1"/>
    </xf>
    <xf numFmtId="0" fontId="9" fillId="2" borderId="8"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8" xfId="0" applyFont="1" applyFill="1" applyBorder="1" applyAlignment="1">
      <alignment horizontal="center" vertical="center" wrapText="1"/>
    </xf>
    <xf numFmtId="49" fontId="0" fillId="0" borderId="0" xfId="0" applyNumberFormat="1"/>
    <xf numFmtId="0" fontId="0" fillId="6" borderId="0" xfId="0" applyFill="1"/>
    <xf numFmtId="0" fontId="16" fillId="0" borderId="0" xfId="0" applyFont="1"/>
    <xf numFmtId="0" fontId="17" fillId="0" borderId="0" xfId="1" applyFont="1" applyFill="1"/>
    <xf numFmtId="0" fontId="16" fillId="0" borderId="12" xfId="0" applyFont="1" applyBorder="1"/>
    <xf numFmtId="0" fontId="16" fillId="0" borderId="13" xfId="0" applyFont="1" applyBorder="1"/>
    <xf numFmtId="0" fontId="18" fillId="0" borderId="0" xfId="0" applyFont="1"/>
    <xf numFmtId="0" fontId="19" fillId="0" borderId="0" xfId="0" applyFont="1" applyAlignment="1">
      <alignment vertical="center" readingOrder="1"/>
    </xf>
    <xf numFmtId="0" fontId="19" fillId="0" borderId="0" xfId="0" applyFont="1" applyAlignment="1">
      <alignment vertical="center" wrapText="1" readingOrder="1"/>
    </xf>
    <xf numFmtId="0" fontId="16" fillId="0" borderId="4" xfId="0" applyFont="1" applyBorder="1"/>
    <xf numFmtId="0" fontId="16" fillId="0" borderId="14" xfId="0" applyFont="1" applyBorder="1"/>
    <xf numFmtId="0" fontId="16" fillId="0" borderId="15" xfId="0" applyFont="1" applyBorder="1"/>
    <xf numFmtId="0" fontId="16" fillId="0" borderId="8" xfId="0" applyFont="1" applyBorder="1"/>
    <xf numFmtId="0" fontId="17" fillId="0" borderId="16" xfId="1" applyFont="1" applyBorder="1"/>
    <xf numFmtId="0" fontId="16" fillId="4" borderId="8" xfId="0" applyFont="1" applyFill="1" applyBorder="1"/>
    <xf numFmtId="0" fontId="20" fillId="0" borderId="14" xfId="0" applyFont="1" applyBorder="1" applyAlignment="1">
      <alignment horizontal="center"/>
    </xf>
    <xf numFmtId="0" fontId="17" fillId="0" borderId="15" xfId="1" applyFont="1" applyBorder="1"/>
    <xf numFmtId="0" fontId="20" fillId="0" borderId="0" xfId="0" applyFont="1" applyAlignment="1">
      <alignment horizontal="center"/>
    </xf>
    <xf numFmtId="0" fontId="16" fillId="0" borderId="0" xfId="0" applyFont="1" applyAlignment="1">
      <alignment vertical="top" wrapText="1"/>
    </xf>
    <xf numFmtId="0" fontId="16" fillId="0" borderId="16" xfId="0" applyFont="1" applyBorder="1"/>
    <xf numFmtId="0" fontId="13" fillId="0" borderId="0" xfId="0" applyFont="1" applyAlignment="1">
      <alignment horizontal="center" vertical="center"/>
    </xf>
    <xf numFmtId="0" fontId="16" fillId="7" borderId="8" xfId="0" applyFont="1" applyFill="1" applyBorder="1"/>
    <xf numFmtId="0" fontId="16" fillId="7" borderId="0" xfId="0" applyFont="1" applyFill="1" applyAlignment="1">
      <alignment vertical="top" wrapText="1"/>
    </xf>
    <xf numFmtId="0" fontId="19" fillId="7" borderId="0" xfId="0" applyFont="1" applyFill="1" applyAlignment="1">
      <alignment vertical="center" wrapText="1" readingOrder="1"/>
    </xf>
    <xf numFmtId="0" fontId="16" fillId="7" borderId="16" xfId="0" applyFont="1" applyFill="1" applyBorder="1"/>
    <xf numFmtId="0" fontId="16" fillId="7" borderId="0" xfId="0" applyFont="1" applyFill="1"/>
    <xf numFmtId="0" fontId="19" fillId="7" borderId="0" xfId="0" applyFont="1" applyFill="1" applyAlignment="1">
      <alignment vertical="center" readingOrder="1"/>
    </xf>
    <xf numFmtId="0" fontId="17" fillId="7" borderId="16" xfId="1" applyFont="1" applyFill="1" applyBorder="1"/>
    <xf numFmtId="0" fontId="16" fillId="4" borderId="0" xfId="0" applyFont="1" applyFill="1"/>
    <xf numFmtId="0" fontId="16" fillId="0" borderId="0" xfId="0" applyFont="1" applyAlignment="1">
      <alignment wrapText="1"/>
    </xf>
    <xf numFmtId="0" fontId="16" fillId="0" borderId="7" xfId="0" applyFont="1" applyBorder="1"/>
    <xf numFmtId="0" fontId="16" fillId="0" borderId="17" xfId="0" applyFont="1" applyBorder="1"/>
    <xf numFmtId="0" fontId="16" fillId="8" borderId="17" xfId="0" applyFont="1" applyFill="1" applyBorder="1"/>
    <xf numFmtId="0" fontId="16" fillId="8" borderId="18" xfId="0" applyFont="1" applyFill="1" applyBorder="1"/>
    <xf numFmtId="0" fontId="16" fillId="9" borderId="17" xfId="0" applyFont="1" applyFill="1" applyBorder="1"/>
    <xf numFmtId="0" fontId="16" fillId="9" borderId="18" xfId="0" applyFont="1" applyFill="1" applyBorder="1"/>
    <xf numFmtId="0" fontId="0" fillId="0" borderId="0" xfId="0" applyAlignment="1">
      <alignment horizontal="center"/>
    </xf>
    <xf numFmtId="0" fontId="0" fillId="0" borderId="0" xfId="0" applyAlignment="1">
      <alignment wrapText="1"/>
    </xf>
    <xf numFmtId="0" fontId="3" fillId="0" borderId="0" xfId="0" applyFont="1" applyAlignment="1">
      <alignment horizontal="center"/>
    </xf>
    <xf numFmtId="0" fontId="3" fillId="0" borderId="0" xfId="0" applyFont="1" applyAlignment="1">
      <alignment horizontal="right" wrapText="1"/>
    </xf>
    <xf numFmtId="0" fontId="21" fillId="0" borderId="9" xfId="0" applyFont="1" applyBorder="1" applyAlignment="1">
      <alignment horizontal="left" vertical="top" indent="1"/>
    </xf>
    <xf numFmtId="0" fontId="0" fillId="0" borderId="9" xfId="0" applyBorder="1"/>
    <xf numFmtId="0" fontId="3" fillId="4" borderId="0" xfId="0" applyFont="1" applyFill="1" applyAlignment="1">
      <alignment horizontal="center"/>
    </xf>
    <xf numFmtId="0" fontId="22" fillId="0" borderId="0" xfId="0" applyFont="1" applyAlignment="1">
      <alignment horizontal="center" vertical="center"/>
    </xf>
    <xf numFmtId="0" fontId="22" fillId="0" borderId="9" xfId="0" applyFont="1" applyBorder="1" applyAlignment="1">
      <alignment horizontal="center" vertical="center"/>
    </xf>
    <xf numFmtId="0" fontId="0" fillId="0" borderId="0" xfId="0" applyAlignment="1">
      <alignment vertical="center" wrapText="1"/>
    </xf>
    <xf numFmtId="0" fontId="0" fillId="0" borderId="9" xfId="0" applyBorder="1" applyAlignment="1">
      <alignment horizontal="center" vertical="center"/>
    </xf>
    <xf numFmtId="0" fontId="0" fillId="0" borderId="9" xfId="0" applyBorder="1" applyAlignment="1">
      <alignment vertical="center" wrapText="1"/>
    </xf>
    <xf numFmtId="0" fontId="14" fillId="0" borderId="9" xfId="0" applyFont="1" applyBorder="1" applyAlignment="1">
      <alignment vertical="center" wrapText="1"/>
    </xf>
    <xf numFmtId="0" fontId="15" fillId="0" borderId="9" xfId="0" applyFont="1" applyBorder="1" applyAlignment="1">
      <alignment vertical="center" wrapText="1"/>
    </xf>
    <xf numFmtId="0" fontId="21" fillId="0" borderId="10" xfId="0" applyFont="1" applyBorder="1" applyAlignment="1">
      <alignment horizontal="left" vertical="top" indent="1"/>
    </xf>
    <xf numFmtId="0" fontId="0" fillId="0" borderId="0" xfId="0" applyAlignment="1">
      <alignment horizontal="left" vertical="center" wrapText="1"/>
    </xf>
    <xf numFmtId="0" fontId="0" fillId="0" borderId="11" xfId="0" applyBorder="1"/>
    <xf numFmtId="0" fontId="0" fillId="0" borderId="9" xfId="0" applyBorder="1" applyAlignment="1">
      <alignment wrapText="1"/>
    </xf>
    <xf numFmtId="0" fontId="9" fillId="0" borderId="4" xfId="0" applyFont="1" applyBorder="1" applyAlignment="1">
      <alignment horizontal="center" vertical="center" wrapText="1"/>
    </xf>
    <xf numFmtId="0" fontId="26" fillId="0" borderId="9" xfId="0" applyFont="1" applyBorder="1" applyAlignment="1">
      <alignment vertical="center" wrapText="1"/>
    </xf>
    <xf numFmtId="0" fontId="6" fillId="0" borderId="6" xfId="0" applyFont="1" applyBorder="1" applyAlignment="1">
      <alignment horizontal="left" vertical="center" indent="2"/>
    </xf>
    <xf numFmtId="0" fontId="6" fillId="0" borderId="3" xfId="0" applyFont="1" applyBorder="1" applyAlignment="1">
      <alignment horizontal="left" vertical="center" indent="2"/>
    </xf>
    <xf numFmtId="0" fontId="8" fillId="2" borderId="6" xfId="0" applyFont="1" applyFill="1" applyBorder="1" applyAlignment="1">
      <alignment vertical="center" wrapText="1"/>
    </xf>
    <xf numFmtId="0" fontId="8" fillId="2" borderId="3" xfId="0" applyFont="1" applyFill="1" applyBorder="1" applyAlignment="1">
      <alignment vertical="center" wrapText="1"/>
    </xf>
    <xf numFmtId="0" fontId="6" fillId="0" borderId="5" xfId="0" applyFont="1" applyBorder="1" applyAlignment="1">
      <alignment horizontal="left" vertical="center" indent="2"/>
    </xf>
    <xf numFmtId="0" fontId="8" fillId="2" borderId="5" xfId="0" applyFont="1" applyFill="1" applyBorder="1" applyAlignment="1">
      <alignment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3" xfId="0" applyFont="1" applyFill="1" applyBorder="1" applyAlignment="1">
      <alignment horizontal="center" vertical="center" wrapText="1"/>
    </xf>
  </cellXfs>
  <cellStyles count="3">
    <cellStyle name="Normal 2" xfId="2" xr:uid="{5C2141B0-5531-44DF-B96D-C1BCD6B4D111}"/>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114300</xdr:colOff>
      <xdr:row>1</xdr:row>
      <xdr:rowOff>66675</xdr:rowOff>
    </xdr:from>
    <xdr:ext cx="8912292" cy="4914900"/>
    <xdr:pic>
      <xdr:nvPicPr>
        <xdr:cNvPr id="2" name="Picture 1">
          <a:extLst>
            <a:ext uri="{FF2B5EF4-FFF2-40B4-BE49-F238E27FC236}">
              <a16:creationId xmlns:a16="http://schemas.microsoft.com/office/drawing/2014/main" id="{7F634833-0093-4FEA-85DD-32A53CBC97ED}"/>
            </a:ext>
          </a:extLst>
        </xdr:cNvPr>
        <xdr:cNvPicPr>
          <a:picLocks noChangeAspect="1"/>
        </xdr:cNvPicPr>
      </xdr:nvPicPr>
      <xdr:blipFill>
        <a:blip xmlns:r="http://schemas.openxmlformats.org/officeDocument/2006/relationships" r:embed="rId1"/>
        <a:stretch>
          <a:fillRect/>
        </a:stretch>
      </xdr:blipFill>
      <xdr:spPr>
        <a:xfrm>
          <a:off x="2857500" y="247650"/>
          <a:ext cx="8912292" cy="49149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678180</xdr:colOff>
      <xdr:row>1</xdr:row>
      <xdr:rowOff>74295</xdr:rowOff>
    </xdr:from>
    <xdr:ext cx="8912292" cy="4914900"/>
    <xdr:pic>
      <xdr:nvPicPr>
        <xdr:cNvPr id="2" name="Picture 1">
          <a:extLst>
            <a:ext uri="{FF2B5EF4-FFF2-40B4-BE49-F238E27FC236}">
              <a16:creationId xmlns:a16="http://schemas.microsoft.com/office/drawing/2014/main" id="{F868BA1B-39D0-486B-A7D7-0B43222766EE}"/>
            </a:ext>
          </a:extLst>
        </xdr:cNvPr>
        <xdr:cNvPicPr>
          <a:picLocks noChangeAspect="1"/>
        </xdr:cNvPicPr>
      </xdr:nvPicPr>
      <xdr:blipFill>
        <a:blip xmlns:r="http://schemas.openxmlformats.org/officeDocument/2006/relationships" r:embed="rId1"/>
        <a:stretch>
          <a:fillRect/>
        </a:stretch>
      </xdr:blipFill>
      <xdr:spPr>
        <a:xfrm>
          <a:off x="7364730" y="255270"/>
          <a:ext cx="8912292" cy="4914900"/>
        </a:xfrm>
        <a:prstGeom prst="rect">
          <a:avLst/>
        </a:prstGeom>
      </xdr:spPr>
    </xdr:pic>
    <xdr:clientData/>
  </xdr:oneCellAnchor>
  <xdr:twoCellAnchor>
    <xdr:from>
      <xdr:col>7</xdr:col>
      <xdr:colOff>152400</xdr:colOff>
      <xdr:row>5</xdr:row>
      <xdr:rowOff>1047750</xdr:rowOff>
    </xdr:from>
    <xdr:to>
      <xdr:col>9</xdr:col>
      <xdr:colOff>85725</xdr:colOff>
      <xdr:row>5</xdr:row>
      <xdr:rowOff>1557337</xdr:rowOff>
    </xdr:to>
    <xdr:sp macro="" textlink="">
      <xdr:nvSpPr>
        <xdr:cNvPr id="4" name="Rectangle: Rounded Corners 3">
          <a:extLst>
            <a:ext uri="{FF2B5EF4-FFF2-40B4-BE49-F238E27FC236}">
              <a16:creationId xmlns:a16="http://schemas.microsoft.com/office/drawing/2014/main" id="{99084E50-0482-D82E-5662-212BC372C910}"/>
            </a:ext>
          </a:extLst>
        </xdr:cNvPr>
        <xdr:cNvSpPr/>
      </xdr:nvSpPr>
      <xdr:spPr>
        <a:xfrm>
          <a:off x="10082213" y="4043363"/>
          <a:ext cx="1228725" cy="509587"/>
        </a:xfrm>
        <a:prstGeom prst="roundRect">
          <a:avLst/>
        </a:prstGeom>
        <a:noFill/>
        <a:ln w="2540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zh-CN" altLang="en-US" sz="1100"/>
        </a:p>
      </xdr:txBody>
    </xdr:sp>
    <xdr:clientData/>
  </xdr:twoCellAnchor>
  <xdr:oneCellAnchor>
    <xdr:from>
      <xdr:col>7</xdr:col>
      <xdr:colOff>238125</xdr:colOff>
      <xdr:row>5</xdr:row>
      <xdr:rowOff>1328737</xdr:rowOff>
    </xdr:from>
    <xdr:ext cx="1079847" cy="264560"/>
    <xdr:sp macro="" textlink="">
      <xdr:nvSpPr>
        <xdr:cNvPr id="5" name="TextBox 4">
          <a:extLst>
            <a:ext uri="{FF2B5EF4-FFF2-40B4-BE49-F238E27FC236}">
              <a16:creationId xmlns:a16="http://schemas.microsoft.com/office/drawing/2014/main" id="{EE3FE894-404C-5306-EDEB-5E43C91A6047}"/>
            </a:ext>
          </a:extLst>
        </xdr:cNvPr>
        <xdr:cNvSpPr txBox="1"/>
      </xdr:nvSpPr>
      <xdr:spPr>
        <a:xfrm>
          <a:off x="10167938" y="4324350"/>
          <a:ext cx="10798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b="1">
              <a:solidFill>
                <a:srgbClr val="FF0000"/>
              </a:solidFill>
            </a:rPr>
            <a:t>Don't</a:t>
          </a:r>
          <a:r>
            <a:rPr lang="en-US" altLang="zh-CN" sz="1100" b="1" baseline="0">
              <a:solidFill>
                <a:srgbClr val="FF0000"/>
              </a:solidFill>
            </a:rPr>
            <a:t> need this</a:t>
          </a:r>
          <a:endParaRPr lang="zh-CN" altLang="en-US" sz="1100" b="1">
            <a:solidFill>
              <a:srgbClr val="FF0000"/>
            </a:solidFill>
          </a:endParaRPr>
        </a:p>
      </xdr:txBody>
    </xdr:sp>
    <xdr:clientData/>
  </xdr:oneCellAnchor>
  <xdr:twoCellAnchor>
    <xdr:from>
      <xdr:col>6</xdr:col>
      <xdr:colOff>166687</xdr:colOff>
      <xdr:row>4</xdr:row>
      <xdr:rowOff>176212</xdr:rowOff>
    </xdr:from>
    <xdr:to>
      <xdr:col>9</xdr:col>
      <xdr:colOff>481012</xdr:colOff>
      <xdr:row>5</xdr:row>
      <xdr:rowOff>1133475</xdr:rowOff>
    </xdr:to>
    <xdr:sp macro="" textlink="">
      <xdr:nvSpPr>
        <xdr:cNvPr id="6" name="Speech Bubble: Rectangle 5">
          <a:extLst>
            <a:ext uri="{FF2B5EF4-FFF2-40B4-BE49-F238E27FC236}">
              <a16:creationId xmlns:a16="http://schemas.microsoft.com/office/drawing/2014/main" id="{F6AA57AB-7C2A-95F5-2425-2B13D582A30A}"/>
            </a:ext>
          </a:extLst>
        </xdr:cNvPr>
        <xdr:cNvSpPr/>
      </xdr:nvSpPr>
      <xdr:spPr>
        <a:xfrm>
          <a:off x="10044112" y="2528887"/>
          <a:ext cx="2371725" cy="1681163"/>
        </a:xfrm>
        <a:prstGeom prst="wedgeRectCallout">
          <a:avLst>
            <a:gd name="adj1" fmla="val -263322"/>
            <a:gd name="adj2" fmla="val 70523"/>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123825</xdr:colOff>
      <xdr:row>3</xdr:row>
      <xdr:rowOff>528637</xdr:rowOff>
    </xdr:from>
    <xdr:to>
      <xdr:col>13</xdr:col>
      <xdr:colOff>47625</xdr:colOff>
      <xdr:row>4</xdr:row>
      <xdr:rowOff>604837</xdr:rowOff>
    </xdr:to>
    <xdr:sp macro="" textlink="">
      <xdr:nvSpPr>
        <xdr:cNvPr id="7" name="Speech Bubble: Rectangle 6">
          <a:extLst>
            <a:ext uri="{FF2B5EF4-FFF2-40B4-BE49-F238E27FC236}">
              <a16:creationId xmlns:a16="http://schemas.microsoft.com/office/drawing/2014/main" id="{C71BB997-A3A2-46BA-A3EB-5AB406BE3C86}"/>
            </a:ext>
          </a:extLst>
        </xdr:cNvPr>
        <xdr:cNvSpPr/>
      </xdr:nvSpPr>
      <xdr:spPr>
        <a:xfrm>
          <a:off x="11996738" y="1762125"/>
          <a:ext cx="1866900" cy="1133475"/>
        </a:xfrm>
        <a:prstGeom prst="wedgeRectCallout">
          <a:avLst>
            <a:gd name="adj1" fmla="val -334098"/>
            <a:gd name="adj2" fmla="val 401576"/>
          </a:avLst>
        </a:prstGeom>
        <a:noFill/>
        <a:ln w="381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9525</xdr:colOff>
      <xdr:row>3</xdr:row>
      <xdr:rowOff>271462</xdr:rowOff>
    </xdr:from>
    <xdr:to>
      <xdr:col>15</xdr:col>
      <xdr:colOff>452437</xdr:colOff>
      <xdr:row>5</xdr:row>
      <xdr:rowOff>14287</xdr:rowOff>
    </xdr:to>
    <xdr:sp macro="" textlink="">
      <xdr:nvSpPr>
        <xdr:cNvPr id="8" name="Speech Bubble: Rectangle 7">
          <a:extLst>
            <a:ext uri="{FF2B5EF4-FFF2-40B4-BE49-F238E27FC236}">
              <a16:creationId xmlns:a16="http://schemas.microsoft.com/office/drawing/2014/main" id="{088C0B86-1E1D-E1D6-633A-EAB8628ED331}"/>
            </a:ext>
          </a:extLst>
        </xdr:cNvPr>
        <xdr:cNvSpPr/>
      </xdr:nvSpPr>
      <xdr:spPr>
        <a:xfrm>
          <a:off x="13825538" y="1504950"/>
          <a:ext cx="1738312" cy="1504950"/>
        </a:xfrm>
        <a:prstGeom prst="wedgeRectCallout">
          <a:avLst>
            <a:gd name="adj1" fmla="val -463573"/>
            <a:gd name="adj2" fmla="val 393196"/>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97C25-631F-4B6A-9F9C-14B5E6BF869E}">
  <dimension ref="A1:Q29"/>
  <sheetViews>
    <sheetView tabSelected="1" topLeftCell="A14" workbookViewId="0">
      <selection activeCell="C20" sqref="C20"/>
    </sheetView>
  </sheetViews>
  <sheetFormatPr defaultRowHeight="14" x14ac:dyDescent="0.3"/>
  <cols>
    <col min="3" max="3" width="26.25" customWidth="1"/>
    <col min="12" max="12" width="26" customWidth="1"/>
    <col min="17" max="17" width="6.08203125" customWidth="1"/>
    <col min="18" max="18" width="16.9140625" customWidth="1"/>
  </cols>
  <sheetData>
    <row r="1" spans="1:17" ht="52.5" thickBot="1" x14ac:dyDescent="0.35">
      <c r="A1" s="1" t="s">
        <v>0</v>
      </c>
      <c r="B1" s="2" t="s">
        <v>1</v>
      </c>
      <c r="C1" s="2" t="s">
        <v>2</v>
      </c>
      <c r="D1" s="2" t="s">
        <v>3</v>
      </c>
      <c r="E1" s="3" t="s">
        <v>4</v>
      </c>
      <c r="F1" s="3" t="s">
        <v>5</v>
      </c>
      <c r="G1" s="3" t="s">
        <v>6</v>
      </c>
      <c r="H1" s="3" t="s">
        <v>7</v>
      </c>
      <c r="I1" s="4" t="s">
        <v>8</v>
      </c>
      <c r="J1" s="4" t="s">
        <v>9</v>
      </c>
      <c r="K1" s="3" t="s">
        <v>10</v>
      </c>
    </row>
    <row r="2" spans="1:17" ht="65.5" thickBot="1" x14ac:dyDescent="0.35">
      <c r="A2" s="5" t="s">
        <v>11</v>
      </c>
      <c r="B2" s="6" t="s">
        <v>12</v>
      </c>
      <c r="C2" s="6" t="s">
        <v>13</v>
      </c>
      <c r="D2" s="6" t="s">
        <v>14</v>
      </c>
      <c r="E2" s="8">
        <v>6</v>
      </c>
      <c r="F2" s="8">
        <v>6</v>
      </c>
      <c r="G2" s="8"/>
      <c r="H2" s="9"/>
      <c r="I2" s="9"/>
      <c r="J2" s="9"/>
      <c r="K2" s="8">
        <v>1</v>
      </c>
    </row>
    <row r="3" spans="1:17" ht="52.5" thickBot="1" x14ac:dyDescent="0.35">
      <c r="A3" s="5" t="s">
        <v>15</v>
      </c>
      <c r="B3" s="6" t="s">
        <v>16</v>
      </c>
      <c r="C3" s="6" t="s">
        <v>17</v>
      </c>
      <c r="D3" s="6" t="s">
        <v>18</v>
      </c>
      <c r="E3" s="8">
        <v>22</v>
      </c>
      <c r="F3" s="8">
        <v>22</v>
      </c>
      <c r="G3" s="8"/>
      <c r="H3" s="9"/>
      <c r="I3" s="9"/>
      <c r="J3" s="9"/>
      <c r="K3" s="8">
        <v>21</v>
      </c>
    </row>
    <row r="4" spans="1:17" ht="26.5" thickBot="1" x14ac:dyDescent="0.35">
      <c r="A4" s="76" t="s">
        <v>19</v>
      </c>
      <c r="B4" s="78" t="s">
        <v>20</v>
      </c>
      <c r="C4" s="6" t="s">
        <v>21</v>
      </c>
      <c r="D4" s="6" t="s">
        <v>22</v>
      </c>
      <c r="E4" s="8">
        <v>16</v>
      </c>
      <c r="F4" s="8">
        <v>21</v>
      </c>
      <c r="G4" s="16">
        <v>5</v>
      </c>
      <c r="H4" s="11"/>
      <c r="I4" s="9"/>
      <c r="J4" s="9"/>
      <c r="K4" s="8">
        <v>2</v>
      </c>
    </row>
    <row r="5" spans="1:17" ht="26.5" thickBot="1" x14ac:dyDescent="0.35">
      <c r="A5" s="77"/>
      <c r="B5" s="79"/>
      <c r="C5" s="6" t="s">
        <v>23</v>
      </c>
      <c r="D5" s="6" t="s">
        <v>24</v>
      </c>
      <c r="E5" s="8">
        <v>8</v>
      </c>
      <c r="F5" s="8">
        <v>8</v>
      </c>
      <c r="G5" s="8"/>
      <c r="H5" s="11"/>
      <c r="I5" s="9"/>
      <c r="J5" s="9"/>
      <c r="K5" s="8">
        <v>3</v>
      </c>
    </row>
    <row r="6" spans="1:17" ht="91.5" thickBot="1" x14ac:dyDescent="0.35">
      <c r="A6" s="5" t="s">
        <v>25</v>
      </c>
      <c r="B6" s="6" t="s">
        <v>26</v>
      </c>
      <c r="C6" s="6" t="s">
        <v>27</v>
      </c>
      <c r="D6" s="6" t="s">
        <v>28</v>
      </c>
      <c r="E6" s="8">
        <v>2</v>
      </c>
      <c r="F6" s="8">
        <v>2</v>
      </c>
      <c r="G6" s="8"/>
      <c r="H6" s="8">
        <v>2</v>
      </c>
      <c r="I6" s="8">
        <v>2</v>
      </c>
      <c r="J6" s="8"/>
      <c r="K6" s="8">
        <v>18</v>
      </c>
    </row>
    <row r="7" spans="1:17" ht="15" thickBot="1" x14ac:dyDescent="0.35">
      <c r="A7" s="76" t="s">
        <v>29</v>
      </c>
      <c r="B7" s="78" t="s">
        <v>30</v>
      </c>
      <c r="C7" s="12" t="s">
        <v>31</v>
      </c>
      <c r="D7" s="78" t="s">
        <v>32</v>
      </c>
      <c r="E7" s="82">
        <v>63</v>
      </c>
      <c r="F7" s="8">
        <v>34</v>
      </c>
      <c r="G7" s="13"/>
      <c r="H7" s="82">
        <v>10</v>
      </c>
      <c r="I7" s="8">
        <v>4</v>
      </c>
      <c r="J7" s="13"/>
      <c r="K7" s="8" t="s">
        <v>33</v>
      </c>
    </row>
    <row r="8" spans="1:17" ht="15" thickBot="1" x14ac:dyDescent="0.35">
      <c r="A8" s="80"/>
      <c r="B8" s="81"/>
      <c r="C8" s="12" t="s">
        <v>34</v>
      </c>
      <c r="D8" s="81"/>
      <c r="E8" s="83"/>
      <c r="F8" s="8">
        <v>13</v>
      </c>
      <c r="G8" s="13"/>
      <c r="H8" s="83"/>
      <c r="I8" s="9"/>
      <c r="J8" s="13"/>
      <c r="K8" s="8" t="s">
        <v>33</v>
      </c>
    </row>
    <row r="9" spans="1:17" ht="15" thickBot="1" x14ac:dyDescent="0.35">
      <c r="A9" s="80"/>
      <c r="B9" s="81"/>
      <c r="C9" s="12" t="s">
        <v>35</v>
      </c>
      <c r="D9" s="81"/>
      <c r="E9" s="83"/>
      <c r="F9" s="8">
        <v>4</v>
      </c>
      <c r="G9" s="13"/>
      <c r="H9" s="83"/>
      <c r="I9" s="9"/>
      <c r="J9" s="13"/>
      <c r="K9" s="8" t="s">
        <v>33</v>
      </c>
    </row>
    <row r="10" spans="1:17" ht="15" thickBot="1" x14ac:dyDescent="0.35">
      <c r="A10" s="80"/>
      <c r="B10" s="81"/>
      <c r="C10" s="12" t="s">
        <v>36</v>
      </c>
      <c r="D10" s="81"/>
      <c r="E10" s="83"/>
      <c r="F10" s="8">
        <v>2</v>
      </c>
      <c r="G10" s="17">
        <v>11</v>
      </c>
      <c r="H10" s="83"/>
      <c r="I10" s="9"/>
      <c r="J10" s="19">
        <v>-6</v>
      </c>
      <c r="K10" s="8" t="s">
        <v>33</v>
      </c>
    </row>
    <row r="11" spans="1:17" ht="15" thickBot="1" x14ac:dyDescent="0.35">
      <c r="A11" s="80"/>
      <c r="B11" s="81"/>
      <c r="C11" s="12" t="s">
        <v>37</v>
      </c>
      <c r="D11" s="81"/>
      <c r="E11" s="83"/>
      <c r="F11" s="8">
        <v>2</v>
      </c>
      <c r="G11" s="13"/>
      <c r="H11" s="83"/>
      <c r="I11" s="9"/>
      <c r="J11" s="13"/>
      <c r="K11" s="8" t="s">
        <v>33</v>
      </c>
    </row>
    <row r="12" spans="1:17" ht="15" thickBot="1" x14ac:dyDescent="0.35">
      <c r="A12" s="80"/>
      <c r="B12" s="81"/>
      <c r="C12" s="12" t="s">
        <v>38</v>
      </c>
      <c r="D12" s="81"/>
      <c r="E12" s="83"/>
      <c r="F12" s="8">
        <v>0</v>
      </c>
      <c r="G12" s="13"/>
      <c r="H12" s="83"/>
      <c r="I12" s="9"/>
      <c r="J12" s="13"/>
      <c r="K12" s="8" t="s">
        <v>33</v>
      </c>
    </row>
    <row r="13" spans="1:17" ht="15" thickBot="1" x14ac:dyDescent="0.35">
      <c r="A13" s="80"/>
      <c r="B13" s="81"/>
      <c r="C13" s="12" t="s">
        <v>39</v>
      </c>
      <c r="D13" s="81"/>
      <c r="E13" s="84"/>
      <c r="F13" s="8">
        <v>19</v>
      </c>
      <c r="G13" s="8"/>
      <c r="H13" s="84"/>
      <c r="I13" s="9"/>
      <c r="J13" s="8"/>
      <c r="K13" s="8" t="s">
        <v>33</v>
      </c>
      <c r="L13" s="21" t="s">
        <v>77</v>
      </c>
      <c r="Q13" s="20"/>
    </row>
    <row r="14" spans="1:17" ht="15" thickBot="1" x14ac:dyDescent="0.35">
      <c r="A14" s="80"/>
      <c r="B14" s="81"/>
      <c r="C14" s="12" t="s">
        <v>40</v>
      </c>
      <c r="D14" s="81"/>
      <c r="E14" s="8">
        <v>18</v>
      </c>
      <c r="F14" s="8">
        <v>18</v>
      </c>
      <c r="G14" s="8"/>
      <c r="H14" s="9"/>
      <c r="I14" s="9"/>
      <c r="J14" s="9"/>
      <c r="K14" s="8">
        <v>9</v>
      </c>
    </row>
    <row r="15" spans="1:17" ht="15" thickBot="1" x14ac:dyDescent="0.35">
      <c r="A15" s="80"/>
      <c r="B15" s="81"/>
      <c r="C15" s="12" t="s">
        <v>41</v>
      </c>
      <c r="D15" s="81"/>
      <c r="E15" s="8">
        <v>10</v>
      </c>
      <c r="F15" s="8">
        <v>10</v>
      </c>
      <c r="G15" s="8"/>
      <c r="H15" s="9"/>
      <c r="I15" s="9"/>
      <c r="J15" s="9"/>
      <c r="K15" s="8">
        <v>10</v>
      </c>
    </row>
    <row r="16" spans="1:17" ht="15" thickBot="1" x14ac:dyDescent="0.35">
      <c r="A16" s="80"/>
      <c r="B16" s="81"/>
      <c r="C16" s="12" t="s">
        <v>42</v>
      </c>
      <c r="D16" s="81"/>
      <c r="E16" s="8">
        <v>7</v>
      </c>
      <c r="F16" s="8">
        <v>24</v>
      </c>
      <c r="G16" s="16">
        <v>17</v>
      </c>
      <c r="H16" s="8">
        <v>23</v>
      </c>
      <c r="I16" s="8">
        <v>26</v>
      </c>
      <c r="J16" s="18">
        <v>3</v>
      </c>
      <c r="K16" s="8">
        <v>6</v>
      </c>
      <c r="L16" s="21" t="s">
        <v>76</v>
      </c>
    </row>
    <row r="17" spans="1:11" ht="15" thickBot="1" x14ac:dyDescent="0.35">
      <c r="A17" s="80"/>
      <c r="B17" s="81"/>
      <c r="C17" s="12" t="s">
        <v>43</v>
      </c>
      <c r="D17" s="81"/>
      <c r="E17" s="8">
        <v>3</v>
      </c>
      <c r="F17" s="8">
        <v>16</v>
      </c>
      <c r="G17" s="16">
        <v>13</v>
      </c>
      <c r="H17" s="9"/>
      <c r="I17" s="9"/>
      <c r="J17" s="9"/>
      <c r="K17" s="8">
        <v>11</v>
      </c>
    </row>
    <row r="18" spans="1:11" ht="15" thickBot="1" x14ac:dyDescent="0.35">
      <c r="A18" s="77"/>
      <c r="B18" s="79"/>
      <c r="C18" s="12" t="s">
        <v>44</v>
      </c>
      <c r="D18" s="79"/>
      <c r="E18" s="8">
        <v>6</v>
      </c>
      <c r="F18" s="8">
        <v>16</v>
      </c>
      <c r="G18" s="16">
        <v>10</v>
      </c>
      <c r="H18" s="8">
        <v>6</v>
      </c>
      <c r="I18" s="8">
        <v>23</v>
      </c>
      <c r="J18" s="18">
        <v>17</v>
      </c>
      <c r="K18" s="8">
        <v>7</v>
      </c>
    </row>
    <row r="19" spans="1:11" ht="15" thickBot="1" x14ac:dyDescent="0.35">
      <c r="A19" s="76" t="s">
        <v>45</v>
      </c>
      <c r="B19" s="78" t="s">
        <v>46</v>
      </c>
      <c r="C19" s="12" t="s">
        <v>47</v>
      </c>
      <c r="D19" s="78" t="s">
        <v>48</v>
      </c>
      <c r="E19" s="82">
        <v>28</v>
      </c>
      <c r="F19" s="82">
        <v>34</v>
      </c>
      <c r="G19" s="87">
        <v>6</v>
      </c>
      <c r="H19" s="82">
        <v>39</v>
      </c>
      <c r="I19" s="82">
        <v>51</v>
      </c>
      <c r="J19" s="85">
        <v>12</v>
      </c>
      <c r="K19" s="82">
        <v>14</v>
      </c>
    </row>
    <row r="20" spans="1:11" ht="15.5" thickBot="1" x14ac:dyDescent="0.35">
      <c r="A20" s="77"/>
      <c r="B20" s="79"/>
      <c r="C20" s="12" t="s">
        <v>49</v>
      </c>
      <c r="D20" s="79"/>
      <c r="E20" s="84"/>
      <c r="F20" s="84"/>
      <c r="G20" s="88"/>
      <c r="H20" s="84"/>
      <c r="I20" s="84"/>
      <c r="J20" s="86"/>
      <c r="K20" s="84"/>
    </row>
    <row r="21" spans="1:11" ht="15" thickBot="1" x14ac:dyDescent="0.35">
      <c r="A21" s="76" t="s">
        <v>50</v>
      </c>
      <c r="B21" s="78" t="s">
        <v>51</v>
      </c>
      <c r="C21" s="12" t="s">
        <v>52</v>
      </c>
      <c r="D21" s="78" t="s">
        <v>53</v>
      </c>
      <c r="E21" s="8">
        <v>10</v>
      </c>
      <c r="F21" s="8">
        <v>10</v>
      </c>
      <c r="G21" s="8"/>
      <c r="H21" s="8">
        <v>5</v>
      </c>
      <c r="I21" s="8">
        <v>5</v>
      </c>
      <c r="J21" s="8"/>
      <c r="K21" s="8">
        <v>12</v>
      </c>
    </row>
    <row r="22" spans="1:11" ht="46.25" customHeight="1" thickBot="1" x14ac:dyDescent="0.35">
      <c r="A22" s="77"/>
      <c r="B22" s="79"/>
      <c r="C22" s="7" t="s">
        <v>54</v>
      </c>
      <c r="D22" s="79"/>
      <c r="E22" s="9"/>
      <c r="F22" s="9"/>
      <c r="G22" s="9"/>
      <c r="H22" s="8">
        <v>30</v>
      </c>
      <c r="I22" s="8">
        <v>30</v>
      </c>
      <c r="J22" s="8"/>
      <c r="K22" s="8">
        <v>8</v>
      </c>
    </row>
    <row r="23" spans="1:11" ht="14.5" thickBot="1" x14ac:dyDescent="0.35">
      <c r="A23" s="76" t="s">
        <v>55</v>
      </c>
      <c r="B23" s="78" t="s">
        <v>56</v>
      </c>
      <c r="C23" s="10" t="s">
        <v>57</v>
      </c>
      <c r="D23" s="78" t="s">
        <v>56</v>
      </c>
      <c r="E23" s="82">
        <v>17</v>
      </c>
      <c r="F23" s="82">
        <v>17</v>
      </c>
      <c r="G23" s="14"/>
      <c r="H23" s="82">
        <v>36</v>
      </c>
      <c r="I23" s="82">
        <v>36</v>
      </c>
      <c r="J23" s="13"/>
      <c r="K23" s="8">
        <v>13</v>
      </c>
    </row>
    <row r="24" spans="1:11" ht="29" customHeight="1" thickBot="1" x14ac:dyDescent="0.35">
      <c r="A24" s="77"/>
      <c r="B24" s="79"/>
      <c r="C24" s="7" t="s">
        <v>58</v>
      </c>
      <c r="D24" s="79"/>
      <c r="E24" s="84"/>
      <c r="F24" s="84"/>
      <c r="G24" s="15"/>
      <c r="H24" s="84"/>
      <c r="I24" s="84"/>
      <c r="J24" s="8"/>
      <c r="K24" s="8">
        <v>16</v>
      </c>
    </row>
    <row r="25" spans="1:11" ht="52.5" thickBot="1" x14ac:dyDescent="0.35">
      <c r="A25" s="5" t="s">
        <v>59</v>
      </c>
      <c r="B25" s="6" t="s">
        <v>60</v>
      </c>
      <c r="C25" s="6" t="s">
        <v>61</v>
      </c>
      <c r="D25" s="6" t="s">
        <v>62</v>
      </c>
      <c r="E25" s="8">
        <v>10</v>
      </c>
      <c r="F25" s="8">
        <v>10</v>
      </c>
      <c r="G25" s="74"/>
      <c r="H25" s="8">
        <v>6</v>
      </c>
      <c r="I25" s="8">
        <v>6</v>
      </c>
      <c r="J25" s="8"/>
      <c r="K25" s="8">
        <v>15</v>
      </c>
    </row>
    <row r="26" spans="1:11" ht="52.5" thickBot="1" x14ac:dyDescent="0.35">
      <c r="A26" s="5" t="s">
        <v>63</v>
      </c>
      <c r="B26" s="6" t="s">
        <v>64</v>
      </c>
      <c r="C26" s="6" t="s">
        <v>64</v>
      </c>
      <c r="D26" s="6" t="s">
        <v>65</v>
      </c>
      <c r="E26" s="8">
        <v>8</v>
      </c>
      <c r="F26" s="8">
        <v>8</v>
      </c>
      <c r="G26" s="8"/>
      <c r="H26" s="8">
        <v>12</v>
      </c>
      <c r="I26" s="8">
        <v>12</v>
      </c>
      <c r="J26" s="8"/>
      <c r="K26" s="8">
        <v>17</v>
      </c>
    </row>
    <row r="27" spans="1:11" ht="39.5" thickBot="1" x14ac:dyDescent="0.35">
      <c r="A27" s="5" t="s">
        <v>66</v>
      </c>
      <c r="B27" s="6" t="s">
        <v>67</v>
      </c>
      <c r="C27" s="6" t="s">
        <v>67</v>
      </c>
      <c r="D27" s="6" t="s">
        <v>68</v>
      </c>
      <c r="E27" s="8">
        <v>10</v>
      </c>
      <c r="F27" s="8">
        <v>10</v>
      </c>
      <c r="G27" s="8"/>
      <c r="H27" s="9"/>
      <c r="I27" s="9"/>
      <c r="J27" s="9"/>
      <c r="K27" s="8">
        <v>19</v>
      </c>
    </row>
    <row r="28" spans="1:11" ht="52.5" thickBot="1" x14ac:dyDescent="0.35">
      <c r="A28" s="5" t="s">
        <v>69</v>
      </c>
      <c r="B28" s="6" t="s">
        <v>70</v>
      </c>
      <c r="C28" s="6" t="s">
        <v>71</v>
      </c>
      <c r="D28" s="6" t="s">
        <v>72</v>
      </c>
      <c r="E28" s="8">
        <v>34</v>
      </c>
      <c r="F28" s="8">
        <v>34</v>
      </c>
      <c r="G28" s="8"/>
      <c r="H28" s="8">
        <v>28</v>
      </c>
      <c r="I28" s="8">
        <v>28</v>
      </c>
      <c r="J28" s="8"/>
      <c r="K28" s="8">
        <v>20</v>
      </c>
    </row>
    <row r="29" spans="1:11" ht="14.5" thickBot="1" x14ac:dyDescent="0.35">
      <c r="A29" s="5" t="s">
        <v>73</v>
      </c>
      <c r="B29" s="6" t="s">
        <v>74</v>
      </c>
      <c r="C29" s="11"/>
      <c r="D29" s="11"/>
      <c r="E29" s="8">
        <v>278</v>
      </c>
      <c r="F29" s="8">
        <v>340</v>
      </c>
      <c r="G29" s="16">
        <v>62</v>
      </c>
      <c r="H29" s="8">
        <v>197</v>
      </c>
      <c r="I29" s="8">
        <v>223</v>
      </c>
      <c r="J29" s="18">
        <v>26</v>
      </c>
      <c r="K29" s="9"/>
    </row>
  </sheetData>
  <mergeCells count="27">
    <mergeCell ref="I23:I24"/>
    <mergeCell ref="G19:G20"/>
    <mergeCell ref="A23:A24"/>
    <mergeCell ref="B23:B24"/>
    <mergeCell ref="D23:D24"/>
    <mergeCell ref="E23:E24"/>
    <mergeCell ref="F23:F24"/>
    <mergeCell ref="H23:H24"/>
    <mergeCell ref="I19:I20"/>
    <mergeCell ref="J19:J20"/>
    <mergeCell ref="K19:K20"/>
    <mergeCell ref="A21:A22"/>
    <mergeCell ref="B21:B22"/>
    <mergeCell ref="D21:D22"/>
    <mergeCell ref="H7:H13"/>
    <mergeCell ref="A19:A20"/>
    <mergeCell ref="B19:B20"/>
    <mergeCell ref="D19:D20"/>
    <mergeCell ref="E19:E20"/>
    <mergeCell ref="F19:F20"/>
    <mergeCell ref="H19:H20"/>
    <mergeCell ref="E7:E13"/>
    <mergeCell ref="A4:A5"/>
    <mergeCell ref="B4:B5"/>
    <mergeCell ref="A7:A18"/>
    <mergeCell ref="B7:B18"/>
    <mergeCell ref="D7:D18"/>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6704-36BA-4A56-880E-CE9DDBA8FC79}">
  <dimension ref="A1:K39"/>
  <sheetViews>
    <sheetView workbookViewId="0">
      <selection activeCell="F4" sqref="F4"/>
    </sheetView>
  </sheetViews>
  <sheetFormatPr defaultColWidth="8.75" defaultRowHeight="15.5" x14ac:dyDescent="0.35"/>
  <cols>
    <col min="1" max="1" width="8.75" style="22"/>
    <col min="2" max="2" width="43.25" style="22" customWidth="1"/>
    <col min="3" max="3" width="8.75" style="22"/>
    <col min="4" max="4" width="13.4140625" style="22" customWidth="1"/>
    <col min="5" max="5" width="15.9140625" style="22" customWidth="1"/>
    <col min="6" max="6" width="18.08203125" style="22" customWidth="1"/>
    <col min="7" max="7" width="10.4140625" style="22" customWidth="1"/>
    <col min="8" max="8" width="8.75" style="22"/>
    <col min="9" max="9" width="31.4140625" style="22" customWidth="1"/>
    <col min="10" max="16384" width="8.75" style="22"/>
  </cols>
  <sheetData>
    <row r="1" spans="1:11" x14ac:dyDescent="0.35">
      <c r="A1" s="55" t="s">
        <v>108</v>
      </c>
      <c r="B1" s="54"/>
      <c r="C1" s="51"/>
      <c r="D1" s="51"/>
      <c r="E1" s="50"/>
      <c r="F1" s="51"/>
      <c r="G1" s="51"/>
      <c r="H1" s="53" t="s">
        <v>107</v>
      </c>
      <c r="I1" s="52"/>
      <c r="J1" s="51"/>
      <c r="K1" s="50"/>
    </row>
    <row r="2" spans="1:11" x14ac:dyDescent="0.35">
      <c r="A2" s="39" t="s">
        <v>105</v>
      </c>
      <c r="C2" s="22" t="s">
        <v>103</v>
      </c>
      <c r="D2" s="22" t="s">
        <v>106</v>
      </c>
      <c r="E2" s="32"/>
      <c r="H2" s="39" t="s">
        <v>105</v>
      </c>
      <c r="J2" s="22" t="s">
        <v>104</v>
      </c>
      <c r="K2" s="32" t="s">
        <v>103</v>
      </c>
    </row>
    <row r="3" spans="1:11" x14ac:dyDescent="0.35">
      <c r="A3" s="33">
        <v>1</v>
      </c>
      <c r="B3" s="27" t="s">
        <v>102</v>
      </c>
      <c r="C3" s="48" t="s">
        <v>80</v>
      </c>
      <c r="D3" s="40">
        <v>7</v>
      </c>
      <c r="E3" s="32"/>
      <c r="H3" s="33">
        <v>1</v>
      </c>
      <c r="I3" s="27" t="s">
        <v>101</v>
      </c>
      <c r="J3" s="38">
        <v>4</v>
      </c>
      <c r="K3" s="34" t="s">
        <v>80</v>
      </c>
    </row>
    <row r="4" spans="1:11" ht="39.75" customHeight="1" x14ac:dyDescent="0.35">
      <c r="A4" s="33">
        <v>2</v>
      </c>
      <c r="B4" s="27" t="s">
        <v>98</v>
      </c>
      <c r="C4" s="48" t="s">
        <v>80</v>
      </c>
      <c r="D4" s="40" t="s">
        <v>100</v>
      </c>
      <c r="E4" s="32"/>
      <c r="F4" s="49" t="s">
        <v>99</v>
      </c>
      <c r="H4" s="33">
        <v>2</v>
      </c>
      <c r="I4" s="27" t="s">
        <v>98</v>
      </c>
      <c r="J4" s="38">
        <v>4</v>
      </c>
      <c r="K4" s="32" t="s">
        <v>78</v>
      </c>
    </row>
    <row r="5" spans="1:11" x14ac:dyDescent="0.35">
      <c r="A5" s="33">
        <v>3</v>
      </c>
      <c r="B5" s="27" t="s">
        <v>97</v>
      </c>
      <c r="C5" s="48" t="s">
        <v>80</v>
      </c>
      <c r="D5" s="40">
        <v>4</v>
      </c>
      <c r="E5" s="32"/>
      <c r="H5" s="33">
        <v>3</v>
      </c>
      <c r="I5" s="27" t="s">
        <v>97</v>
      </c>
      <c r="J5" s="38">
        <v>2</v>
      </c>
      <c r="K5" s="34" t="s">
        <v>80</v>
      </c>
    </row>
    <row r="6" spans="1:11" x14ac:dyDescent="0.35">
      <c r="A6" s="33">
        <v>4</v>
      </c>
      <c r="B6" s="27" t="s">
        <v>96</v>
      </c>
      <c r="C6" s="48" t="s">
        <v>80</v>
      </c>
      <c r="D6" s="40">
        <v>3</v>
      </c>
      <c r="E6" s="32"/>
      <c r="H6" s="33">
        <v>4</v>
      </c>
      <c r="I6" s="27" t="s">
        <v>96</v>
      </c>
      <c r="J6" s="38">
        <v>2</v>
      </c>
      <c r="K6" s="32" t="s">
        <v>80</v>
      </c>
    </row>
    <row r="7" spans="1:11" x14ac:dyDescent="0.35">
      <c r="A7" s="33">
        <v>5</v>
      </c>
      <c r="B7" s="27" t="s">
        <v>95</v>
      </c>
      <c r="C7" s="22" t="s">
        <v>78</v>
      </c>
      <c r="D7" s="40">
        <v>4</v>
      </c>
      <c r="E7" s="32"/>
      <c r="H7" s="33">
        <v>5</v>
      </c>
      <c r="I7" s="27" t="s">
        <v>95</v>
      </c>
      <c r="J7" s="38">
        <v>2</v>
      </c>
      <c r="K7" s="32" t="s">
        <v>80</v>
      </c>
    </row>
    <row r="8" spans="1:11" x14ac:dyDescent="0.35">
      <c r="A8" s="33">
        <v>6</v>
      </c>
      <c r="B8" s="27" t="s">
        <v>94</v>
      </c>
      <c r="C8" s="22" t="s">
        <v>78</v>
      </c>
      <c r="D8" s="40">
        <v>4</v>
      </c>
      <c r="E8" s="32"/>
      <c r="H8" s="33">
        <v>6</v>
      </c>
      <c r="I8" s="27" t="s">
        <v>94</v>
      </c>
      <c r="J8" s="38">
        <v>2</v>
      </c>
      <c r="K8" s="32" t="s">
        <v>78</v>
      </c>
    </row>
    <row r="9" spans="1:11" x14ac:dyDescent="0.35">
      <c r="A9" s="47">
        <v>7</v>
      </c>
      <c r="B9" s="46" t="s">
        <v>93</v>
      </c>
      <c r="C9" s="45" t="s">
        <v>92</v>
      </c>
      <c r="D9" s="40" t="s">
        <v>92</v>
      </c>
      <c r="E9" s="32"/>
      <c r="H9" s="33">
        <v>7</v>
      </c>
      <c r="I9" s="27" t="s">
        <v>91</v>
      </c>
      <c r="J9" s="38">
        <v>2</v>
      </c>
      <c r="K9" s="32" t="s">
        <v>78</v>
      </c>
    </row>
    <row r="10" spans="1:11" x14ac:dyDescent="0.35">
      <c r="A10" s="33">
        <v>8</v>
      </c>
      <c r="B10" s="27" t="s">
        <v>90</v>
      </c>
      <c r="C10" s="22" t="s">
        <v>78</v>
      </c>
      <c r="D10" s="40">
        <v>3</v>
      </c>
      <c r="E10" s="32"/>
      <c r="H10" s="33">
        <v>8</v>
      </c>
      <c r="I10" s="27" t="s">
        <v>90</v>
      </c>
      <c r="J10" s="38">
        <v>2</v>
      </c>
      <c r="K10" s="32" t="s">
        <v>78</v>
      </c>
    </row>
    <row r="11" spans="1:11" ht="46.5" x14ac:dyDescent="0.35">
      <c r="A11" s="33">
        <v>9</v>
      </c>
      <c r="B11" s="28" t="s">
        <v>89</v>
      </c>
      <c r="C11" s="22" t="s">
        <v>78</v>
      </c>
      <c r="D11" s="40">
        <v>4</v>
      </c>
      <c r="E11" s="32"/>
      <c r="H11" s="33">
        <v>9</v>
      </c>
      <c r="I11" s="28" t="s">
        <v>88</v>
      </c>
      <c r="J11" s="38">
        <v>2</v>
      </c>
      <c r="K11" s="32" t="s">
        <v>78</v>
      </c>
    </row>
    <row r="12" spans="1:11" ht="77.5" x14ac:dyDescent="0.35">
      <c r="A12" s="44"/>
      <c r="B12" s="43" t="s">
        <v>87</v>
      </c>
      <c r="D12" s="40"/>
      <c r="E12" s="32"/>
      <c r="H12" s="44"/>
      <c r="I12" s="43" t="s">
        <v>87</v>
      </c>
      <c r="J12" s="42"/>
      <c r="K12" s="41"/>
    </row>
    <row r="13" spans="1:11" x14ac:dyDescent="0.35">
      <c r="A13" s="33">
        <v>10</v>
      </c>
      <c r="B13" s="27" t="s">
        <v>86</v>
      </c>
      <c r="C13" s="22" t="s">
        <v>78</v>
      </c>
      <c r="D13" s="40">
        <v>4</v>
      </c>
      <c r="E13" s="32"/>
      <c r="H13" s="33">
        <v>10</v>
      </c>
      <c r="I13" s="27" t="s">
        <v>86</v>
      </c>
      <c r="J13" s="38">
        <v>2</v>
      </c>
      <c r="K13" s="32" t="s">
        <v>78</v>
      </c>
    </row>
    <row r="14" spans="1:11" x14ac:dyDescent="0.35">
      <c r="A14" s="33">
        <v>11</v>
      </c>
      <c r="B14" s="27" t="s">
        <v>85</v>
      </c>
      <c r="C14" s="22" t="s">
        <v>78</v>
      </c>
      <c r="D14" s="40">
        <v>4</v>
      </c>
      <c r="E14" s="32"/>
      <c r="H14" s="33">
        <v>11</v>
      </c>
      <c r="I14" s="27" t="s">
        <v>85</v>
      </c>
      <c r="J14" s="38">
        <v>2</v>
      </c>
      <c r="K14" s="32" t="s">
        <v>78</v>
      </c>
    </row>
    <row r="15" spans="1:11" x14ac:dyDescent="0.35">
      <c r="A15" s="39"/>
      <c r="D15" s="40"/>
      <c r="E15" s="32"/>
      <c r="H15" s="39"/>
      <c r="J15" s="38"/>
      <c r="K15" s="32"/>
    </row>
    <row r="16" spans="1:11" x14ac:dyDescent="0.35">
      <c r="A16" s="39" t="s">
        <v>84</v>
      </c>
      <c r="B16" s="26"/>
      <c r="E16" s="32"/>
      <c r="H16" s="39" t="s">
        <v>84</v>
      </c>
      <c r="I16" s="26"/>
      <c r="J16" s="38"/>
      <c r="K16" s="32"/>
    </row>
    <row r="17" spans="1:11" x14ac:dyDescent="0.35">
      <c r="A17" s="33">
        <v>12</v>
      </c>
      <c r="B17" s="22" t="s">
        <v>83</v>
      </c>
      <c r="C17" s="22" t="s">
        <v>78</v>
      </c>
      <c r="D17" s="37">
        <v>2</v>
      </c>
      <c r="E17" s="32"/>
      <c r="H17" s="33">
        <v>12</v>
      </c>
      <c r="I17" s="25" t="s">
        <v>82</v>
      </c>
      <c r="J17" s="22">
        <v>1</v>
      </c>
      <c r="K17" s="34" t="s">
        <v>80</v>
      </c>
    </row>
    <row r="18" spans="1:11" ht="16" thickBot="1" x14ac:dyDescent="0.4">
      <c r="A18" s="36">
        <v>13</v>
      </c>
      <c r="B18" s="30" t="s">
        <v>81</v>
      </c>
      <c r="C18" s="30" t="s">
        <v>78</v>
      </c>
      <c r="D18" s="35">
        <v>1</v>
      </c>
      <c r="E18" s="29"/>
      <c r="H18" s="33">
        <v>13</v>
      </c>
      <c r="I18" s="24" t="s">
        <v>81</v>
      </c>
      <c r="J18" s="22">
        <v>1</v>
      </c>
      <c r="K18" s="34" t="s">
        <v>80</v>
      </c>
    </row>
    <row r="19" spans="1:11" x14ac:dyDescent="0.35">
      <c r="H19" s="33">
        <v>14</v>
      </c>
      <c r="I19" s="22" t="s">
        <v>79</v>
      </c>
      <c r="J19" s="22">
        <v>2</v>
      </c>
      <c r="K19" s="32" t="s">
        <v>78</v>
      </c>
    </row>
    <row r="20" spans="1:11" ht="16" thickBot="1" x14ac:dyDescent="0.4">
      <c r="H20" s="31"/>
      <c r="I20" s="30"/>
      <c r="J20" s="30"/>
      <c r="K20" s="29"/>
    </row>
    <row r="23" spans="1:11" x14ac:dyDescent="0.35">
      <c r="A23" s="23"/>
      <c r="B23" s="27"/>
    </row>
    <row r="24" spans="1:11" x14ac:dyDescent="0.35">
      <c r="A24" s="23"/>
      <c r="B24" s="27"/>
    </row>
    <row r="25" spans="1:11" x14ac:dyDescent="0.35">
      <c r="A25" s="23"/>
      <c r="B25" s="27"/>
    </row>
    <row r="26" spans="1:11" x14ac:dyDescent="0.35">
      <c r="A26" s="23"/>
      <c r="B26" s="27"/>
    </row>
    <row r="27" spans="1:11" x14ac:dyDescent="0.35">
      <c r="A27" s="23"/>
      <c r="B27" s="27"/>
    </row>
    <row r="28" spans="1:11" x14ac:dyDescent="0.35">
      <c r="A28" s="23"/>
      <c r="B28" s="27"/>
    </row>
    <row r="29" spans="1:11" x14ac:dyDescent="0.35">
      <c r="A29" s="23"/>
      <c r="B29" s="27"/>
    </row>
    <row r="30" spans="1:11" x14ac:dyDescent="0.35">
      <c r="A30" s="23"/>
      <c r="B30" s="27"/>
    </row>
    <row r="31" spans="1:11" x14ac:dyDescent="0.35">
      <c r="A31" s="23"/>
      <c r="B31" s="28"/>
    </row>
    <row r="32" spans="1:11" x14ac:dyDescent="0.35">
      <c r="B32" s="27"/>
    </row>
    <row r="33" spans="1:2" x14ac:dyDescent="0.35">
      <c r="A33" s="23"/>
      <c r="B33" s="27"/>
    </row>
    <row r="34" spans="1:2" x14ac:dyDescent="0.35">
      <c r="A34" s="23"/>
      <c r="B34" s="27"/>
    </row>
    <row r="36" spans="1:2" x14ac:dyDescent="0.35">
      <c r="B36" s="26"/>
    </row>
    <row r="37" spans="1:2" x14ac:dyDescent="0.35">
      <c r="A37" s="23"/>
      <c r="B37" s="25"/>
    </row>
    <row r="38" spans="1:2" x14ac:dyDescent="0.35">
      <c r="A38" s="23"/>
      <c r="B38" s="24"/>
    </row>
    <row r="39" spans="1:2" x14ac:dyDescent="0.35">
      <c r="A39" s="23"/>
    </row>
  </sheetData>
  <phoneticPr fontId="2" type="noConversion"/>
  <hyperlinks>
    <hyperlink ref="A11" location="'9'!A1" display="'9'!A1" xr:uid="{A96F7F3B-760B-4A12-9B11-0047D45DEC97}"/>
    <hyperlink ref="A14" location="'11'!A1" display="'11'!A1" xr:uid="{724963A3-8081-481D-975D-5C08BC7E88C7}"/>
    <hyperlink ref="A13" location="'10'!A1" display="'10'!A1" xr:uid="{AFE61F01-C94C-4D01-A28A-9FF7B144BA91}"/>
    <hyperlink ref="A3" location="'1'!A1" display="'1'!A1" xr:uid="{EF6BA322-6ECA-48C0-B3BF-4E78E610790A}"/>
    <hyperlink ref="A6" location="'4'!A1" display="'4'!A1" xr:uid="{FC14961F-EBF5-425A-A0A2-1868F59BEEF3}"/>
    <hyperlink ref="A5" location="'3'!A1" display="'3'!A1" xr:uid="{B1D9D402-BF17-4917-A715-17FA13C74F03}"/>
    <hyperlink ref="A10" location="'8'!A1" display="'8'!A1" xr:uid="{22F5B319-18CD-4210-B795-B5749AFFC550}"/>
    <hyperlink ref="A7" location="'5'!A1" display="'5'!A1" xr:uid="{7856CA85-B38A-44A4-97AF-C374905D4ACB}"/>
    <hyperlink ref="A9" location="'7'!A1" display="'7'!A1" xr:uid="{8468C377-2146-433A-AA25-D6F914E8A778}"/>
    <hyperlink ref="A8" location="'6'!A1" display="'6'!A1" xr:uid="{26DC459E-531F-488D-ADAA-152361E08FB2}"/>
    <hyperlink ref="A17" location="'12'!A1" display="'12'!A1" xr:uid="{E4A2E318-CC89-49D9-B44D-A2AB5C4B2073}"/>
    <hyperlink ref="A18" location="'13'!A1" display="'13'!A1" xr:uid="{109802C5-C5FC-4B40-A9C7-64100E9FE8FC}"/>
    <hyperlink ref="A4" location="'2'!A1" display="'2'!A1" xr:uid="{B05FC625-549D-414E-A848-B47B43FD2CB9}"/>
    <hyperlink ref="H11" location="'9'!A1" display="'9'!A1" xr:uid="{5862DBEA-F671-438E-9C2B-52FD8B510A99}"/>
    <hyperlink ref="H14" location="'11'!A1" display="'11'!A1" xr:uid="{AC3F2493-8925-4EC4-B99D-D1C304E45816}"/>
    <hyperlink ref="H13" location="'10'!A1" display="'10'!A1" xr:uid="{FE8004E0-140B-43C3-93F1-F224945EB133}"/>
    <hyperlink ref="H3" location="'1'!A1" display="'1'!A1" xr:uid="{9D4E49E0-D8C9-4E25-AE36-B3B359F0381F}"/>
    <hyperlink ref="H6" location="'4'!A1" display="'4'!A1" xr:uid="{08B4D414-47FF-43B3-B024-B7583A746300}"/>
    <hyperlink ref="H5" location="'3'!A1" display="'3'!A1" xr:uid="{AC9CA51B-34EC-4784-959B-366CA50E8D1A}"/>
    <hyperlink ref="H10" location="'8'!A1" display="'8'!A1" xr:uid="{91207BCD-B511-44FE-AEC8-22752F6C10BA}"/>
    <hyperlink ref="H7" location="'5'!A1" display="'5'!A1" xr:uid="{DDBF3A7F-BFE1-4676-9DBF-065C1529159F}"/>
    <hyperlink ref="H9" location="'7'!A1" display="'7'!A1" xr:uid="{FDE80F52-0FB0-46BC-8029-C9F617C52EC9}"/>
    <hyperlink ref="H8" location="'6'!A1" display="'6'!A1" xr:uid="{5E1661B8-EB6D-446C-A5D0-E43E6AD31CD5}"/>
    <hyperlink ref="H17" location="'12'!A1" display="'12'!A1" xr:uid="{D6692FFD-5E7F-4451-83CB-3349FC6EFFEA}"/>
    <hyperlink ref="H18" location="'13'!A1" display="'13'!A1" xr:uid="{E988F409-27F9-46E4-B3FF-6FE0168E1B72}"/>
    <hyperlink ref="H19" location="'14'!A1" display="'14'!A1" xr:uid="{149FB55D-2959-4CE1-8878-79CDB9E4A527}"/>
    <hyperlink ref="H4" location="'2'!A1" display="'2'!A1" xr:uid="{721AA3C0-700E-4130-A88B-CAF0F31F511E}"/>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C9AC-3418-44BF-9173-BDBF3A6E51AB}">
  <dimension ref="A1:H12"/>
  <sheetViews>
    <sheetView zoomScale="70" zoomScaleNormal="70" workbookViewId="0">
      <pane ySplit="1" topLeftCell="A3" activePane="bottomLeft" state="frozen"/>
      <selection pane="bottomLeft" activeCell="C3" sqref="C3"/>
    </sheetView>
  </sheetViews>
  <sheetFormatPr defaultRowHeight="14" x14ac:dyDescent="0.3"/>
  <cols>
    <col min="1" max="1" width="5.9140625" customWidth="1"/>
    <col min="2" max="2" width="13.4140625" customWidth="1"/>
    <col min="3" max="3" width="130.4140625" customWidth="1"/>
    <col min="4" max="4" width="8.08203125" customWidth="1"/>
    <col min="5" max="5" width="27.4140625" customWidth="1"/>
    <col min="6" max="6" width="24.4140625" customWidth="1"/>
    <col min="7" max="7" width="18" customWidth="1"/>
    <col min="8" max="8" width="40.75" customWidth="1"/>
  </cols>
  <sheetData>
    <row r="1" spans="1:8" x14ac:dyDescent="0.3">
      <c r="A1" s="61" t="s">
        <v>131</v>
      </c>
      <c r="B1" s="61" t="s">
        <v>130</v>
      </c>
      <c r="C1" s="61" t="s">
        <v>129</v>
      </c>
      <c r="D1" s="61" t="s">
        <v>156</v>
      </c>
      <c r="E1" s="61" t="s">
        <v>155</v>
      </c>
      <c r="F1" s="73" t="s">
        <v>154</v>
      </c>
      <c r="G1" s="73" t="s">
        <v>153</v>
      </c>
      <c r="H1" s="72" t="s">
        <v>152</v>
      </c>
    </row>
    <row r="2" spans="1:8" ht="87.5" x14ac:dyDescent="0.3">
      <c r="A2" s="61">
        <f t="shared" ref="A2:A10" si="0">ROW()-1</f>
        <v>1</v>
      </c>
      <c r="B2" s="70" t="s">
        <v>151</v>
      </c>
      <c r="C2" s="75" t="s">
        <v>163</v>
      </c>
      <c r="D2" s="68"/>
      <c r="E2" s="67" t="s">
        <v>150</v>
      </c>
      <c r="F2" s="66">
        <v>0</v>
      </c>
      <c r="G2" s="66">
        <v>10</v>
      </c>
    </row>
    <row r="3" spans="1:8" ht="154" x14ac:dyDescent="0.3">
      <c r="A3" s="61">
        <f t="shared" si="0"/>
        <v>2</v>
      </c>
      <c r="B3" s="70" t="s">
        <v>149</v>
      </c>
      <c r="C3" s="75" t="s">
        <v>164</v>
      </c>
      <c r="D3" s="69"/>
      <c r="E3" s="67" t="s">
        <v>148</v>
      </c>
      <c r="F3" s="66">
        <v>4</v>
      </c>
      <c r="G3" s="66">
        <v>0</v>
      </c>
      <c r="H3" s="71" t="s">
        <v>147</v>
      </c>
    </row>
    <row r="4" spans="1:8" ht="28" x14ac:dyDescent="0.3">
      <c r="A4" s="61">
        <f t="shared" si="0"/>
        <v>3</v>
      </c>
      <c r="B4" s="70" t="s">
        <v>146</v>
      </c>
      <c r="C4" s="75" t="s">
        <v>165</v>
      </c>
      <c r="D4" s="68"/>
      <c r="E4" s="67" t="s">
        <v>75</v>
      </c>
      <c r="F4" s="66">
        <v>3</v>
      </c>
      <c r="G4" s="66">
        <v>3</v>
      </c>
      <c r="H4" s="57" t="s">
        <v>142</v>
      </c>
    </row>
    <row r="5" spans="1:8" ht="35" x14ac:dyDescent="0.3">
      <c r="A5" s="61">
        <f t="shared" si="0"/>
        <v>4</v>
      </c>
      <c r="B5" s="70" t="s">
        <v>145</v>
      </c>
      <c r="C5" s="75" t="s">
        <v>166</v>
      </c>
      <c r="D5" s="68"/>
      <c r="E5" s="67" t="s">
        <v>75</v>
      </c>
      <c r="F5" s="66">
        <v>3</v>
      </c>
      <c r="G5" s="66">
        <v>3</v>
      </c>
      <c r="H5" s="57" t="s">
        <v>142</v>
      </c>
    </row>
    <row r="6" spans="1:8" ht="35" x14ac:dyDescent="0.3">
      <c r="A6" s="61">
        <f t="shared" si="0"/>
        <v>5</v>
      </c>
      <c r="B6" s="70" t="s">
        <v>144</v>
      </c>
      <c r="C6" s="75" t="s">
        <v>167</v>
      </c>
      <c r="D6" s="68"/>
      <c r="E6" s="67" t="s">
        <v>75</v>
      </c>
      <c r="F6" s="66">
        <v>3</v>
      </c>
      <c r="G6" s="66">
        <v>3</v>
      </c>
      <c r="H6" s="57" t="s">
        <v>142</v>
      </c>
    </row>
    <row r="7" spans="1:8" ht="35" x14ac:dyDescent="0.3">
      <c r="A7" s="61">
        <f t="shared" si="0"/>
        <v>6</v>
      </c>
      <c r="B7" s="70" t="s">
        <v>143</v>
      </c>
      <c r="C7" s="75" t="s">
        <v>168</v>
      </c>
      <c r="D7" s="68"/>
      <c r="E7" s="67" t="s">
        <v>75</v>
      </c>
      <c r="F7" s="66">
        <v>3</v>
      </c>
      <c r="G7" s="66">
        <v>3</v>
      </c>
      <c r="H7" s="57" t="s">
        <v>142</v>
      </c>
    </row>
    <row r="8" spans="1:8" ht="35" x14ac:dyDescent="0.3">
      <c r="A8" s="61">
        <f t="shared" si="0"/>
        <v>7</v>
      </c>
      <c r="B8" s="70" t="s">
        <v>141</v>
      </c>
      <c r="C8" s="75" t="s">
        <v>169</v>
      </c>
      <c r="D8" s="69"/>
      <c r="E8" s="67" t="s">
        <v>140</v>
      </c>
      <c r="F8" s="66">
        <v>3</v>
      </c>
      <c r="G8" s="66">
        <v>3</v>
      </c>
      <c r="H8" s="57" t="s">
        <v>138</v>
      </c>
    </row>
    <row r="9" spans="1:8" ht="35" x14ac:dyDescent="0.3">
      <c r="A9" s="61">
        <f t="shared" si="0"/>
        <v>8</v>
      </c>
      <c r="B9" s="70" t="s">
        <v>139</v>
      </c>
      <c r="C9" s="75" t="s">
        <v>170</v>
      </c>
      <c r="D9" s="69"/>
      <c r="E9" s="67" t="s">
        <v>75</v>
      </c>
      <c r="F9" s="66">
        <v>3</v>
      </c>
      <c r="G9" s="66">
        <v>3</v>
      </c>
      <c r="H9" s="57" t="s">
        <v>138</v>
      </c>
    </row>
    <row r="10" spans="1:8" ht="122.5" x14ac:dyDescent="0.3">
      <c r="A10" s="61">
        <f t="shared" si="0"/>
        <v>9</v>
      </c>
      <c r="B10" s="70" t="s">
        <v>137</v>
      </c>
      <c r="C10" s="75" t="s">
        <v>171</v>
      </c>
      <c r="D10" s="68"/>
      <c r="E10" s="67" t="s">
        <v>136</v>
      </c>
      <c r="F10" s="66">
        <v>5</v>
      </c>
      <c r="G10" s="66">
        <v>6</v>
      </c>
      <c r="H10" s="65" t="s">
        <v>135</v>
      </c>
    </row>
    <row r="11" spans="1:8" ht="15.5" x14ac:dyDescent="0.3">
      <c r="E11" s="63" t="s">
        <v>134</v>
      </c>
      <c r="F11" s="64" t="s">
        <v>133</v>
      </c>
      <c r="G11" s="64">
        <v>34</v>
      </c>
      <c r="H11" s="57"/>
    </row>
    <row r="12" spans="1:8" ht="15.5" x14ac:dyDescent="0.3">
      <c r="E12" s="63" t="s">
        <v>132</v>
      </c>
      <c r="F12" s="62">
        <v>27</v>
      </c>
      <c r="G12" s="62">
        <v>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12BF-0E90-4183-8548-14DDB1177147}">
  <dimension ref="A1:E17"/>
  <sheetViews>
    <sheetView topLeftCell="C9" workbookViewId="0">
      <selection activeCell="H15" sqref="H15"/>
    </sheetView>
  </sheetViews>
  <sheetFormatPr defaultRowHeight="14" x14ac:dyDescent="0.3"/>
  <cols>
    <col min="2" max="2" width="13.75" customWidth="1"/>
    <col min="3" max="3" width="74.9140625" customWidth="1"/>
    <col min="4" max="5" width="11.4140625" style="56" customWidth="1"/>
  </cols>
  <sheetData>
    <row r="1" spans="1:5" x14ac:dyDescent="0.3">
      <c r="A1" s="61" t="s">
        <v>131</v>
      </c>
      <c r="B1" s="61" t="s">
        <v>130</v>
      </c>
      <c r="C1" s="61" t="s">
        <v>129</v>
      </c>
      <c r="D1" s="56" t="s">
        <v>128</v>
      </c>
      <c r="E1"/>
    </row>
    <row r="2" spans="1:5" ht="42" x14ac:dyDescent="0.3">
      <c r="A2">
        <v>1</v>
      </c>
      <c r="B2" s="60" t="s">
        <v>127</v>
      </c>
      <c r="C2" s="57" t="s">
        <v>126</v>
      </c>
      <c r="D2" s="56">
        <v>2</v>
      </c>
    </row>
    <row r="3" spans="1:5" ht="28" x14ac:dyDescent="0.3">
      <c r="A3">
        <v>2</v>
      </c>
      <c r="B3" s="60" t="s">
        <v>125</v>
      </c>
      <c r="C3" s="57" t="s">
        <v>124</v>
      </c>
      <c r="D3" s="56">
        <v>1</v>
      </c>
    </row>
    <row r="4" spans="1:5" ht="28" x14ac:dyDescent="0.3">
      <c r="A4">
        <v>3</v>
      </c>
      <c r="B4" s="60" t="s">
        <v>123</v>
      </c>
      <c r="C4" s="57" t="s">
        <v>122</v>
      </c>
      <c r="D4" s="56">
        <v>1</v>
      </c>
    </row>
    <row r="5" spans="1:5" ht="28" x14ac:dyDescent="0.3">
      <c r="A5">
        <v>4</v>
      </c>
      <c r="B5" s="60" t="s">
        <v>121</v>
      </c>
      <c r="C5" s="57" t="s">
        <v>120</v>
      </c>
      <c r="D5" s="56">
        <v>1</v>
      </c>
    </row>
    <row r="6" spans="1:5" ht="112" x14ac:dyDescent="0.3">
      <c r="A6">
        <v>5</v>
      </c>
      <c r="B6" s="60" t="s">
        <v>119</v>
      </c>
      <c r="C6" s="57" t="s">
        <v>118</v>
      </c>
      <c r="D6" s="56">
        <v>3</v>
      </c>
    </row>
    <row r="7" spans="1:5" x14ac:dyDescent="0.3">
      <c r="A7">
        <v>6</v>
      </c>
      <c r="B7" s="60" t="s">
        <v>117</v>
      </c>
      <c r="C7" s="57" t="s">
        <v>116</v>
      </c>
      <c r="D7" s="56">
        <v>1</v>
      </c>
    </row>
    <row r="8" spans="1:5" x14ac:dyDescent="0.3">
      <c r="A8">
        <v>7</v>
      </c>
      <c r="B8" s="60" t="s">
        <v>115</v>
      </c>
      <c r="C8" s="57" t="s">
        <v>114</v>
      </c>
      <c r="D8" s="56">
        <v>1</v>
      </c>
    </row>
    <row r="9" spans="1:5" ht="42" x14ac:dyDescent="0.3">
      <c r="A9">
        <v>8</v>
      </c>
      <c r="B9" s="60" t="s">
        <v>113</v>
      </c>
      <c r="C9" s="57" t="s">
        <v>112</v>
      </c>
      <c r="D9" s="56">
        <v>3</v>
      </c>
    </row>
    <row r="10" spans="1:5" ht="42" x14ac:dyDescent="0.3">
      <c r="A10">
        <v>9</v>
      </c>
      <c r="B10" s="60" t="s">
        <v>111</v>
      </c>
      <c r="C10" s="57" t="s">
        <v>110</v>
      </c>
      <c r="D10" s="56">
        <v>3</v>
      </c>
    </row>
    <row r="11" spans="1:5" x14ac:dyDescent="0.3">
      <c r="C11" s="59" t="s">
        <v>109</v>
      </c>
      <c r="D11" s="58">
        <f>SUM(D2:D10)</f>
        <v>16</v>
      </c>
      <c r="E11" s="58"/>
    </row>
    <row r="12" spans="1:5" x14ac:dyDescent="0.3">
      <c r="C12" s="57"/>
    </row>
    <row r="17" spans="3:3" x14ac:dyDescent="0.3">
      <c r="C17" s="57"/>
    </row>
  </sheetData>
  <phoneticPr fontId="2" type="noConversion"/>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63AB-D757-4F03-9B1D-4836544326B5}">
  <dimension ref="A1:E17"/>
  <sheetViews>
    <sheetView topLeftCell="A4" zoomScaleNormal="100" workbookViewId="0">
      <selection activeCell="C6" sqref="C6"/>
    </sheetView>
  </sheetViews>
  <sheetFormatPr defaultRowHeight="14" x14ac:dyDescent="0.3"/>
  <cols>
    <col min="2" max="2" width="13.75" customWidth="1"/>
    <col min="3" max="3" width="74.9140625" customWidth="1"/>
    <col min="4" max="5" width="11.4140625" style="56" customWidth="1"/>
  </cols>
  <sheetData>
    <row r="1" spans="1:5" x14ac:dyDescent="0.3">
      <c r="A1" s="61" t="s">
        <v>131</v>
      </c>
      <c r="B1" s="61" t="s">
        <v>130</v>
      </c>
      <c r="C1" s="61" t="s">
        <v>129</v>
      </c>
      <c r="D1" s="56" t="s">
        <v>128</v>
      </c>
      <c r="E1"/>
    </row>
    <row r="2" spans="1:5" ht="42" x14ac:dyDescent="0.3">
      <c r="A2">
        <v>1</v>
      </c>
      <c r="B2" s="60" t="s">
        <v>127</v>
      </c>
      <c r="C2" s="57" t="s">
        <v>126</v>
      </c>
      <c r="D2" s="56">
        <v>2</v>
      </c>
    </row>
    <row r="3" spans="1:5" ht="42" x14ac:dyDescent="0.3">
      <c r="A3">
        <v>2</v>
      </c>
      <c r="B3" s="60" t="s">
        <v>125</v>
      </c>
      <c r="C3" s="57" t="s">
        <v>158</v>
      </c>
      <c r="D3" s="56">
        <v>1</v>
      </c>
    </row>
    <row r="4" spans="1:5" ht="84" x14ac:dyDescent="0.3">
      <c r="A4">
        <v>3</v>
      </c>
      <c r="B4" s="60" t="s">
        <v>123</v>
      </c>
      <c r="C4" s="57" t="s">
        <v>157</v>
      </c>
      <c r="D4" s="56">
        <v>1</v>
      </c>
    </row>
    <row r="5" spans="1:5" ht="56" x14ac:dyDescent="0.3">
      <c r="A5">
        <v>4</v>
      </c>
      <c r="B5" s="60" t="s">
        <v>121</v>
      </c>
      <c r="C5" s="57" t="s">
        <v>159</v>
      </c>
      <c r="D5" s="56">
        <v>1</v>
      </c>
    </row>
    <row r="6" spans="1:5" ht="252" x14ac:dyDescent="0.3">
      <c r="A6">
        <v>5</v>
      </c>
      <c r="B6" s="60" t="s">
        <v>119</v>
      </c>
      <c r="C6" s="57" t="s">
        <v>160</v>
      </c>
      <c r="D6" s="56">
        <v>3</v>
      </c>
    </row>
    <row r="7" spans="1:5" x14ac:dyDescent="0.3">
      <c r="A7">
        <v>6</v>
      </c>
      <c r="B7" s="60" t="s">
        <v>117</v>
      </c>
      <c r="C7" s="57" t="s">
        <v>116</v>
      </c>
      <c r="D7" s="56">
        <v>1</v>
      </c>
    </row>
    <row r="8" spans="1:5" x14ac:dyDescent="0.3">
      <c r="A8">
        <v>7</v>
      </c>
      <c r="B8" s="60" t="s">
        <v>115</v>
      </c>
      <c r="C8" s="57" t="s">
        <v>114</v>
      </c>
      <c r="D8" s="56">
        <v>1</v>
      </c>
    </row>
    <row r="9" spans="1:5" ht="84" x14ac:dyDescent="0.3">
      <c r="A9">
        <v>8</v>
      </c>
      <c r="B9" s="60" t="s">
        <v>113</v>
      </c>
      <c r="C9" s="57" t="s">
        <v>161</v>
      </c>
      <c r="D9" s="56">
        <v>3</v>
      </c>
    </row>
    <row r="10" spans="1:5" ht="84" x14ac:dyDescent="0.3">
      <c r="A10">
        <v>9</v>
      </c>
      <c r="B10" s="60" t="s">
        <v>111</v>
      </c>
      <c r="C10" s="57" t="s">
        <v>162</v>
      </c>
      <c r="D10" s="56">
        <v>3</v>
      </c>
    </row>
    <row r="11" spans="1:5" x14ac:dyDescent="0.3">
      <c r="C11" s="59" t="s">
        <v>109</v>
      </c>
      <c r="D11" s="58">
        <f>SUM(D2:D10)</f>
        <v>16</v>
      </c>
      <c r="E11" s="58"/>
    </row>
    <row r="12" spans="1:5" x14ac:dyDescent="0.3">
      <c r="C12" s="57"/>
    </row>
    <row r="17" spans="3:3" x14ac:dyDescent="0.3">
      <c r="C17" s="57"/>
    </row>
  </sheetData>
  <phoneticPr fontId="2" type="noConversion"/>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2" ma:contentTypeDescription="Create a new document." ma:contentTypeScope="" ma:versionID="3e805128c69659f2433699bd8c61920c">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0d0e543510db6c7e58b046eaf1212eb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6D4415-C762-450B-8485-7FEDD80B95B9}">
  <ds:schemaRefs>
    <ds:schemaRef ds:uri="http://schemas.openxmlformats.org/package/2006/metadata/core-properties"/>
    <ds:schemaRef ds:uri="http://www.w3.org/XML/1998/namespace"/>
    <ds:schemaRef ds:uri="afd156ce-c20c-4333-9016-100ff8d3ce5f"/>
    <ds:schemaRef ds:uri="http://purl.org/dc/term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E5117552-A4DD-4071-A833-2B0E88A92624}"/>
</file>

<file path=customXml/itemProps3.xml><?xml version="1.0" encoding="utf-8"?>
<ds:datastoreItem xmlns:ds="http://schemas.openxmlformats.org/officeDocument/2006/customXml" ds:itemID="{C60BFA48-FA48-4AF3-B714-A139DC528F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Updated Gap Analysis</vt:lpstr>
      <vt:lpstr>Workflow</vt:lpstr>
      <vt:lpstr>SAP</vt:lpstr>
      <vt:lpstr>Dashboard</vt:lpstr>
      <vt:lpstr>Dashboard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Huo, Hanni</dc:creator>
  <cp:keywords/>
  <dc:description/>
  <cp:lastModifiedBy>Huo, Wendy</cp:lastModifiedBy>
  <cp:revision/>
  <dcterms:created xsi:type="dcterms:W3CDTF">2015-06-05T18:17:20Z</dcterms:created>
  <dcterms:modified xsi:type="dcterms:W3CDTF">2024-10-16T01:44:37Z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