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thermofisher.sharepoint.com/sites/HenkelProjectInternalTeam/Shared Documents/General/RTM/"/>
    </mc:Choice>
  </mc:AlternateContent>
  <xr:revisionPtr revIDLastSave="209" documentId="13_ncr:1_{4199A791-AE2F-4694-A37E-318F47EA10CA}" xr6:coauthVersionLast="47" xr6:coauthVersionMax="47" xr10:uidLastSave="{EBF666A8-FB94-44C9-8F33-1A1644A3BB46}"/>
  <bookViews>
    <workbookView xWindow="-108" yWindow="-108" windowWidth="23256" windowHeight="12576" activeTab="5" xr2:uid="{00000000-000D-0000-FFFF-FFFF00000000}"/>
  </bookViews>
  <sheets>
    <sheet name="Summary" sheetId="1" r:id="rId1"/>
    <sheet name="word" sheetId="3" r:id="rId2"/>
    <sheet name="Sample" sheetId="4" r:id="rId3"/>
    <sheet name="Stock" sheetId="5" r:id="rId4"/>
    <sheet name="Instrument" sheetId="6" r:id="rId5"/>
    <sheet name="Retain" sheetId="7" r:id="rId6"/>
    <sheet name="Security" sheetId="8" r:id="rId7"/>
    <sheet name="Workflow" sheetId="9" r:id="rId8"/>
    <sheet name="Customization" sheetId="10" r:id="rId9"/>
    <sheet name="Interface" sheetId="11" r:id="rId10"/>
  </sheets>
  <definedNames>
    <definedName name="_xlnm._FilterDatabase" localSheetId="8" hidden="1">Customization!$A$1:$J$80</definedName>
    <definedName name="_xlnm._FilterDatabase" localSheetId="2" hidden="1">Sample!$A$1:$J$107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0" l="1"/>
  <c r="N6" i="10"/>
  <c r="P4" i="10"/>
  <c r="O4" i="10"/>
  <c r="N4" i="10"/>
  <c r="O2" i="10"/>
  <c r="L2" i="10"/>
  <c r="N2" i="10"/>
  <c r="M2" i="10"/>
  <c r="N2" i="9"/>
  <c r="O2" i="9"/>
  <c r="N2" i="8"/>
  <c r="M2" i="5"/>
  <c r="N2" i="4"/>
  <c r="M2" i="4"/>
  <c r="L2" i="11"/>
  <c r="M2" i="9"/>
  <c r="L2" i="8"/>
  <c r="L2" i="7"/>
  <c r="L2" i="6"/>
  <c r="L2" i="5"/>
  <c r="L2" i="4"/>
  <c r="A28" i="3"/>
  <c r="C28" i="3"/>
  <c r="D28" i="3"/>
  <c r="B28" i="3"/>
  <c r="H12" i="1"/>
  <c r="H20" i="1"/>
  <c r="H22" i="1" s="1"/>
  <c r="F20" i="1"/>
  <c r="F12" i="1"/>
  <c r="F22" i="1" s="1"/>
  <c r="F30" i="1" s="1"/>
  <c r="G8" i="1"/>
  <c r="G12" i="1" s="1"/>
  <c r="G22" i="1" s="1"/>
  <c r="F8" i="1"/>
  <c r="G20" i="1"/>
  <c r="S4"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 Barry Pearce</author>
    <author>tc={624D5F3F-AE5F-4766-A651-3F1C7C950A67}</author>
    <author>tc={59EF8822-E686-46C8-BDDC-396452A1811D}</author>
    <author>tc={2FB1F2A2-C5B3-417A-B20A-9025510EF29F}</author>
    <author>tc={21FBA5D7-C266-4EC5-B627-58C21B9DA9F1}</author>
    <author>tc={1F7D40DD-7765-46D1-92A3-01403487D62B}</author>
    <author>tc={95DC7E2A-AA49-4A62-B5BC-BAA12877BDB3}</author>
    <author>tc={905B4ACD-64DA-42CD-A30A-A6742B695BF9}</author>
    <author>tc={D514950B-D67A-4EC8-995D-10FD533B130C}</author>
    <author>tc={158DD9C3-4F30-4946-99D7-D017B535960F}</author>
    <author>tc={574AD79C-24B9-46D4-9BDD-B4E991460C95}</author>
    <author>tc={2DBD3BD0-8371-4076-B7A3-751512E55781}</author>
    <author>tc={A5EFBB0B-CF37-4630-B613-A87825EB09AC}</author>
    <author>tc={3C9A4E74-ECE0-474F-9AA6-81537D3A0DE3}</author>
    <author>tc={EE9DD81D-49BD-4F35-8E5F-6A233328B9A6}</author>
    <author>tc={4DDE7DDB-82FE-4466-9B4C-AD12052341A3}</author>
    <author>tc={086B396F-65AA-4A23-A106-FA595C320289}</author>
    <author>tc={41A1DB2C-2AFA-499E-89E2-73FFA6777A7E}</author>
    <author>tc={4B211AFC-A029-4FC1-8898-7C282F34A440}</author>
    <author>tc={03F8D7B8-7FF2-43C4-9DF9-8644EF53BFA2}</author>
    <author>tc={DA2232CF-FA32-491D-B540-8AC522528625}</author>
  </authors>
  <commentList>
    <comment ref="D1" authorId="0" shapeId="0" xr:uid="{890C7DBB-C444-43E8-B6FC-278E2BE67CE8}">
      <text>
        <r>
          <rPr>
            <sz val="9"/>
            <color indexed="81"/>
            <rFont val="Tahoma"/>
            <family val="2"/>
          </rPr>
          <t xml:space="preserve">This is colmun is typically used to refer to the URS or RFP requirement number
</t>
        </r>
      </text>
    </comment>
    <comment ref="G3" authorId="1" shapeId="0" xr:uid="{624D5F3F-AE5F-4766-A651-3F1C7C950A67}">
      <text>
        <t>[Threaded comment]
Your version of Excel allows you to read this threaded comment; however, any edits to it will get removed if the file is opened in a newer version of Excel. Learn more: https://go.microsoft.com/fwlink/?linkid=870924
Comment:
    It should be used also for standard testing. Ex: Truck RM, 903 - IPQC, non MES plants. Need a configuration to identify these scenarios</t>
      </text>
    </comment>
    <comment ref="G9" authorId="2" shapeId="0" xr:uid="{59EF8822-E686-46C8-BDDC-396452A1811D}">
      <text>
        <t>[Threaded comment]
Your version of Excel allows you to read this threaded comment; however, any edits to it will get removed if the file is opened in a newer version of Excel. Learn more: https://go.microsoft.com/fwlink/?linkid=870924
Comment:
    Date and time</t>
      </text>
    </comment>
    <comment ref="G10" authorId="3" shapeId="0" xr:uid="{2FB1F2A2-C5B3-417A-B20A-9025510EF29F}">
      <text>
        <t>[Threaded comment]
Your version of Excel allows you to read this threaded comment; however, any edits to it will get removed if the file is opened in a newer version of Excel. Learn more: https://go.microsoft.com/fwlink/?linkid=870924
Comment:
    Need to add a mandatory comment for the cancellation.</t>
      </text>
    </comment>
    <comment ref="G12" authorId="4" shapeId="0" xr:uid="{21FBA5D7-C266-4EC5-B627-58C21B9DA9F1}">
      <text>
        <t>[Threaded comment]
Your version of Excel allows you to read this threaded comment; however, any edits to it will get removed if the file is opened in a newer version of Excel. Learn more: https://go.microsoft.com/fwlink/?linkid=870924
Comment:
    Do we need to mention some examples of configurable attributes  to ensure both teams are on same page?
Reply:
    Thermofisher will provide the details for henkel to choose</t>
      </text>
    </comment>
    <comment ref="G15" authorId="5" shapeId="0" xr:uid="{1F7D40DD-7765-46D1-92A3-01403487D62B}">
      <text>
        <t>[Threaded comment]
Your version of Excel allows you to read this threaded comment; however, any edits to it will get removed if the file is opened in a newer version of Excel. Learn more: https://go.microsoft.com/fwlink/?linkid=870924
Comment:
    Provision for traceability of split samples with a parent sample should be available</t>
      </text>
    </comment>
    <comment ref="G17" authorId="6" shapeId="0" xr:uid="{95DC7E2A-AA49-4A62-B5BC-BAA12877BDB3}">
      <text>
        <t>[Threaded comment]
Your version of Excel allows you to read this threaded comment; however, any edits to it will get removed if the file is opened in a newer version of Excel. Learn more: https://go.microsoft.com/fwlink/?linkid=870924
Comment:
    Should be access driven, only specific users with right roles can create or modify</t>
      </text>
    </comment>
    <comment ref="G18" authorId="7" shapeId="0" xr:uid="{905B4ACD-64DA-42CD-A30A-A6742B695BF9}">
      <text>
        <t>[Threaded comment]
Your version of Excel allows you to read this threaded comment; however, any edits to it will get removed if the file is opened in a newer version of Excel. Learn more: https://go.microsoft.com/fwlink/?linkid=870924
Comment:
    If the test is failed and need to retest - Based on the sample number, multiple inspection points to be created in SAP for all standard testing flows. This is to record all failure as well as success of parameters in SAP.</t>
      </text>
    </comment>
    <comment ref="G21" authorId="8" shapeId="0" xr:uid="{D514950B-D67A-4EC8-995D-10FD533B130C}">
      <text>
        <t>[Threaded comment]
Your version of Excel allows you to read this threaded comment; however, any edits to it will get removed if the file is opened in a newer version of Excel. Learn more: https://go.microsoft.com/fwlink/?linkid=870924
Comment:
    Specification limit to be pulled from SAP inspection plan</t>
      </text>
    </comment>
    <comment ref="G24" authorId="9" shapeId="0" xr:uid="{158DD9C3-4F30-4946-99D7-D017B535960F}">
      <text>
        <t>[Threaded comment]
Your version of Excel allows you to read this threaded comment; however, any edits to it will get removed if the file is opened in a newer version of Excel. Learn more: https://go.microsoft.com/fwlink/?linkid=870924
Comment:
    It can be barcode or QRCode</t>
      </text>
    </comment>
    <comment ref="G30" authorId="10" shapeId="0" xr:uid="{574AD79C-24B9-46D4-9BDD-B4E991460C95}">
      <text>
        <t>[Threaded comment]
Your version of Excel allows you to read this threaded comment; however, any edits to it will get removed if the file is opened in a newer version of Excel. Learn more: https://go.microsoft.com/fwlink/?linkid=870924
Comment:
    What all attributes can be modified should be configurable and access driven.</t>
      </text>
    </comment>
    <comment ref="G31" authorId="11" shapeId="0" xr:uid="{2DBD3BD0-8371-4076-B7A3-751512E55781}">
      <text>
        <t>[Threaded comment]
Your version of Excel allows you to read this threaded comment; however, any edits to it will get removed if the file is opened in a newer version of Excel. Learn more: https://go.microsoft.com/fwlink/?linkid=870924
Comment:
    For RM, in case CoA data already available in SAP inspection lot, the details should be displayed even if the data entry is not required in QCLAD
Reply:
    Details: Data recorded within inspection lot, MIC, Spec, Test result</t>
      </text>
    </comment>
    <comment ref="G32" authorId="12" shapeId="0" xr:uid="{A5EFBB0B-CF37-4630-B613-A87825EB09AC}">
      <text>
        <t>[Threaded comment]
Your version of Excel allows you to read this threaded comment; however, any edits to it will get removed if the file is opened in a newer version of Excel. Learn more: https://go.microsoft.com/fwlink/?linkid=870924
Comment:
    The instructions of calculations, lab instruments to be pulled from SOP.
Reply:
    Approved by Thermofisher 2024/06/18</t>
      </text>
    </comment>
    <comment ref="G37" authorId="13" shapeId="0" xr:uid="{3C9A4E74-ECE0-474F-9AA6-81537D3A0DE3}">
      <text>
        <t>[Threaded comment]
Your version of Excel allows you to read this threaded comment; however, any edits to it will get removed if the file is opened in a newer version of Excel. Learn more: https://go.microsoft.com/fwlink/?linkid=870924
Comment:
    Multiple test, samples can be from different materials, material types(Raw material, Semi finished goods, finished goods)
Reply:
    Approved by Thermofisher 2024/06/18</t>
      </text>
    </comment>
    <comment ref="G39" authorId="14" shapeId="0" xr:uid="{EE9DD81D-49BD-4F35-8E5F-6A233328B9A6}">
      <text>
        <t xml:space="preserve">[Threaded comment]
Your version of Excel allows you to read this threaded comment; however, any edits to it will get removed if the file is opened in a newer version of Excel. Learn more: https://go.microsoft.com/fwlink/?linkid=870924
Comment:
    Only for active samples. </t>
      </text>
    </comment>
    <comment ref="G43" authorId="15" shapeId="0" xr:uid="{4DDE7DDB-82FE-4466-9B4C-AD12052341A3}">
      <text>
        <t>[Threaded comment]
Your version of Excel allows you to read this threaded comment; however, any edits to it will get removed if the file is opened in a newer version of Excel. Learn more: https://go.microsoft.com/fwlink/?linkid=870924
Comment:
    Recording one result should be 1 user responsibility but test can be started by one person and continued by another person.
Reply:
    Confimed with Thermofisher 2024/06/18</t>
      </text>
    </comment>
    <comment ref="G47" authorId="16" shapeId="0" xr:uid="{086B396F-65AA-4A23-A106-FA595C320289}">
      <text>
        <t>[Threaded comment]
Your version of Excel allows you to read this threaded comment; however, any edits to it will get removed if the file is opened in a newer version of Excel. Learn more: https://go.microsoft.com/fwlink/?linkid=870924
Comment:
    Peer review should be configurable at material group level
Reply:
    There should be configurable option.</t>
      </text>
    </comment>
    <comment ref="G55" authorId="17" shapeId="0" xr:uid="{41A1DB2C-2AFA-499E-89E2-73FFA6777A7E}">
      <text>
        <t>[Threaded comment]
Your version of Excel allows you to read this threaded comment; however, any edits to it will get removed if the file is opened in a newer version of Excel. Learn more: https://go.microsoft.com/fwlink/?linkid=870924
Comment:
    Return to tester - reviewer should be able to select the operator and sample status have to be changed back to test status</t>
      </text>
    </comment>
    <comment ref="G80" authorId="18" shapeId="0" xr:uid="{4B211AFC-A029-4FC1-8898-7C282F34A440}">
      <text>
        <t>[Threaded comment]
Your version of Excel allows you to read this threaded comment; however, any edits to it will get removed if the file is opened in a newer version of Excel. Learn more: https://go.microsoft.com/fwlink/?linkid=870924
Comment:
    For Type C and type D only manual entry. It should also override the results recorded from Type A and Type B in case there are any issues in data capture.</t>
      </text>
    </comment>
    <comment ref="G81" authorId="19" shapeId="0" xr:uid="{03F8D7B8-7FF2-43C4-9DF9-8644EF53BFA2}">
      <text>
        <t>[Threaded comment]
Your version of Excel allows you to read this threaded comment; however, any edits to it will get removed if the file is opened in a newer version of Excel. Learn more: https://go.microsoft.com/fwlink/?linkid=870924
Comment:
    System shall display standard cycle time, operator id who is performing the task, items consumed in the test process and its quantity. We also need to check whether it is possible to get actual cycle time of sample testing.
Reply:
    For cycle time of test under MIC level, the system should be able to compare standard cycle time to actual cycle time.
Reply:
    Update</t>
      </text>
    </comment>
    <comment ref="G104" authorId="20" shapeId="0" xr:uid="{DA2232CF-FA32-491D-B540-8AC522528625}">
      <text>
        <t xml:space="preserve">[Threaded comment]
Your version of Excel allows you to read this threaded comment; however, any edits to it will get removed if the file is opened in a newer version of Excel. Learn more: https://go.microsoft.com/fwlink/?linkid=870924
Comment:
    System should not allow the user to take a testing task if the operator is not qualified
Reply:
    Agreed.
Reply:
    Update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Dr Barry Pearce</author>
    <author>tc={0BE4C16C-B801-41F9-91CF-722D8D4C9676}</author>
    <author>tc={7BAFADE2-DE94-4BF6-9C3D-98DA4273B225}</author>
    <author>tc={A1583974-FD37-45E2-8951-0F49C1EA1307}</author>
  </authors>
  <commentList>
    <comment ref="D1" authorId="0" shapeId="0" xr:uid="{0AAEFE2D-ED1C-4A93-827A-F8E9D5941482}">
      <text>
        <r>
          <rPr>
            <sz val="9"/>
            <color indexed="81"/>
            <rFont val="Tahoma"/>
            <family val="2"/>
          </rPr>
          <t xml:space="preserve">This is colmun is typically used to refer to the URS or RFP requirement number
</t>
        </r>
      </text>
    </comment>
    <comment ref="G6" authorId="1" shapeId="0" xr:uid="{0BE4C16C-B801-41F9-91CF-722D8D4C9676}">
      <text>
        <t>[Threaded comment]
Your version of Excel allows you to read this threaded comment; however, any edits to it will get removed if the file is opened in a newer version of Excel. Learn more: https://go.microsoft.com/fwlink/?linkid=870924
Comment:
    The fields for master data to be agreed by both teams
Reply:
    Agree</t>
      </text>
    </comment>
    <comment ref="G9" authorId="2" shapeId="0" xr:uid="{7BAFADE2-DE94-4BF6-9C3D-98DA4273B225}">
      <text>
        <t>[Threaded comment]
Your version of Excel allows you to read this threaded comment; however, any edits to it will get removed if the file is opened in a newer version of Excel. Learn more: https://go.microsoft.com/fwlink/?linkid=870924
Comment:
    do we also need maximum quantity?
Reply:
    Yes, for flammable and explosive reagents 
Reply:
    TF need to add maximum part also
Reply:
    update</t>
      </text>
    </comment>
    <comment ref="G18" authorId="3" shapeId="0" xr:uid="{A1583974-FD37-45E2-8951-0F49C1EA1307}">
      <text>
        <t>[Threaded comment]
Your version of Excel allows you to read this threaded comment; however, any edits to it will get removed if the file is opened in a newer version of Excel. Learn more: https://go.microsoft.com/fwlink/?linkid=870924
Comment:
    GHS information to be pulled from SAP system
Reply:
    update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Dr Barry Pearce</author>
    <author>tc={947DB4EE-D381-4253-9DF8-B96A434E1DA6}</author>
  </authors>
  <commentList>
    <comment ref="D1" authorId="0" shapeId="0" xr:uid="{2E4FD2E3-910A-4652-8547-99F2B42C5FD9}">
      <text>
        <r>
          <rPr>
            <sz val="9"/>
            <color indexed="81"/>
            <rFont val="Tahoma"/>
            <family val="2"/>
          </rPr>
          <t xml:space="preserve">This is colmun is typically used to refer to the URS or RFP requirement number
</t>
        </r>
      </text>
    </comment>
    <comment ref="G4" authorId="1" shapeId="0" xr:uid="{947DB4EE-D381-4253-9DF8-B96A434E1DA6}">
      <text>
        <t>[Threaded comment]
Your version of Excel allows you to read this threaded comment; however, any edits to it will get removed if the file is opened in a newer version of Excel. Learn more: https://go.microsoft.com/fwlink/?linkid=870924
Comment:
    Specification and parameters have to be maintained in equipment master data whereas the details of spare parts, calibration and maintenance requirements to be available in their respective SOPs. 
Reply:
    Update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Dr Barry Pearce</author>
    <author>tc={DD5A4C72-6B57-4262-A46D-A8C2144A3F5E}</author>
  </authors>
  <commentList>
    <comment ref="D1" authorId="0" shapeId="0" xr:uid="{B57FCB33-857E-4C66-A0C8-83EE7F0EAC66}">
      <text>
        <r>
          <rPr>
            <sz val="9"/>
            <color indexed="81"/>
            <rFont val="Tahoma"/>
            <family val="2"/>
          </rPr>
          <t xml:space="preserve">This is colmun is typically used to refer to the URS or RFP requirement number
</t>
        </r>
      </text>
    </comment>
    <comment ref="G2" authorId="1" shapeId="0" xr:uid="{DD5A4C72-6B57-4262-A46D-A8C2144A3F5E}">
      <text>
        <t>[Threaded comment]
Your version of Excel allows you to read this threaded comment; however, any edits to it will get removed if the file is opened in a newer version of Excel. Learn more: https://go.microsoft.com/fwlink/?linkid=870924
Comment:
    The understanding, by giving the material and batch, we should be able to retrieve the storage location for consumables, retain sample
Reply:
    Exactly
Reply:
    update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Dr Barry Pearce</author>
  </authors>
  <commentList>
    <comment ref="D1" authorId="0" shapeId="0" xr:uid="{D5944395-7AFA-4E65-AA19-634E313377BB}">
      <text>
        <r>
          <rPr>
            <sz val="9"/>
            <color indexed="81"/>
            <rFont val="Tahoma"/>
            <family val="2"/>
          </rPr>
          <t xml:space="preserve">This is colmun is typically used to refer to the URS or RFP requirement number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Dr Barry Pearce</author>
    <author>tc={F8F50A8B-9AB2-45A5-8634-28444E199CEF}</author>
    <author>tc={040CF7B5-C04D-4281-BCDD-0C702F4C31C0}</author>
    <author>tc={C385A81E-AF98-4AE5-A3F1-A83CB1104342}</author>
    <author>tc={B56A05FA-B93D-4AF4-8427-146E33749F7C}</author>
    <author>tc={908A12CC-5975-4750-A5CA-99EFEF9CBE31}</author>
  </authors>
  <commentList>
    <comment ref="D1" authorId="0" shapeId="0" xr:uid="{46E1D3C9-B733-4DFD-B0FC-612C1EA7CC5B}">
      <text>
        <r>
          <rPr>
            <sz val="9"/>
            <color indexed="81"/>
            <rFont val="Tahoma"/>
            <family val="2"/>
          </rPr>
          <t xml:space="preserve">This is colmun is typically used to refer to the URS or RFP requirement number
</t>
        </r>
      </text>
    </comment>
    <comment ref="G2" authorId="1" shapeId="0" xr:uid="{F8F50A8B-9AB2-45A5-8634-28444E199CEF}">
      <text>
        <t>[Threaded comment]
Your version of Excel allows you to read this threaded comment; however, any edits to it will get removed if the file is opened in a newer version of Excel. Learn more: https://go.microsoft.com/fwlink/?linkid=870924
Comment:
    Which has an inspection lot(automatic)</t>
      </text>
    </comment>
    <comment ref="I5" authorId="2" shapeId="0" xr:uid="{040CF7B5-C04D-4281-BCDD-0C702F4C31C0}">
      <text>
        <t>[Threaded comment]
Your version of Excel allows you to read this threaded comment; however, any edits to it will get removed if the file is opened in a newer version of Excel. Learn more: https://go.microsoft.com/fwlink/?linkid=870924
Comment:
    Why is this item customisation as it is standard functionality
Reply:
    All with interface is customisation for us</t>
      </text>
    </comment>
    <comment ref="G7" authorId="3" shapeId="0" xr:uid="{C385A81E-AF98-4AE5-A3F1-A83CB1104342}">
      <text>
        <t>[Threaded comment]
Your version of Excel allows you to read this threaded comment; however, any edits to it will get removed if the file is opened in a newer version of Excel. Learn more: https://go.microsoft.com/fwlink/?linkid=870924
Comment:
    It can be barcode or QRCode</t>
      </text>
    </comment>
    <comment ref="G21" authorId="4" shapeId="0" xr:uid="{B56A05FA-B93D-4AF4-8427-146E33749F7C}">
      <text>
        <t>[Threaded comment]
Your version of Excel allows you to read this threaded comment; however, any edits to it will get removed if the file is opened in a newer version of Excel. Learn more: https://go.microsoft.com/fwlink/?linkid=870924
Comment:
    Or store the file in a configurable shared drive
Reply:
    Manually or automatically
Reply:
    Automatically to a sharefolder</t>
      </text>
    </comment>
    <comment ref="G80" authorId="5" shapeId="0" xr:uid="{908A12CC-5975-4750-A5CA-99EFEF9CBE31}">
      <text>
        <t xml:space="preserve">[Threaded comment]
Your version of Excel allows you to read this threaded comment; however, any edits to it will get removed if the file is opened in a newer version of Excel. Learn more: https://go.microsoft.com/fwlink/?linkid=870924
Comment:
    what is the basis of automatic assignment?
Reply:
    Can be found in task list
Reply:
    Solution preparation will also be maintained in skill matrix.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Dr Barry Pearce</author>
  </authors>
  <commentList>
    <comment ref="D1" authorId="0" shapeId="0" xr:uid="{C63C9E6B-A9A3-4023-81B7-91B69179F1C8}">
      <text>
        <r>
          <rPr>
            <sz val="9"/>
            <color indexed="81"/>
            <rFont val="Tahoma"/>
            <family val="2"/>
          </rPr>
          <t xml:space="preserve">This is colmun is typically used to refer to the URS or RFP requirement number
</t>
        </r>
      </text>
    </comment>
  </commentList>
</comments>
</file>

<file path=xl/sharedStrings.xml><?xml version="1.0" encoding="utf-8"?>
<sst xmlns="http://schemas.openxmlformats.org/spreadsheetml/2006/main" count="2022" uniqueCount="634">
  <si>
    <t>Sample</t>
  </si>
  <si>
    <t>PPA&amp;PPB</t>
  </si>
  <si>
    <t>PPA</t>
  </si>
  <si>
    <t>PPB</t>
  </si>
  <si>
    <t>Stock</t>
  </si>
  <si>
    <t>Instrument</t>
  </si>
  <si>
    <t>Retain</t>
  </si>
  <si>
    <t>Security</t>
  </si>
  <si>
    <t>LES</t>
  </si>
  <si>
    <t>Report</t>
  </si>
  <si>
    <t>Label</t>
  </si>
  <si>
    <t>IM</t>
  </si>
  <si>
    <t>Static Data Assistance</t>
  </si>
  <si>
    <t>SUM</t>
  </si>
  <si>
    <t>Config</t>
  </si>
  <si>
    <t>buffer</t>
  </si>
  <si>
    <t>Time</t>
  </si>
  <si>
    <t>Workflow</t>
  </si>
  <si>
    <t>Add</t>
  </si>
  <si>
    <t xml:space="preserve">因为PPB工作减少了3天（原来是10天，现在评估是7天）；
又由于workflowPPA加了5天；
又由于留样和库存需求混合，所以进一步分析，留样增加1天，库存增加5天
5+1+5-3=8天
再增加仪器2天
总计增加8+2=10天
</t>
  </si>
  <si>
    <t>adjust rtm</t>
  </si>
  <si>
    <t>Summary</t>
  </si>
  <si>
    <t>develop</t>
  </si>
  <si>
    <t>Sample &amp; Stock</t>
  </si>
  <si>
    <r>
      <t xml:space="preserve">
再增加其他开发项25天
总计增加10+30=</t>
    </r>
    <r>
      <rPr>
        <sz val="11"/>
        <color rgb="FFFF0000"/>
        <rFont val="Calibri"/>
        <family val="2"/>
        <scheme val="minor"/>
      </rPr>
      <t>40天</t>
    </r>
    <r>
      <rPr>
        <sz val="11"/>
        <color theme="1"/>
        <rFont val="Calibri"/>
        <family val="2"/>
        <scheme val="minor"/>
      </rPr>
      <t xml:space="preserve">
</t>
    </r>
  </si>
  <si>
    <t>Time1</t>
  </si>
  <si>
    <t>Time1+2</t>
  </si>
  <si>
    <t>SOW</t>
  </si>
  <si>
    <t>same</t>
  </si>
  <si>
    <t>Time2</t>
  </si>
  <si>
    <t>NO interface</t>
  </si>
  <si>
    <r>
      <t>PPA(</t>
    </r>
    <r>
      <rPr>
        <b/>
        <sz val="10"/>
        <color rgb="FF000000"/>
        <rFont val="等线"/>
      </rPr>
      <t>原</t>
    </r>
    <r>
      <rPr>
        <b/>
        <sz val="10"/>
        <color rgb="FF000000"/>
        <rFont val="Calibri"/>
        <family val="2"/>
      </rPr>
      <t>)</t>
    </r>
  </si>
  <si>
    <r>
      <t>PPA(</t>
    </r>
    <r>
      <rPr>
        <b/>
        <sz val="10"/>
        <color rgb="FF000000"/>
        <rFont val="等线"/>
      </rPr>
      <t>估</t>
    </r>
    <r>
      <rPr>
        <b/>
        <sz val="10"/>
        <color rgb="FF000000"/>
        <rFont val="Calibri"/>
        <family val="2"/>
      </rPr>
      <t>)</t>
    </r>
  </si>
  <si>
    <r>
      <t>PPB(</t>
    </r>
    <r>
      <rPr>
        <b/>
        <sz val="10"/>
        <color rgb="FF000000"/>
        <rFont val="等线"/>
      </rPr>
      <t>原</t>
    </r>
    <r>
      <rPr>
        <b/>
        <sz val="10"/>
        <color rgb="FF000000"/>
        <rFont val="Calibri"/>
        <family val="2"/>
      </rPr>
      <t>)</t>
    </r>
  </si>
  <si>
    <r>
      <t>PPB(</t>
    </r>
    <r>
      <rPr>
        <b/>
        <sz val="10"/>
        <color rgb="FF000000"/>
        <rFont val="等线"/>
      </rPr>
      <t>估</t>
    </r>
    <r>
      <rPr>
        <b/>
        <sz val="10"/>
        <color rgb="FF000000"/>
        <rFont val="Calibri"/>
        <family val="2"/>
      </rPr>
      <t>)</t>
    </r>
  </si>
  <si>
    <t>SOW No.</t>
  </si>
  <si>
    <t>4,5</t>
  </si>
  <si>
    <t>gathering
status</t>
  </si>
  <si>
    <t>Module</t>
  </si>
  <si>
    <t>Req. No.</t>
  </si>
  <si>
    <t>URS Ref.</t>
  </si>
  <si>
    <t xml:space="preserve">Delivery Phase </t>
  </si>
  <si>
    <t>Functional Area / Workshop</t>
  </si>
  <si>
    <t>Requirement</t>
  </si>
  <si>
    <t>Priority</t>
  </si>
  <si>
    <t>Type</t>
  </si>
  <si>
    <t>Estimate</t>
  </si>
  <si>
    <t>complete</t>
    <phoneticPr fontId="6" type="noConversion"/>
  </si>
  <si>
    <t>R001</t>
  </si>
  <si>
    <t>4.1.1.1.1</t>
    <phoneticPr fontId="0" type="noConversion"/>
  </si>
  <si>
    <t>Phase A</t>
  </si>
  <si>
    <t>System shall be able to login samples using configurable templates</t>
  </si>
  <si>
    <t>Must</t>
  </si>
  <si>
    <t>Configuration</t>
  </si>
  <si>
    <t>complete</t>
  </si>
  <si>
    <t>R002</t>
  </si>
  <si>
    <t>4.1.1.1.3</t>
  </si>
  <si>
    <t>System shall be able to create samples manually for standard testing.</t>
    <phoneticPr fontId="0" type="noConversion"/>
  </si>
  <si>
    <t>R003</t>
  </si>
  <si>
    <t>4.1.1.1.4</t>
    <phoneticPr fontId="0" type="noConversion"/>
  </si>
  <si>
    <t>System shall be able to create samples manually for non-standard testing.</t>
    <phoneticPr fontId="0" type="noConversion"/>
  </si>
  <si>
    <t>/</t>
  </si>
  <si>
    <t>R006</t>
  </si>
  <si>
    <t>4.1.1.2.2</t>
    <phoneticPr fontId="0" type="noConversion"/>
  </si>
  <si>
    <t>System shall be able to create sample based on events scheduled within QCLAD.</t>
  </si>
  <si>
    <t>Standard</t>
  </si>
  <si>
    <t>R007</t>
    <phoneticPr fontId="0" type="noConversion"/>
  </si>
  <si>
    <t>4.1.1.3.1</t>
  </si>
  <si>
    <t>System shall assign a unique sample ID to each sample logged in.</t>
  </si>
  <si>
    <t>R008</t>
  </si>
  <si>
    <t>4.1.1.3.2</t>
  </si>
  <si>
    <t>System shall be able to scan the Labels from MES system and fetch unique ID.</t>
  </si>
  <si>
    <t>Customisation</t>
  </si>
  <si>
    <t>R009</t>
    <phoneticPr fontId="0" type="noConversion"/>
  </si>
  <si>
    <t>4.1.1.3.4</t>
  </si>
  <si>
    <t>System shall allow user to print QCLaD Labels if the Plant doesn’t use MES system.</t>
  </si>
  <si>
    <t>R010</t>
    <phoneticPr fontId="0" type="noConversion"/>
  </si>
  <si>
    <t>4.1.1.4.1</t>
  </si>
  <si>
    <t>System shall be able to retrive the sample receive date and time.</t>
  </si>
  <si>
    <t>R011</t>
    <phoneticPr fontId="0" type="noConversion"/>
  </si>
  <si>
    <t>4.1.1.5.1</t>
  </si>
  <si>
    <t>System shall be able to allow privileged users to cancel samples.</t>
  </si>
  <si>
    <t>R012</t>
    <phoneticPr fontId="0" type="noConversion"/>
  </si>
  <si>
    <t>4.1.1.5.2</t>
    <phoneticPr fontId="0" type="noConversion"/>
  </si>
  <si>
    <t>System shall be able to add a mandatory comment for the cancellation.</t>
    <phoneticPr fontId="0" type="noConversion"/>
  </si>
  <si>
    <t>R013</t>
    <phoneticPr fontId="0" type="noConversion"/>
  </si>
  <si>
    <t>4.1.1.6.1</t>
  </si>
  <si>
    <t>System shall be able to define configurable attributes for a sample which can be modified.</t>
  </si>
  <si>
    <t>R014</t>
    <phoneticPr fontId="0" type="noConversion"/>
  </si>
  <si>
    <t>4.1.1.7.1</t>
  </si>
  <si>
    <t>System shall be able to allow the definition of sample types and test schedule.</t>
  </si>
  <si>
    <t>R016</t>
    <phoneticPr fontId="0" type="noConversion"/>
  </si>
  <si>
    <t>4.1.1.8.1</t>
  </si>
  <si>
    <t>System shall be able to log in either single or multiple samples from the same batch.</t>
  </si>
  <si>
    <t>R017</t>
    <phoneticPr fontId="0" type="noConversion"/>
  </si>
  <si>
    <t>4.1.1.9.1</t>
  </si>
  <si>
    <t>The system shall be able to split samples.</t>
    <phoneticPr fontId="6" type="noConversion"/>
  </si>
  <si>
    <t>R019</t>
    <phoneticPr fontId="6" type="noConversion"/>
  </si>
  <si>
    <t>4.1.1.10.1</t>
  </si>
  <si>
    <t xml:space="preserve">System shall be able to log in non routine samples. </t>
    <phoneticPr fontId="6" type="noConversion"/>
  </si>
  <si>
    <t>R020</t>
    <phoneticPr fontId="6" type="noConversion"/>
  </si>
  <si>
    <t>4.1.1.10.2</t>
  </si>
  <si>
    <t>System shall allow specific user to select specifications and test methods for non routine samples.</t>
  </si>
  <si>
    <t>R021</t>
    <phoneticPr fontId="6" type="noConversion"/>
  </si>
  <si>
    <t>4.1.1.11.1</t>
  </si>
  <si>
    <t>system shall be able to retest.</t>
    <phoneticPr fontId="6" type="noConversion"/>
  </si>
  <si>
    <t>R022</t>
    <phoneticPr fontId="6" type="noConversion"/>
  </si>
  <si>
    <t>4.1.1.11.2</t>
  </si>
  <si>
    <t>System shall be record all failure as well as success of parameters in QCLAD.</t>
  </si>
  <si>
    <t>R024</t>
    <phoneticPr fontId="6" type="noConversion"/>
  </si>
  <si>
    <t>4.1.1.12.1</t>
  </si>
  <si>
    <t>System shall be able to resample and association with the original sample.</t>
  </si>
  <si>
    <t>R025</t>
    <phoneticPr fontId="6" type="noConversion"/>
  </si>
  <si>
    <t>4.1.1.13.1</t>
  </si>
  <si>
    <t>System shall be able to associate MLP to the tests for a sample.</t>
  </si>
  <si>
    <t>R028</t>
  </si>
  <si>
    <t>4.1.1.14.2</t>
  </si>
  <si>
    <t>System shall support modify specialist analysts and group restriction during the sample life cycle.</t>
  </si>
  <si>
    <t>R029</t>
    <phoneticPr fontId="6" type="noConversion"/>
  </si>
  <si>
    <t>4.1.1.15.1</t>
  </si>
  <si>
    <t>System shall be able to allow user to enter comments at Sample log-in.</t>
  </si>
  <si>
    <t>R030</t>
    <phoneticPr fontId="6" type="noConversion"/>
  </si>
  <si>
    <t>4.1.1.16.1</t>
  </si>
  <si>
    <t>System shall be able to scan barcode or QRCode and match barcode or QRCode sample in QCLAD system.</t>
  </si>
  <si>
    <t>R031</t>
    <phoneticPr fontId="6" type="noConversion"/>
  </si>
  <si>
    <t>4.1.1.17.1</t>
  </si>
  <si>
    <t>System shall be automatically login samples from a schedule.</t>
  </si>
  <si>
    <t>R034</t>
    <phoneticPr fontId="6" type="noConversion"/>
  </si>
  <si>
    <t>4.1.1.18.1</t>
  </si>
  <si>
    <t>Sytem shall be able to allow entry / modification of attribute data at point of single or multiple sample receipt using configurable templates.</t>
  </si>
  <si>
    <t>R035</t>
  </si>
  <si>
    <t>4.1.1.18.2</t>
  </si>
  <si>
    <t>System shall be able to receive sample by scanning MES label</t>
  </si>
  <si>
    <t>pending</t>
  </si>
  <si>
    <t>R037</t>
    <phoneticPr fontId="6" type="noConversion"/>
  </si>
  <si>
    <t>4.1.1.19.1</t>
  </si>
  <si>
    <t>Mark</t>
  </si>
  <si>
    <r>
      <t xml:space="preserve">The system shall provide functionality to allow entry of any irregularities recorded(log form like google form </t>
    </r>
    <r>
      <rPr>
        <sz val="11"/>
        <color rgb="FFFF0000"/>
        <rFont val="Calibri Light"/>
        <family val="1"/>
        <scheme val="major"/>
      </rPr>
      <t>delete</t>
    </r>
    <r>
      <rPr>
        <sz val="11"/>
        <rFont val="Calibri Light"/>
        <family val="1"/>
        <scheme val="major"/>
      </rPr>
      <t>) sample according to laboratory business rules.</t>
    </r>
  </si>
  <si>
    <t>R038</t>
  </si>
  <si>
    <t>4.1.1.19.2</t>
    <phoneticPr fontId="0" type="noConversion"/>
  </si>
  <si>
    <r>
      <t xml:space="preserve">The system shall provide functionality to allow entry of any </t>
    </r>
    <r>
      <rPr>
        <sz val="11"/>
        <color rgb="FFFF0000"/>
        <rFont val="Calibri Light"/>
        <family val="1"/>
        <scheme val="major"/>
      </rPr>
      <t>route sample</t>
    </r>
    <r>
      <rPr>
        <sz val="11"/>
        <rFont val="Calibri Light"/>
        <family val="1"/>
        <scheme val="major"/>
      </rPr>
      <t xml:space="preserve"> according to laboratory business rules. (</t>
    </r>
    <r>
      <rPr>
        <sz val="11"/>
        <color rgb="FFFF0000"/>
        <rFont val="Calibri Light"/>
        <family val="1"/>
        <scheme val="major"/>
      </rPr>
      <t>still confusing</t>
    </r>
    <r>
      <rPr>
        <sz val="11"/>
        <rFont val="Calibri Light"/>
        <family val="1"/>
        <scheme val="major"/>
      </rPr>
      <t>)</t>
    </r>
  </si>
  <si>
    <t>4.1.1.20.1</t>
  </si>
  <si>
    <t>System shall allow users to modify sample attributes after sample receipt.</t>
    <phoneticPr fontId="6" type="noConversion"/>
  </si>
  <si>
    <t>4.1.2.3.1</t>
    <phoneticPr fontId="0" type="noConversion"/>
  </si>
  <si>
    <t>System shall be able to display all results data to the sample.</t>
  </si>
  <si>
    <t>4.1.2.4.1</t>
    <phoneticPr fontId="0" type="noConversion"/>
  </si>
  <si>
    <t>System shall be able to calculate results based on reported or recorded data which from instruments.</t>
  </si>
  <si>
    <t>4.1.2.5.1</t>
    <phoneticPr fontId="0" type="noConversion"/>
  </si>
  <si>
    <t>System shall be able to record all data in whole testing process, including raw data captured from instrument, entry data, data calculated by formular, reported data, data which push to SAP.</t>
    <phoneticPr fontId="6" type="noConversion"/>
  </si>
  <si>
    <t>4.1.2.5.2</t>
  </si>
  <si>
    <t>System shall be able to mark final results against specification limits and flag failures.</t>
  </si>
  <si>
    <t>4.1.2.7.1</t>
    <phoneticPr fontId="0" type="noConversion"/>
  </si>
  <si>
    <t>System shall be able to support results entry for multiple tests performed on a single sample.</t>
  </si>
  <si>
    <t>4.1.2.8.1</t>
    <phoneticPr fontId="0" type="noConversion"/>
  </si>
  <si>
    <t>System shall be able to support results entry for an individual test on a single sample.</t>
  </si>
  <si>
    <t>4.1.29.1</t>
    <phoneticPr fontId="0" type="noConversion"/>
  </si>
  <si>
    <t>System shall be able to support results entry for single or multiple tests performed on multiple samples.</t>
  </si>
  <si>
    <t>4.1.2.10.1</t>
  </si>
  <si>
    <t>System shall be able to verify entered results data (e.g., pH, sample color, specific gravity) against specification limits.</t>
  </si>
  <si>
    <t>4.1.2.11.1</t>
    <phoneticPr fontId="0" type="noConversion"/>
  </si>
  <si>
    <t>System shall be able to prevent the acceptance of partial or incomplete data entry for results and active samples.</t>
  </si>
  <si>
    <t>4.1.2.13.1</t>
    <phoneticPr fontId="0" type="noConversion"/>
  </si>
  <si>
    <t>System shall be able to support multipe analysis type, including numeric, text, characters, calculated, file, Boolean and optional.</t>
  </si>
  <si>
    <t>4.1.2.14.1</t>
    <phoneticPr fontId="0" type="noConversion"/>
  </si>
  <si>
    <t>System shall be able to entry result data manually.</t>
  </si>
  <si>
    <t>4.1.2.15.1</t>
    <phoneticPr fontId="0" type="noConversion"/>
  </si>
  <si>
    <t>System shall support attachment format: Xps, txt, resx, repx, xml, rtf, jpg, jpeg, img, svg, doc, pdf, ico, png, lbl, resources, caf, csv, log, msg, smpkg.</t>
  </si>
  <si>
    <t>4.1.2.21.1</t>
    <phoneticPr fontId="0" type="noConversion"/>
  </si>
  <si>
    <t>System shall be able to record multiple users against a test or result.</t>
  </si>
  <si>
    <t>4.1.2.22.1</t>
    <phoneticPr fontId="0" type="noConversion"/>
  </si>
  <si>
    <t>System shall be able to retest without loss of original data.</t>
  </si>
  <si>
    <t>4.1.2.23.1</t>
  </si>
  <si>
    <t>System shall be able to enforce entry of a justification if there is a retest/resample.</t>
  </si>
  <si>
    <t>4.1.2.23.2</t>
  </si>
  <si>
    <t>system shall be able to record comment as mandatory and it is configurable.</t>
  </si>
  <si>
    <t>4.1.2.25.1</t>
    <phoneticPr fontId="0" type="noConversion"/>
  </si>
  <si>
    <t>System shall be able to enforce peer review by a different user at the material group level.</t>
  </si>
  <si>
    <t>4.1.2.25.2</t>
  </si>
  <si>
    <t>System shall be able to support peer review by configurable option.</t>
  </si>
  <si>
    <t>4.1.2.26.1</t>
    <phoneticPr fontId="0" type="noConversion"/>
  </si>
  <si>
    <t>System shall allow the peer review of results by Single sample, Multi test and Multi sample, single test where required.</t>
  </si>
  <si>
    <t>4.1.2.27.1</t>
    <phoneticPr fontId="0" type="noConversion"/>
  </si>
  <si>
    <t>System shall prevent user from further modification on test data after peer review except authorized user and audit trail will be record.</t>
    <phoneticPr fontId="6" type="noConversion"/>
  </si>
  <si>
    <t>4.1.3.1.1</t>
    <phoneticPr fontId="0" type="noConversion"/>
  </si>
  <si>
    <t>System shall be able to approve individual results.</t>
  </si>
  <si>
    <t>4.1.3.1.2</t>
  </si>
  <si>
    <t>System shall be able to support configure approve option within workflow.</t>
  </si>
  <si>
    <t>4.1.3.2.1</t>
    <phoneticPr fontId="0" type="noConversion"/>
  </si>
  <si>
    <t>System shall be able to approve single or multiple samples.</t>
  </si>
  <si>
    <t>4.1.3.3.1</t>
    <phoneticPr fontId="0" type="noConversion"/>
  </si>
  <si>
    <t>System shall prevent user from further modification on test data after peer review.</t>
  </si>
  <si>
    <t>4.1.3.3.2</t>
  </si>
  <si>
    <t>System shall be able to return test to tester if result need modification .</t>
  </si>
  <si>
    <t>4.1.3.3.3</t>
  </si>
  <si>
    <t>System shall be able to support return test to another operator.</t>
  </si>
  <si>
    <t>4.1.3.4.1</t>
    <phoneticPr fontId="0" type="noConversion"/>
  </si>
  <si>
    <t>System shall be able to configure system approval functionality at test level and sample level.</t>
  </si>
  <si>
    <t>4.1.3.5.1</t>
    <phoneticPr fontId="0" type="noConversion"/>
  </si>
  <si>
    <t>System shall be able to approval  manually at test level and sample level.</t>
  </si>
  <si>
    <t>4.1.3.6.1</t>
    <phoneticPr fontId="0" type="noConversion"/>
  </si>
  <si>
    <t>Phase B</t>
  </si>
  <si>
    <r>
      <t xml:space="preserve">System shall prevent the sample authorization with incomplete testing and alert defined users to the situation </t>
    </r>
    <r>
      <rPr>
        <sz val="11"/>
        <color rgb="FFFF0000"/>
        <rFont val="Calibri Light"/>
        <family val="1"/>
        <scheme val="major"/>
      </rPr>
      <t>in folder</t>
    </r>
    <r>
      <rPr>
        <sz val="11"/>
        <rFont val="Calibri Light"/>
        <family val="1"/>
        <scheme val="major"/>
      </rPr>
      <t>.</t>
    </r>
  </si>
  <si>
    <t>4.1.3.6.2</t>
  </si>
  <si>
    <t>System shall only have one status of a sample in one time.</t>
  </si>
  <si>
    <t>4.1.3.7.1</t>
    <phoneticPr fontId="0" type="noConversion"/>
  </si>
  <si>
    <t>System shall allow authorized users to change the status of a sample to allow controlled modifications or entry data.</t>
  </si>
  <si>
    <t>4.1.3.8.1</t>
    <phoneticPr fontId="0" type="noConversion"/>
  </si>
  <si>
    <t>System shall allow certain authorized users to change the proposed user for testing.</t>
  </si>
  <si>
    <t>4.1.3.9.1</t>
    <phoneticPr fontId="0" type="noConversion"/>
  </si>
  <si>
    <t>System shall provide a way to check and indicate the results/samples waiting for approval.</t>
  </si>
  <si>
    <t>4.1.4.14.1</t>
    <phoneticPr fontId="0" type="noConversion"/>
  </si>
  <si>
    <t>System shall be able to send notifications and alert messages within folders.</t>
  </si>
  <si>
    <t>4.1.4.6.1</t>
    <phoneticPr fontId="0" type="noConversion"/>
  </si>
  <si>
    <t>System shall provide functionality to manually or automatically trigger a report in response to workflow events.</t>
  </si>
  <si>
    <t>4.1.5.1.1</t>
    <phoneticPr fontId="0" type="noConversion"/>
  </si>
  <si>
    <t>System shall be able to manage Standard RM test for Incoming workflow.</t>
  </si>
  <si>
    <t>4.1.5.1.2</t>
  </si>
  <si>
    <t>System shall be able to manage Standard in process testing for semi finished and finished goods workflow.</t>
  </si>
  <si>
    <t>4.1.5.1.3</t>
  </si>
  <si>
    <t>System shall be able to manage Standard finished goods outgoing test workflow.</t>
  </si>
  <si>
    <t>4.1.5.1.4</t>
  </si>
  <si>
    <t>System shall be able to manage Consumables incoming test workflow.</t>
  </si>
  <si>
    <t>4.1.5.1.5</t>
  </si>
  <si>
    <t>System shall be able to manage package material incoming test workflow.</t>
  </si>
  <si>
    <t>4.1.5.1.6</t>
  </si>
  <si>
    <t>System shall be able to manage instrument calibration sample test workflow.</t>
  </si>
  <si>
    <t>4.1.5.1.7</t>
  </si>
  <si>
    <r>
      <t xml:space="preserve">System shall be able to manage test for </t>
    </r>
    <r>
      <rPr>
        <sz val="11"/>
        <color rgb="FFFF0000"/>
        <rFont val="Calibri Light"/>
        <family val="1"/>
        <scheme val="major"/>
      </rPr>
      <t>MSA</t>
    </r>
    <r>
      <rPr>
        <sz val="11"/>
        <rFont val="Calibri Light"/>
        <family val="1"/>
        <scheme val="major"/>
      </rPr>
      <t xml:space="preserve"> workflow.</t>
    </r>
  </si>
  <si>
    <t>4.1.5.1.8</t>
  </si>
  <si>
    <t>System shall be able to manage Certification test for QC technician workflow.</t>
  </si>
  <si>
    <t>4.1.5.1.9</t>
  </si>
  <si>
    <t>System shall be able to manage Test for SCMS/NCMR /CCMS investigation workflow.</t>
  </si>
  <si>
    <t>4.1.5.1.10</t>
  </si>
  <si>
    <t>System shall be able to manage Test for NCMR-Shelf life extension (RM, SFG, FG, Package material, consumble &amp; Instrument calibration sample) workflow.</t>
  </si>
  <si>
    <t>4.1.5.1.11</t>
  </si>
  <si>
    <t>System shall be able to manage Testing for Customer/Supplier/PD/TCS/Other sites/MOC/NPI / Improvement project (Including, Stability studies (shelf-life study, aging test, reliability test, etc.)) workflow.</t>
  </si>
  <si>
    <t>4.1.5.1.12</t>
  </si>
  <si>
    <t>System shall be able to manage Moving sample/material to storage location workflow.</t>
  </si>
  <si>
    <t>4.1.5.1.13</t>
  </si>
  <si>
    <t>System shall be able to manage Perform skip lot testing workflow.</t>
  </si>
  <si>
    <t>4.1.6.1.1</t>
    <phoneticPr fontId="0" type="noConversion"/>
  </si>
  <si>
    <t>System shall be able to maintain location.</t>
  </si>
  <si>
    <t>4.1.7.1.1</t>
  </si>
  <si>
    <t>System shall be able to manage external test request using non-standard testing workflow.(4.1.5.1.4-4.1.5.13)</t>
  </si>
  <si>
    <t>4.1.7.1.2</t>
  </si>
  <si>
    <t xml:space="preserve">System shall be able to allow QCLaD users to raise test request. </t>
  </si>
  <si>
    <t>4.1.7.1.4</t>
  </si>
  <si>
    <t xml:space="preserve">System shall be able to use template to allow user to select plant, analysis,expected complete date and comments. </t>
    <phoneticPr fontId="6" type="noConversion"/>
  </si>
  <si>
    <t>4.1.7.1.6</t>
  </si>
  <si>
    <t>System shall be able to allow QC supervisor to approve the test requirement.</t>
    <phoneticPr fontId="6" type="noConversion"/>
  </si>
  <si>
    <t>4.1.7.1.7</t>
  </si>
  <si>
    <t>System shall be able to enter results, report results, generate test report and send test report to requestor’s E-mail address.</t>
  </si>
  <si>
    <t>4.2.1.1.1</t>
    <phoneticPr fontId="0" type="noConversion"/>
  </si>
  <si>
    <t xml:space="preserve">System shall be able to have option for a sample preparation which may be required for some analysis. </t>
  </si>
  <si>
    <t>4.2.1.1.2</t>
  </si>
  <si>
    <t>System shall be able to assign preparation to an operator.</t>
  </si>
  <si>
    <t>4.2.1.1.3</t>
  </si>
  <si>
    <t>System shall be able to have multiple preparaiton for a analysis.</t>
  </si>
  <si>
    <t>4.2.1.1.4</t>
  </si>
  <si>
    <t>System shall be able to assign multiple instruments for preparation.</t>
  </si>
  <si>
    <t>4.2.1.1.5</t>
  </si>
  <si>
    <t>System shall be able to assign test to an operator for each test.</t>
  </si>
  <si>
    <t>4.2.1.1.7</t>
  </si>
  <si>
    <t>System shall allow to assign instrument from the list available for the lab for each test by the operator.</t>
  </si>
  <si>
    <t>4.2.1.1.9</t>
  </si>
  <si>
    <t>System shall be able to select instrument by scanning.</t>
  </si>
  <si>
    <t>4.2.1.1.21</t>
  </si>
  <si>
    <t>System shall be able to maintain master data which mapping analysis and instrument type.</t>
  </si>
  <si>
    <t>4.3.2.2.1</t>
    <phoneticPr fontId="0" type="noConversion"/>
  </si>
  <si>
    <t>System shall be able support to input the testing data manually.</t>
  </si>
  <si>
    <t>4.4.1.1.2</t>
  </si>
  <si>
    <t>System shall be able to view the status of testing, details of inspection lot.</t>
  </si>
  <si>
    <t>4.4.1.1.3</t>
  </si>
  <si>
    <t>System shall be able to record standard cycle time and actual cycle time under test level.</t>
  </si>
  <si>
    <t>4.4.1.11.1</t>
    <phoneticPr fontId="0" type="noConversion"/>
  </si>
  <si>
    <t>System shall support execute and maintain MSA plan.</t>
  </si>
  <si>
    <t>4.4.1.11.2</t>
    <phoneticPr fontId="0" type="noConversion"/>
  </si>
  <si>
    <t>System shall support remind MSA according to plan and remind expiration.</t>
  </si>
  <si>
    <t>4.5.4.1</t>
    <phoneticPr fontId="0" type="noConversion"/>
  </si>
  <si>
    <t>System shall allow result values can be modified with a pre-defined rules or other calculations automatically.</t>
  </si>
  <si>
    <t>4.5.4.2</t>
  </si>
  <si>
    <t>System shall support the specification limit can be setup in the QCLAD and is associated to each result.</t>
  </si>
  <si>
    <t>4.6.1.1.5</t>
  </si>
  <si>
    <r>
      <t xml:space="preserve">System shall support report can be filtered by material, technology (product technology information should from SAP) </t>
    </r>
    <r>
      <rPr>
        <sz val="11"/>
        <color rgb="FFFF0000"/>
        <rFont val="Calibri Light"/>
        <family val="1"/>
        <scheme val="major"/>
      </rPr>
      <t>in folder</t>
    </r>
    <r>
      <rPr>
        <sz val="11"/>
        <rFont val="Calibri Light"/>
        <family val="1"/>
        <scheme val="major"/>
      </rPr>
      <t>.</t>
    </r>
  </si>
  <si>
    <t>4.6.1.9.1</t>
    <phoneticPr fontId="0" type="noConversion"/>
  </si>
  <si>
    <t>System shall support export data based on sample type, analysis, test schedule, login time, standard time by folder.</t>
  </si>
  <si>
    <t>4.6.1.14.1</t>
    <phoneticPr fontId="0" type="noConversion"/>
  </si>
  <si>
    <t>System shall display the quantity of MSA task completed in system, completed shall be triggered by uploading MSA report to QCLAD.</t>
    <phoneticPr fontId="0" type="noConversion"/>
  </si>
  <si>
    <t>4.7.1.1.1</t>
    <phoneticPr fontId="0" type="noConversion"/>
  </si>
  <si>
    <t>System shall support to track sample life history (Chain of Custody).</t>
  </si>
  <si>
    <t>4.7.1.1.2</t>
    <phoneticPr fontId="0" type="noConversion"/>
  </si>
  <si>
    <t>System shall support to display samples and test results by batch number.</t>
  </si>
  <si>
    <t>4.7.1.3.1</t>
    <phoneticPr fontId="0" type="noConversion"/>
  </si>
  <si>
    <t>The user shall be able to view all the information about a sample including current status in QCLaD folder.</t>
    <phoneticPr fontId="0" type="noConversion"/>
  </si>
  <si>
    <t>4.7.1.4.2</t>
    <phoneticPr fontId="0" type="noConversion"/>
  </si>
  <si>
    <t>System shall update sample status automatically according to workflow.</t>
    <phoneticPr fontId="0" type="noConversion"/>
  </si>
  <si>
    <t>4.7.1.5.1</t>
    <phoneticPr fontId="0" type="noConversion"/>
  </si>
  <si>
    <t>System shall supoort to display the current status of test(s) for a sample.</t>
  </si>
  <si>
    <t>4.7.2.1.1</t>
    <phoneticPr fontId="0" type="noConversion"/>
  </si>
  <si>
    <t>System shall support multiple languages. (Chinese and English will be implemented in Dragon pilot phase.)</t>
  </si>
  <si>
    <t>4.7.2.3.1</t>
    <phoneticPr fontId="0" type="noConversion"/>
  </si>
  <si>
    <t>System shall support to display sample status and location in real time.</t>
  </si>
  <si>
    <t>4.7.2.4.1</t>
    <phoneticPr fontId="0" type="noConversion"/>
  </si>
  <si>
    <t>system shall support to display results for peer and supervisor review in real time.</t>
    <phoneticPr fontId="0" type="noConversion"/>
  </si>
  <si>
    <t>4.7.2.4.2</t>
  </si>
  <si>
    <t>hard copy print requirement refers to RTM 4.4.1.10.1.</t>
  </si>
  <si>
    <t>4.7.2.6.1</t>
    <phoneticPr fontId="0" type="noConversion"/>
  </si>
  <si>
    <t>system shall support to export data through folder explorer in XML / CSV/ PDF format.</t>
    <phoneticPr fontId="0" type="noConversion"/>
  </si>
  <si>
    <t>4.7.2.7.1</t>
    <phoneticPr fontId="0" type="noConversion"/>
  </si>
  <si>
    <t>System shall support to export data through folder explorer in an usable format.</t>
  </si>
  <si>
    <t>4.7.2.8.1</t>
    <phoneticPr fontId="0" type="noConversion"/>
  </si>
  <si>
    <t>System shall provide a simple template or method  for extraction of data.</t>
  </si>
  <si>
    <t>4.7.2.9.1</t>
    <phoneticPr fontId="0" type="noConversion"/>
  </si>
  <si>
    <t>System shall support to search for datasets or components by combination of fields in folder explorer.</t>
  </si>
  <si>
    <t>4.7.2.10.1</t>
    <phoneticPr fontId="0" type="noConversion"/>
  </si>
  <si>
    <t>System shall support user to create personal folder by saved defined one or more criteria to display certain data.</t>
  </si>
  <si>
    <t>4.8.1.5.1</t>
    <phoneticPr fontId="0" type="noConversion"/>
  </si>
  <si>
    <t>System shall only allow tests assign to qualified users.</t>
  </si>
  <si>
    <t>4.8.4.1.1</t>
  </si>
  <si>
    <t>System shall support for multi-level Product Specifications.</t>
  </si>
  <si>
    <t>4.8.4.2.1</t>
    <phoneticPr fontId="0" type="noConversion"/>
  </si>
  <si>
    <t>System shall support to add approval plan for non-standard testing MLP, which requires approval before activation.</t>
  </si>
  <si>
    <t>4.1.6.1.2</t>
  </si>
  <si>
    <t>System shall be able to support QC retain sample, consumables and spare parts can select location.</t>
  </si>
  <si>
    <t>4.1.6.1.3</t>
  </si>
  <si>
    <t>System shall be able to maintain safety stock of consumables and spare parts.</t>
  </si>
  <si>
    <t>4.1.6.1.4</t>
  </si>
  <si>
    <t>System shall be able to maintain storage condition for retain samples, consumables and spare parts.</t>
  </si>
  <si>
    <t>Standard</t>
    <phoneticPr fontId="0" type="noConversion"/>
  </si>
  <si>
    <t>4.8.1.6.1</t>
    <phoneticPr fontId="0" type="noConversion"/>
  </si>
  <si>
    <t>System shall alert specific user when chemicals or instruments is/are expired list in folder.</t>
  </si>
  <si>
    <t>4.8.1.7.1</t>
    <phoneticPr fontId="0" type="noConversion"/>
  </si>
  <si>
    <t>System shall have capability to maintain master data for consumable, spare parts, equipment.</t>
  </si>
  <si>
    <t>4.8.5.1.1</t>
    <phoneticPr fontId="0" type="noConversion"/>
  </si>
  <si>
    <t>System shall support stock mangement to maintain informations including characteristics (labels, location, available amount), ordering (supplier, expiry warning, minimum quantity (safety stock) alert), inventory, parameters for use in calculations.</t>
  </si>
  <si>
    <t>4.8.5.1.2</t>
  </si>
  <si>
    <t>System shall support stock mangement to maintain stock type including retain samples, consumables, standards, reagents, instruments, spare parts.</t>
    <phoneticPr fontId="0" type="noConversion"/>
  </si>
  <si>
    <t>4.8.5.1.4</t>
  </si>
  <si>
    <t>System shall be able to set and configurate minimum quantity in stock mangement.</t>
  </si>
  <si>
    <t>4.8.5.1.5</t>
  </si>
  <si>
    <t>System shall be able to set and configurate maximum quantity in stock mangement.</t>
  </si>
  <si>
    <t>4.8.5.1.6</t>
  </si>
  <si>
    <t>System shall support to print stock label.</t>
  </si>
  <si>
    <t>4.8.5.1.7</t>
  </si>
  <si>
    <t>System shall automatically deduct the stock quantity when consumption.</t>
  </si>
  <si>
    <t>4.8.5.5.1</t>
    <phoneticPr fontId="0" type="noConversion"/>
  </si>
  <si>
    <t>System shall be able to maintain the expiry date field of stock.</t>
  </si>
  <si>
    <t>4.8.5.5.2</t>
  </si>
  <si>
    <t>System shall be able to display the expiry date field of stock in folder.</t>
  </si>
  <si>
    <t>4.8.5.6.1</t>
    <phoneticPr fontId="0" type="noConversion"/>
  </si>
  <si>
    <t>System shall be able to warining for expiry stock in folder.</t>
  </si>
  <si>
    <t>4.8.5.6.2</t>
  </si>
  <si>
    <t>System shall be able to warining for Low amount storage in folder.</t>
  </si>
  <si>
    <t>4.8.5.6.3</t>
  </si>
  <si>
    <t>System shall be able to warining for Exceed amount storage in folder.</t>
    <phoneticPr fontId="0" type="noConversion"/>
  </si>
  <si>
    <t>4.8.5.8.1</t>
    <phoneticPr fontId="0" type="noConversion"/>
  </si>
  <si>
    <t>System shall support to maintain stock information , including handling and storage precautions, security data, associated hazards and risks and GHS requirement.</t>
  </si>
  <si>
    <t>R018</t>
    <phoneticPr fontId="0" type="noConversion"/>
  </si>
  <si>
    <t>4.1.1.9.2</t>
    <phoneticPr fontId="0" type="noConversion"/>
  </si>
  <si>
    <t>System shall be able to display the traceability of split samples with a parent sample.</t>
    <phoneticPr fontId="0" type="noConversion"/>
  </si>
  <si>
    <t>R027</t>
    <phoneticPr fontId="6" type="noConversion"/>
  </si>
  <si>
    <t>4.1.1.14.1</t>
  </si>
  <si>
    <t>System shall be able to control data access by group.</t>
    <phoneticPr fontId="6" type="noConversion"/>
  </si>
  <si>
    <t>4.1.2.19.2</t>
    <phoneticPr fontId="0" type="noConversion"/>
  </si>
  <si>
    <t>System shall support audit traceability in LES.</t>
  </si>
  <si>
    <t>4.7.1.2.1</t>
    <phoneticPr fontId="0" type="noConversion"/>
  </si>
  <si>
    <t>System shall support to track data entry history and modification history.</t>
    <phoneticPr fontId="0" type="noConversion"/>
  </si>
  <si>
    <t>4.7.1.6.1</t>
    <phoneticPr fontId="0" type="noConversion"/>
  </si>
  <si>
    <t>System shall support to track a history of a sample lifecycle.</t>
  </si>
  <si>
    <t>4.7.2.2.1</t>
    <phoneticPr fontId="0" type="noConversion"/>
  </si>
  <si>
    <t>System shall support data access control by function department or by user role.</t>
  </si>
  <si>
    <t>4.7.2.2.2</t>
    <phoneticPr fontId="0" type="noConversion"/>
  </si>
  <si>
    <t>System shall support to configure user's role and group.</t>
    <phoneticPr fontId="0" type="noConversion"/>
  </si>
  <si>
    <t>4.7.2.11.1</t>
    <phoneticPr fontId="0" type="noConversion"/>
  </si>
  <si>
    <t>System shall provide full audit trails.</t>
  </si>
  <si>
    <t>4.7.2.11.2</t>
  </si>
  <si>
    <t>System shall support all audit trails shall be secure, computer generated, time stamped using the local time.</t>
  </si>
  <si>
    <t>4.7.2.11.4</t>
  </si>
  <si>
    <t>System shall support audit trial shall include the date and time, retention of original data, reason for change to original data and the individual performing the task.</t>
  </si>
  <si>
    <t>4.7.2.11.5</t>
  </si>
  <si>
    <t>System shall be able to support all data entry, recording of reporting processes and all changes to the reported data shall be recorded along with any deletion of data.</t>
  </si>
  <si>
    <t>4.7.2.12.1</t>
    <phoneticPr fontId="0" type="noConversion"/>
  </si>
  <si>
    <t>System shall support audit trail for all creation, modification and approval associated with static data.</t>
  </si>
  <si>
    <t>4.7.2.13.1</t>
    <phoneticPr fontId="0" type="noConversion"/>
  </si>
  <si>
    <t>System shall support to display, print or export any / all audit trails.</t>
  </si>
  <si>
    <t>4.7.2.14.1</t>
    <phoneticPr fontId="0" type="noConversion"/>
  </si>
  <si>
    <t>System shall support to export the audit trail into a report.</t>
    <phoneticPr fontId="6" type="noConversion"/>
  </si>
  <si>
    <t>4.8.2.1.1</t>
    <phoneticPr fontId="0" type="noConversion"/>
  </si>
  <si>
    <t>System shall allow specific user to maintain user accounts, roles and groups.</t>
  </si>
  <si>
    <t>4.8.2.1.2</t>
  </si>
  <si>
    <t>System shall allow specific user to maintain lab static data.</t>
  </si>
  <si>
    <t>4.8.2.2.1</t>
    <phoneticPr fontId="0" type="noConversion"/>
  </si>
  <si>
    <t>System shall allow the group of users to access to data only under his groups.</t>
    <phoneticPr fontId="6" type="noConversion"/>
  </si>
  <si>
    <t>4.8.2.2.2</t>
    <phoneticPr fontId="0" type="noConversion"/>
  </si>
  <si>
    <t>System shall support to configure user's group.</t>
    <phoneticPr fontId="0" type="noConversion"/>
  </si>
  <si>
    <t>4.9.1.1</t>
    <phoneticPr fontId="0" type="noConversion"/>
  </si>
  <si>
    <t>System shall support function for security, including audit trails, group and  security management, password protection of all login accounts.</t>
    <phoneticPr fontId="0" type="noConversion"/>
  </si>
  <si>
    <t>4.9.2.1</t>
    <phoneticPr fontId="0" type="noConversion"/>
  </si>
  <si>
    <t>System shall support to configure multiple roles for user to manage permission to profiles and access privileges.(一个人可以有多个角色）</t>
  </si>
  <si>
    <t>4.9.2.2</t>
  </si>
  <si>
    <t xml:space="preserve">System shall support to maintain different roles. </t>
    <phoneticPr fontId="0" type="noConversion"/>
  </si>
  <si>
    <t>4.9.3.1</t>
    <phoneticPr fontId="0" type="noConversion"/>
  </si>
  <si>
    <t>System shall support configure access controls using role and master menu.(系统通过角色和菜单按钮控制可见权限）</t>
  </si>
  <si>
    <t>4.9.4.1</t>
    <phoneticPr fontId="0" type="noConversion"/>
  </si>
  <si>
    <t>System shall support maintain user account id and password. User id shall be unique.（一个人必须有一个唯一的账号，且有密码）</t>
  </si>
  <si>
    <t>4.9.4.2</t>
  </si>
  <si>
    <t>System  shall encrypt or obscured password when displayed on screen.（密码是加密的）</t>
  </si>
  <si>
    <t>4.9.5.1</t>
  </si>
  <si>
    <t xml:space="preserve">System shall support single sign on for all users.
</t>
  </si>
  <si>
    <t>4.9.5.3</t>
  </si>
  <si>
    <t>System shall allow user to login through iPad with user id and password.</t>
  </si>
  <si>
    <t>4.9.5.4</t>
  </si>
  <si>
    <t>System shall be able to limit user to login QCLAD using one account for one device or cilent at one time.</t>
  </si>
  <si>
    <t>4.9.6.1</t>
    <phoneticPr fontId="0" type="noConversion"/>
  </si>
  <si>
    <t>System shall be able to freeze user's account after configurable login failure attempts. (多次输错密码冻结账户）</t>
  </si>
  <si>
    <t>4.9.6.2</t>
  </si>
  <si>
    <t>System shall allow specific user to unlock the account or reset the password.（管理员能够解锁和重置密码）</t>
  </si>
  <si>
    <t>4.9.7.1</t>
    <phoneticPr fontId="0" type="noConversion"/>
  </si>
  <si>
    <t>System shall support system Administrator to terminate a user session on the system.(管理员终止用户进程）</t>
    <phoneticPr fontId="0" type="noConversion"/>
  </si>
  <si>
    <t>4.9.8.1</t>
    <phoneticPr fontId="0" type="noConversion"/>
  </si>
  <si>
    <t>System shall support maintain global admin/user role.</t>
  </si>
  <si>
    <t>4.9.8.2</t>
  </si>
  <si>
    <t>System shall support maintain regional admin/user role.</t>
  </si>
  <si>
    <t>4.9.8.3</t>
  </si>
  <si>
    <t>System shall support maintain site admin/user role.</t>
  </si>
  <si>
    <t>4.9.8.4</t>
  </si>
  <si>
    <t>System shall support to work independently, perform activities, capabilities at plant level.</t>
  </si>
  <si>
    <t>4.8.5.3.1</t>
    <phoneticPr fontId="0" type="noConversion"/>
  </si>
  <si>
    <t>System shall allow user to record and retrieve the storage location of samples stored in QC by providing material, batch information.</t>
  </si>
  <si>
    <t>4.2.1.1.8</t>
  </si>
  <si>
    <t>System shall be able to display all the instruments (typeA, typeB, type C, typeD) based on the location and method.</t>
  </si>
  <si>
    <t>4.6.1.12.1</t>
    <phoneticPr fontId="0" type="noConversion"/>
  </si>
  <si>
    <t>System shall allow user to add maintenance plan. Maintenance plan shall include PM(preventive maintenance) type.</t>
  </si>
  <si>
    <t>4.8.1.1.1</t>
    <phoneticPr fontId="0" type="noConversion"/>
  </si>
  <si>
    <t>System shall support maintain specification and parameters in equipment master data.</t>
  </si>
  <si>
    <t>4.8.1.1.2</t>
  </si>
  <si>
    <t>System shall allow maintain spare parts, calibration and maintenance.</t>
  </si>
  <si>
    <t>4.8.1.2.1</t>
    <phoneticPr fontId="0" type="noConversion"/>
  </si>
  <si>
    <t>System shall suport calibration and maintenance plan locally.</t>
    <phoneticPr fontId="0" type="noConversion"/>
  </si>
  <si>
    <t>4.8.1.2.2</t>
  </si>
  <si>
    <t>System shall remind user when instrument maintenance expire in folder.</t>
  </si>
  <si>
    <t>4.8.1.3.1</t>
    <phoneticPr fontId="0" type="noConversion"/>
  </si>
  <si>
    <t>System shall support to record instrument history , including failures, calibration, maintenance.</t>
  </si>
  <si>
    <t>4.8.1.6.2</t>
  </si>
  <si>
    <t>System shall allow specific user to active expired instrument.</t>
  </si>
  <si>
    <t>4.1.5.1</t>
    <phoneticPr fontId="0" type="noConversion"/>
  </si>
  <si>
    <t>Henkel Sample Type</t>
  </si>
  <si>
    <t xml:space="preserve">The system should be capable to manage all sample types in Henkel, including, 
Standard test sample to support production: raw material sample (ROH), semi-finish goods sample/ bulk sample (UNB &amp; UNF), finish goods sample (FER). 
Non-standard test sample: consumable, package material, instrument calibration sample, MSA test sample, CCMS/SCMS/NCMR investigation sample (QM notification Q1/Q2/Q3), special test sample (Testing for Customer/Supplier/PD/AE/Other sites/MOC/NPI / Improvement project), retain sample, etc.  </t>
  </si>
  <si>
    <t>Interface</t>
  </si>
  <si>
    <t>R004</t>
    <phoneticPr fontId="0" type="noConversion"/>
  </si>
  <si>
    <t>4.1.1.2.1</t>
    <phoneticPr fontId="0" type="noConversion"/>
  </si>
  <si>
    <t>System shall be able to receive inspection lot  from SAP and create sample and test.
Refer to 4.5.1.1</t>
  </si>
  <si>
    <t>R005</t>
  </si>
  <si>
    <t>4.1.1.2.2</t>
  </si>
  <si>
    <t>System shall be able to trigger a resample from MES.</t>
    <phoneticPr fontId="0" type="noConversion"/>
  </si>
  <si>
    <t>R023</t>
    <phoneticPr fontId="6" type="noConversion"/>
  </si>
  <si>
    <t>4.1.1.11.3</t>
    <phoneticPr fontId="0" type="noConversion"/>
  </si>
  <si>
    <t>System shall be push all failure as well as success of parameters to SAP.
Refer to 4.5.1.7</t>
  </si>
  <si>
    <t>R026</t>
    <phoneticPr fontId="6" type="noConversion"/>
  </si>
  <si>
    <t>4.1.1.13.2</t>
    <phoneticPr fontId="0" type="noConversion"/>
  </si>
  <si>
    <t>System shall be receive specification limit to be pulled from SAP.
Refer to 4.5.1.3</t>
  </si>
  <si>
    <t>R032</t>
  </si>
  <si>
    <t>4.1.1.17.2</t>
  </si>
  <si>
    <t>System shall be automatically login samples from SAP.
Refer to 4.5.1.1</t>
  </si>
  <si>
    <t>R033</t>
  </si>
  <si>
    <t>4.1.1.17.3</t>
  </si>
  <si>
    <t>System shall be automatically login samples from MES.</t>
  </si>
  <si>
    <t>Assignment</t>
  </si>
  <si>
    <t>4.1.2.1.1</t>
    <phoneticPr fontId="0" type="noConversion"/>
  </si>
  <si>
    <t>System shall be able to assign tests to an operator manually or automatically.</t>
  </si>
  <si>
    <t>4.1.2.1.2</t>
  </si>
  <si>
    <t>Automatically assigning details refer to 4.2.1.1 part.</t>
  </si>
  <si>
    <t>4.1.2.1.3</t>
  </si>
  <si>
    <t>System shall support to stop or modify auto assign task.</t>
    <phoneticPr fontId="6" type="noConversion"/>
  </si>
  <si>
    <t>4.1.2.1.4</t>
  </si>
  <si>
    <t>System shall be able to assign test based on the versatility matrix from OSDP system once integrated.</t>
    <phoneticPr fontId="6" type="noConversion"/>
  </si>
  <si>
    <t>4.1.2.3.2</t>
  </si>
  <si>
    <t>System shall be able to retrive the result data in CoA data already available in SAP inspection lot.</t>
  </si>
  <si>
    <t>4.1.2.3.3</t>
  </si>
  <si>
    <r>
      <t xml:space="preserve">System shall be able to display the Data recorded within inspection lot, MIC, Spec, Test result from the CoA in SAP even if the data entry is not required in QCLAD. ( What's the detail, need to check with Neelima </t>
    </r>
    <r>
      <rPr>
        <sz val="11"/>
        <color rgb="FFFF0000"/>
        <rFont val="Calibri Light"/>
        <family val="1"/>
        <scheme val="major"/>
      </rPr>
      <t>delete</t>
    </r>
    <r>
      <rPr>
        <sz val="11"/>
        <rFont val="Calibri Light"/>
        <family val="1"/>
        <scheme val="major"/>
      </rPr>
      <t>)</t>
    </r>
  </si>
  <si>
    <t>4.1.2.6.1</t>
    <phoneticPr fontId="0" type="noConversion"/>
  </si>
  <si>
    <t>System shall be able to support to manage repeat testing.(e.g. entry multiple  results and then get max or min or average value)</t>
    <phoneticPr fontId="6" type="noConversion"/>
  </si>
  <si>
    <t>Dashboard</t>
  </si>
  <si>
    <t>4.1.2.28.2</t>
  </si>
  <si>
    <t>System shall provide dashboard.</t>
    <phoneticPr fontId="6" type="noConversion"/>
  </si>
  <si>
    <t>Report&amp;Label</t>
  </si>
  <si>
    <t>4.1.4.13.2</t>
  </si>
  <si>
    <t>System shall be able to give warning of response if user selects a range which will take time.</t>
  </si>
  <si>
    <t>Notification</t>
  </si>
  <si>
    <t>4.1.4.15.4</t>
  </si>
  <si>
    <t>System shall be able to send email with attachment to dedicate E-mail address based on master data configuration or store the file in a configurable shared drive automatically.</t>
  </si>
  <si>
    <t>4.1.6.1.5</t>
  </si>
  <si>
    <t>System shall support dashboard to display and mark in color once the sample near expiration date based on configurable rule.</t>
  </si>
  <si>
    <t>4.1.6.1.6</t>
  </si>
  <si>
    <t>System shall support dashboard to display and mark in color once it’s below safety stock of consumables and spare parts based on configurable rule.</t>
  </si>
  <si>
    <t>4.1.7.1.8</t>
  </si>
  <si>
    <t xml:space="preserve">System shall be able to track the test status, analysis test workload and show it on Dashboard. </t>
    <phoneticPr fontId="6" type="noConversion"/>
  </si>
  <si>
    <t>4.2.1.1.12</t>
  </si>
  <si>
    <t>4.2.1.1.13</t>
  </si>
  <si>
    <t>System shall be able to assign test based on the sample status (Waiting to start).</t>
  </si>
  <si>
    <t>4.2.1.1.14</t>
  </si>
  <si>
    <t>System shall be able to auto assign for the current date based on the schedule configured.</t>
  </si>
  <si>
    <t>4.2.1.1.15</t>
  </si>
  <si>
    <t>System shall be able to monitor samples on a certain interval basis and assign it.</t>
  </si>
  <si>
    <t>4.2.1.1.16</t>
  </si>
  <si>
    <t>System shall be able to assign samples manually.</t>
  </si>
  <si>
    <t>4.2.1.1.17</t>
  </si>
  <si>
    <t>System shall be able to assign samples based on SAP test skip lot rules.</t>
  </si>
  <si>
    <t>4.2.1.1.18</t>
  </si>
  <si>
    <t>System shall be able to assign samples based on other pending QC works.</t>
  </si>
  <si>
    <t>4.2.1.2.1</t>
  </si>
  <si>
    <t>System shall be able to modify schedule.</t>
  </si>
  <si>
    <t>4.2.1.4.2</t>
  </si>
  <si>
    <t>System shall be follow FIFO rules based on sample receiving date when assigning tasks.</t>
  </si>
  <si>
    <t>4.2.1.4.3</t>
  </si>
  <si>
    <t>System shall assign tasks before the inspection lot only for JIT materials. And the results shall be pushed to sap if inspection lot is created.</t>
    <phoneticPr fontId="0" type="noConversion"/>
  </si>
  <si>
    <t>4.2.1.5.1</t>
  </si>
  <si>
    <t>System shall assign task based on priority rules once sample arrives.</t>
  </si>
  <si>
    <t>4.2.1.6.1</t>
  </si>
  <si>
    <t>System shall allow to create tasks based on calendar schedule.</t>
  </si>
  <si>
    <t>4.2.1.8.1</t>
  </si>
  <si>
    <t>System shall allow user maintain master data for shift schedule by week. Number of shift and shift hour of each shift shall be configurable in the master data at plant level.</t>
  </si>
  <si>
    <t>4.2.1.9.1</t>
  </si>
  <si>
    <t>System shall check skill when assigning tasks to operator.</t>
  </si>
  <si>
    <t>4.2.1.9.2</t>
  </si>
  <si>
    <t xml:space="preserve">System shall be able to support skill shall be sync with OSDP system if there is OSDP in plant.
Refer to 4.5.1.14 </t>
  </si>
  <si>
    <t>4.2.1.10.1</t>
  </si>
  <si>
    <t>System shall have dashboard which display tests, test status, product number, product name,  batch number, user ID. inspection lot, inspection lot(standard test), test. request#(non-standard test)</t>
  </si>
  <si>
    <t>Customisation</t>
    <phoneticPr fontId="0" type="noConversion"/>
  </si>
  <si>
    <t>4.2.1.11.1</t>
    <phoneticPr fontId="0" type="noConversion"/>
  </si>
  <si>
    <t>System shall create tasks for samples based on specific frequency.</t>
  </si>
  <si>
    <t>4.4.1.1.1</t>
    <phoneticPr fontId="0" type="noConversion"/>
  </si>
  <si>
    <t>System shall support dashboard display overview of inspection lot on daily, weekly, monthly views.</t>
  </si>
  <si>
    <t>4.4.1.1.5</t>
  </si>
  <si>
    <t>System shall be able to display sample storage location and sample quantity.</t>
  </si>
  <si>
    <t>4.4.1.1.6</t>
  </si>
  <si>
    <t>System shall support dashboard showing lab equipment availability.  Equipment usage can  be tracked trhough scanning before and after the usage.</t>
    <phoneticPr fontId="0" type="noConversion"/>
  </si>
  <si>
    <t>4.6.1.1.1</t>
    <phoneticPr fontId="0" type="noConversion"/>
  </si>
  <si>
    <t>System shall be able to display sample status by lab/plant/country/henkel network/global in dashboard.</t>
  </si>
  <si>
    <t>4.6.1.1.2</t>
  </si>
  <si>
    <t>System shall be able to display sample status by daily/weekly/monthly/yearly in dashboard.</t>
  </si>
  <si>
    <t>4.6.1.1.3</t>
  </si>
  <si>
    <r>
      <t xml:space="preserve">System shall support different sample status, including completed, in progress, received, cancelled, </t>
    </r>
    <r>
      <rPr>
        <sz val="11"/>
        <color rgb="FFFF0000"/>
        <rFont val="Calibri Light"/>
        <family val="1"/>
        <scheme val="major"/>
      </rPr>
      <t>retained</t>
    </r>
    <r>
      <rPr>
        <sz val="11"/>
        <rFont val="Calibri Light"/>
        <family val="1"/>
        <scheme val="major"/>
      </rPr>
      <t>.</t>
    </r>
  </si>
  <si>
    <t>4.6.1.1.4</t>
  </si>
  <si>
    <t>System shall include sample type in report, detailed sample type refers to RTM 4.5.1 items.</t>
    <phoneticPr fontId="0" type="noConversion"/>
  </si>
  <si>
    <t>4.6.1.2.1</t>
    <phoneticPr fontId="0" type="noConversion"/>
  </si>
  <si>
    <t>System shall support to display dashboard with sample status in real time.</t>
  </si>
  <si>
    <t>4.6.1.3.1</t>
    <phoneticPr fontId="0" type="noConversion"/>
  </si>
  <si>
    <t>System shall display task list in specific time period.</t>
  </si>
  <si>
    <t>4.6.1.3.2</t>
  </si>
  <si>
    <t>System shall display task list related to work.</t>
  </si>
  <si>
    <t>4.6.1.3.3</t>
  </si>
  <si>
    <t>System shall display task list in real time.</t>
    <phoneticPr fontId="0" type="noConversion"/>
  </si>
  <si>
    <t>4.6.1.4.1</t>
    <phoneticPr fontId="0" type="noConversion"/>
  </si>
  <si>
    <r>
      <t xml:space="preserve">System shall display overdue </t>
    </r>
    <r>
      <rPr>
        <sz val="11"/>
        <color rgb="FFFF0000"/>
        <rFont val="Calibri Light"/>
        <family val="1"/>
        <scheme val="major"/>
      </rPr>
      <t>task list</t>
    </r>
    <r>
      <rPr>
        <sz val="11"/>
        <rFont val="Calibri Light"/>
        <family val="1"/>
        <scheme val="major"/>
      </rPr>
      <t>.</t>
    </r>
  </si>
  <si>
    <t>4.6.1.5.2</t>
  </si>
  <si>
    <r>
      <t xml:space="preserve">System shall support dashbord to display instrument list including (instrument ID, instrument Type, instrument Status, </t>
    </r>
    <r>
      <rPr>
        <sz val="11"/>
        <color rgb="FFFF0000"/>
        <rFont val="Calibri Light"/>
        <family val="1"/>
        <scheme val="major"/>
      </rPr>
      <t>days</t>
    </r>
    <r>
      <rPr>
        <sz val="11"/>
        <rFont val="Calibri Light"/>
        <family val="1"/>
        <scheme val="major"/>
      </rPr>
      <t xml:space="preserve"> in available, </t>
    </r>
    <r>
      <rPr>
        <sz val="11"/>
        <color rgb="FFFF0000"/>
        <rFont val="Calibri Light"/>
        <family val="1"/>
        <scheme val="major"/>
      </rPr>
      <t xml:space="preserve">days </t>
    </r>
    <r>
      <rPr>
        <sz val="11"/>
        <rFont val="Calibri Light"/>
        <family val="1"/>
        <scheme val="major"/>
      </rPr>
      <t>out of service)</t>
    </r>
  </si>
  <si>
    <t>4.6.1.6.1</t>
    <phoneticPr fontId="0" type="noConversion"/>
  </si>
  <si>
    <t>System shall support display instrument utilization by daily/weekly/monthly/yearly in dashboard.</t>
  </si>
  <si>
    <t>4.6.1.6.2</t>
  </si>
  <si>
    <t>Total Actual Instrument working Hours= End time by scanning minus Start time by scanning</t>
  </si>
  <si>
    <t>4.6.1.6.3</t>
  </si>
  <si>
    <t>Total working hours is related to shift arrangement,calculated as off-duty time minus on-duty time.</t>
  </si>
  <si>
    <t>4.6.1.7.1</t>
    <phoneticPr fontId="0" type="noConversion"/>
  </si>
  <si>
    <t>System shall support display work load by plant/duration.</t>
  </si>
  <si>
    <t>4.6.1.8.1</t>
    <phoneticPr fontId="0" type="noConversion"/>
  </si>
  <si>
    <t>System shall support display work load with number of inspection lot, number of sample, number of test, number of skip lot, number of skip test in folder.</t>
  </si>
  <si>
    <t>4.6.1.10.1</t>
    <phoneticPr fontId="0" type="noConversion"/>
  </si>
  <si>
    <t>System shall be able to automatically calculate QC release time for individual batch/test request.</t>
  </si>
  <si>
    <t>4.6.1.10.2</t>
  </si>
  <si>
    <t>Sample Release Time=Time End-Time Start</t>
  </si>
  <si>
    <t>4.6.1.10.5</t>
  </si>
  <si>
    <t>Time Start: sample received time (actual time barcode scan in QC) of inspection lot</t>
  </si>
  <si>
    <t>4.6.1.11.1</t>
    <phoneticPr fontId="0" type="noConversion"/>
  </si>
  <si>
    <t>Henkel need to check what's the report of Productivity
Henkel:QC productivity can be valuated according to 3 formulas:
QC efficiency 1=Direct QC test LH(IQC+IPQC+OQC,including retest)/QC attendence hours
QC efficiency 2=(Direct QC test LH+non-standard QC test LH)/QC attendence hours
QC efficiency 3=(Direct QC test LH+non-standard QC test LH+indirect QC LH)/QC attendence hours
Standard testing - Direct QC Test 
Non standard testing - Indirect QC
QC attendance hours - based on the shift management</t>
  </si>
  <si>
    <t>4.6.1.12.2</t>
    <phoneticPr fontId="0" type="noConversion"/>
  </si>
  <si>
    <t>System shall display on time proportion for PM for each instrument by report.</t>
  </si>
  <si>
    <t>4.6.1.13.1</t>
    <phoneticPr fontId="0" type="noConversion"/>
  </si>
  <si>
    <t>System shall display the quantity of calibration record and on time proporation for maintenance by report.</t>
    <phoneticPr fontId="0" type="noConversion"/>
  </si>
  <si>
    <t>System shall display on time proportion for MSA task by report.</t>
    <phoneticPr fontId="0" type="noConversion"/>
  </si>
  <si>
    <t>4.6.1.15.1</t>
    <phoneticPr fontId="0" type="noConversion"/>
  </si>
  <si>
    <t>System shall display stock status and safety stock status(the stock is below the minumum stock and above the maximum stock) in specific time period by report.</t>
  </si>
  <si>
    <t>4.6.1.16.1</t>
    <phoneticPr fontId="0" type="noConversion"/>
  </si>
  <si>
    <t>System shall display retain sample in dashboard by storage location, retain status , number of expired retains, disposed retains by date.</t>
  </si>
  <si>
    <t>4.8.5.7.2</t>
  </si>
  <si>
    <t>System shall create LES tasks for solution preparations automatically when stock is below safety stock or about to expire.</t>
  </si>
  <si>
    <t>4.8.5.7.4</t>
  </si>
  <si>
    <t>System shall automatically assign the solution preparation LES tasks to specific user.</t>
  </si>
  <si>
    <t>IM Integartion</t>
  </si>
  <si>
    <t>4.3.2.1.1</t>
    <phoneticPr fontId="0" type="noConversion"/>
  </si>
  <si>
    <t>System shall be able to capture data from Henkel type A.</t>
  </si>
  <si>
    <t>4.3.2.1.2</t>
  </si>
  <si>
    <t>System shall be able to capture data from Henkel type B.</t>
  </si>
  <si>
    <t>4.5.1.1</t>
  </si>
  <si>
    <t>System shall support download inspection lot from SAP to QCLAD.</t>
  </si>
  <si>
    <t>4.5.1.2</t>
  </si>
  <si>
    <r>
      <rPr>
        <sz val="11"/>
        <color rgb="FF000000"/>
        <rFont val="Calibri Light"/>
        <scheme val="major"/>
      </rPr>
      <t xml:space="preserve">System shall support download </t>
    </r>
    <r>
      <rPr>
        <sz val="11"/>
        <color rgb="FFFF0000"/>
        <rFont val="Calibri Light"/>
        <scheme val="major"/>
      </rPr>
      <t xml:space="preserve">Analysis </t>
    </r>
    <r>
      <rPr>
        <sz val="11"/>
        <color rgb="FF000000"/>
        <rFont val="Calibri Light"/>
        <scheme val="major"/>
      </rPr>
      <t xml:space="preserve">from SAP to QCLAD. </t>
    </r>
  </si>
  <si>
    <t>4.5.1.3</t>
  </si>
  <si>
    <r>
      <rPr>
        <sz val="11"/>
        <color rgb="FF000000"/>
        <rFont val="Calibri Light"/>
        <scheme val="major"/>
      </rPr>
      <t>System shall support download</t>
    </r>
    <r>
      <rPr>
        <sz val="11"/>
        <color rgb="FFFF0000"/>
        <rFont val="Calibri Light"/>
        <scheme val="major"/>
      </rPr>
      <t xml:space="preserve"> MLP</t>
    </r>
    <r>
      <rPr>
        <sz val="11"/>
        <color rgb="FF000000"/>
        <rFont val="Calibri Light"/>
        <scheme val="major"/>
      </rPr>
      <t xml:space="preserve"> from SAP to QCLAD. </t>
    </r>
  </si>
  <si>
    <t>4.5.1.4</t>
  </si>
  <si>
    <r>
      <rPr>
        <sz val="11"/>
        <color rgb="FF000000"/>
        <rFont val="Calibri Light"/>
        <scheme val="major"/>
      </rPr>
      <t xml:space="preserve">System shall support download </t>
    </r>
    <r>
      <rPr>
        <sz val="11"/>
        <color rgb="FFFF0000"/>
        <rFont val="Calibri Light"/>
        <scheme val="major"/>
      </rPr>
      <t>Substance</t>
    </r>
    <r>
      <rPr>
        <sz val="11"/>
        <color rgb="FF000000"/>
        <rFont val="Calibri Light"/>
        <scheme val="major"/>
      </rPr>
      <t xml:space="preserve"> from SAP to QCLAD. </t>
    </r>
  </si>
  <si>
    <t>4.5.1.5</t>
  </si>
  <si>
    <r>
      <rPr>
        <sz val="11"/>
        <color rgb="FF000000"/>
        <rFont val="Calibri Light"/>
        <scheme val="major"/>
      </rPr>
      <t xml:space="preserve">System shall support download </t>
    </r>
    <r>
      <rPr>
        <sz val="11"/>
        <color rgb="FFFF0000"/>
        <rFont val="Calibri Light"/>
        <scheme val="major"/>
      </rPr>
      <t>GHS</t>
    </r>
    <r>
      <rPr>
        <sz val="11"/>
        <color rgb="FF000000"/>
        <rFont val="Calibri Light"/>
        <scheme val="major"/>
      </rPr>
      <t xml:space="preserve"> from SAP to QCLAD. 
Refer to 4.8.5.8.2 </t>
    </r>
  </si>
  <si>
    <t>4.5.1.6</t>
  </si>
  <si>
    <r>
      <rPr>
        <sz val="11"/>
        <color rgb="FF000000"/>
        <rFont val="Calibri Light"/>
        <scheme val="major"/>
      </rPr>
      <t xml:space="preserve">System shall support download </t>
    </r>
    <r>
      <rPr>
        <sz val="11"/>
        <color rgb="FFFF0000"/>
        <rFont val="Calibri Light"/>
        <scheme val="major"/>
      </rPr>
      <t>Plant Code</t>
    </r>
    <r>
      <rPr>
        <sz val="11"/>
        <color rgb="FF000000"/>
        <rFont val="Calibri Light"/>
        <scheme val="major"/>
      </rPr>
      <t xml:space="preserve"> from SAP to QCLAD. </t>
    </r>
  </si>
  <si>
    <t>4.5.1.7</t>
  </si>
  <si>
    <t>System shall support to upload result value from QCLAD to SAP.</t>
  </si>
  <si>
    <t>4.5.1.8</t>
  </si>
  <si>
    <t>System shall support to upload result value from eCOA to QCLAD.</t>
  </si>
  <si>
    <t>4.5.1.9</t>
  </si>
  <si>
    <t>System shall push notify information(including resample and adjustment) to Henkel smart factory.</t>
  </si>
  <si>
    <t>4.5.1.10</t>
  </si>
  <si>
    <t>System shall pull result information from Henkel smart factory.</t>
  </si>
  <si>
    <t>4.5.1.11</t>
  </si>
  <si>
    <t>System shall support to upload result value from QCLAD to Henkel smart factory.</t>
  </si>
  <si>
    <t>4.5.1.12</t>
  </si>
  <si>
    <t>System shall support to upload sample states from QCLAD to Henkel smart factory.</t>
  </si>
  <si>
    <t>4.5.1.13</t>
  </si>
  <si>
    <t>System shall push/pull adjustment quantity information from/to Henkel smart factory.</t>
  </si>
  <si>
    <t>4.5.1.14</t>
  </si>
  <si>
    <t>System shall pull operator skill information from Henkel Skill Matrix.</t>
  </si>
  <si>
    <t>4.5.2.1</t>
    <phoneticPr fontId="0" type="noConversion"/>
  </si>
  <si>
    <t>Refer to 4.5.1.1 &amp; 4.5.1.2 &amp; 4.5.1.3 above.</t>
  </si>
  <si>
    <t>4.5.3.1</t>
    <phoneticPr fontId="0" type="noConversion"/>
  </si>
  <si>
    <t>4.8.1.5.2</t>
    <phoneticPr fontId="0" type="noConversion"/>
  </si>
  <si>
    <t>System shall sync user’s testing skill from Henkel skill matrix tool.</t>
    <phoneticPr fontId="6" type="noConversion"/>
  </si>
  <si>
    <t>4.8.2.3.2</t>
    <phoneticPr fontId="0" type="noConversion"/>
  </si>
  <si>
    <t>System shall sync user’s testing skill from Henkel skill matrix tool.</t>
  </si>
  <si>
    <t>4.8.4.1.2</t>
  </si>
  <si>
    <t>System shall align MLP data with SAP.</t>
  </si>
  <si>
    <t>4.8.5.8.2</t>
  </si>
  <si>
    <t xml:space="preserve">System shall sync GHS information form SAP to substance in QCLAD.
Refer to 4.5.1.5 </t>
  </si>
  <si>
    <t>sample</t>
  </si>
  <si>
    <t>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</si>
</sst>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b/>
      <sz val="11"/>
      <name val="Calibri Light"/>
      <family val="1"/>
      <scheme val="major"/>
    </font>
    <font>
      <b/>
      <sz val="10"/>
      <color rgb="FF000000"/>
      <name val="Calibri"/>
      <family val="2"/>
    </font>
    <font>
      <b/>
      <sz val="10"/>
      <color rgb="FF000000"/>
      <name val="等线"/>
    </font>
    <font>
      <sz val="10"/>
      <color rgb="FF000000"/>
      <name val="宋体"/>
    </font>
    <font>
      <sz val="10"/>
      <color theme="1"/>
      <name val="宋体"/>
    </font>
    <font>
      <sz val="10"/>
      <color rgb="FFFF0000"/>
      <name val="宋体"/>
    </font>
    <font>
      <sz val="9"/>
      <color indexed="81"/>
      <name val="Tahoma"/>
      <family val="2"/>
    </font>
    <font>
      <sz val="11"/>
      <name val="Calibri Light"/>
      <family val="1"/>
      <scheme val="major"/>
    </font>
    <font>
      <sz val="11"/>
      <color theme="1"/>
      <name val="Calibri Light"/>
      <family val="1"/>
      <scheme val="major"/>
    </font>
    <font>
      <sz val="11"/>
      <name val="Calibri Light"/>
      <family val="3"/>
      <charset val="134"/>
      <scheme val="major"/>
    </font>
    <font>
      <sz val="11"/>
      <color rgb="FFFF0000"/>
      <name val="Calibri Light"/>
      <family val="1"/>
      <scheme val="major"/>
    </font>
    <font>
      <sz val="11"/>
      <color indexed="8"/>
      <name val="Calibri Light"/>
      <family val="1"/>
      <scheme val="major"/>
    </font>
    <font>
      <sz val="11"/>
      <color theme="1"/>
      <name val="Calibri Light"/>
      <family val="3"/>
      <charset val="134"/>
      <scheme val="major"/>
    </font>
    <font>
      <sz val="11"/>
      <color rgb="FF000000"/>
      <name val="Calibri Light"/>
      <family val="1"/>
      <scheme val="major"/>
    </font>
    <font>
      <sz val="11"/>
      <color rgb="FF000000"/>
      <name val="Calibri Light"/>
      <scheme val="major"/>
    </font>
    <font>
      <sz val="11"/>
      <color rgb="FFFF0000"/>
      <name val="Calibri Light"/>
      <scheme val="major"/>
    </font>
  </fonts>
  <fills count="9">
    <fill>
      <patternFill patternType="none"/>
    </fill>
    <fill>
      <patternFill patternType="gray125"/>
    </fill>
    <fill>
      <patternFill patternType="solid">
        <fgColor rgb="FFFFFF00"/>
        <bgColor indexed="64"/>
      </patternFill>
    </fill>
    <fill>
      <patternFill patternType="solid">
        <fgColor rgb="FFB3E5A1"/>
        <bgColor indexed="64"/>
      </patternFill>
    </fill>
    <fill>
      <patternFill patternType="solid">
        <fgColor rgb="FFFFFFFF"/>
        <bgColor indexed="64"/>
      </patternFill>
    </fill>
    <fill>
      <patternFill patternType="solid">
        <fgColor indexed="44"/>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s>
  <borders count="11">
    <border>
      <left/>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94">
    <xf numFmtId="0" fontId="0" fillId="0" borderId="0" xfId="0"/>
    <xf numFmtId="0" fontId="3" fillId="0" borderId="0" xfId="0" applyFont="1"/>
    <xf numFmtId="0" fontId="0" fillId="2" borderId="0" xfId="0" applyFill="1"/>
    <xf numFmtId="0" fontId="4" fillId="0" borderId="1" xfId="0" applyFont="1" applyBorder="1" applyAlignment="1">
      <alignment horizontal="center" vertical="center"/>
    </xf>
    <xf numFmtId="0" fontId="5" fillId="3" borderId="2" xfId="0" applyFont="1" applyFill="1" applyBorder="1" applyAlignment="1">
      <alignment vertical="center" wrapText="1"/>
    </xf>
    <xf numFmtId="0" fontId="5" fillId="3" borderId="3" xfId="0" applyFont="1" applyFill="1" applyBorder="1" applyAlignment="1">
      <alignment vertical="center" wrapText="1"/>
    </xf>
    <xf numFmtId="0" fontId="5" fillId="3"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9" fillId="4" borderId="5"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7" fillId="4" borderId="0" xfId="0" applyFont="1" applyFill="1" applyAlignment="1">
      <alignment horizontal="center" vertical="center" wrapText="1"/>
    </xf>
    <xf numFmtId="0" fontId="4" fillId="5" borderId="8" xfId="0" applyFont="1" applyFill="1" applyBorder="1" applyAlignment="1">
      <alignment horizontal="center" wrapText="1"/>
    </xf>
    <xf numFmtId="0" fontId="4" fillId="5" borderId="8" xfId="0" applyFont="1" applyFill="1" applyBorder="1" applyAlignment="1">
      <alignment horizontal="left" wrapText="1"/>
    </xf>
    <xf numFmtId="0" fontId="4" fillId="5" borderId="8" xfId="0" applyFont="1" applyFill="1" applyBorder="1" applyAlignment="1">
      <alignment wrapText="1"/>
    </xf>
    <xf numFmtId="0" fontId="11" fillId="0" borderId="0" xfId="0" applyFont="1" applyAlignment="1">
      <alignment vertical="top"/>
    </xf>
    <xf numFmtId="0" fontId="11" fillId="0" borderId="8" xfId="0" applyFont="1" applyBorder="1" applyAlignment="1">
      <alignment horizontal="center" vertical="top"/>
    </xf>
    <xf numFmtId="0" fontId="11" fillId="0" borderId="8" xfId="0" applyFont="1" applyBorder="1" applyAlignment="1">
      <alignment horizontal="left" vertical="top" indent="1"/>
    </xf>
    <xf numFmtId="0" fontId="11" fillId="0" borderId="8" xfId="1" applyFont="1" applyBorder="1" applyAlignment="1">
      <alignment vertical="top" wrapText="1"/>
    </xf>
    <xf numFmtId="0" fontId="11" fillId="0" borderId="8" xfId="0" applyFont="1" applyBorder="1" applyAlignment="1">
      <alignment vertical="top" wrapText="1"/>
    </xf>
    <xf numFmtId="0" fontId="11" fillId="0" borderId="8" xfId="0" applyFont="1" applyBorder="1" applyAlignment="1">
      <alignment vertical="top"/>
    </xf>
    <xf numFmtId="0" fontId="11" fillId="0" borderId="9" xfId="0" applyFont="1" applyBorder="1" applyAlignment="1">
      <alignment vertical="top"/>
    </xf>
    <xf numFmtId="0" fontId="12" fillId="6" borderId="8" xfId="0" applyFont="1" applyFill="1" applyBorder="1" applyAlignment="1">
      <alignment vertical="top" wrapText="1"/>
    </xf>
    <xf numFmtId="0" fontId="4" fillId="0" borderId="8" xfId="0" applyFont="1" applyBorder="1" applyAlignment="1">
      <alignment horizontal="center" vertical="center"/>
    </xf>
    <xf numFmtId="0" fontId="12" fillId="0" borderId="8" xfId="0" applyFont="1" applyBorder="1" applyAlignment="1">
      <alignment wrapText="1"/>
    </xf>
    <xf numFmtId="0" fontId="12" fillId="0" borderId="8" xfId="0" applyFont="1" applyBorder="1" applyAlignment="1">
      <alignment vertical="top" wrapText="1"/>
    </xf>
    <xf numFmtId="0" fontId="11" fillId="0" borderId="9" xfId="0" applyFont="1" applyBorder="1" applyAlignment="1">
      <alignment horizontal="center" vertical="top"/>
    </xf>
    <xf numFmtId="0" fontId="11" fillId="0" borderId="9" xfId="0" applyFont="1" applyBorder="1" applyAlignment="1">
      <alignment horizontal="left" vertical="top" indent="1"/>
    </xf>
    <xf numFmtId="0" fontId="11" fillId="0" borderId="0" xfId="0" applyFont="1" applyAlignment="1">
      <alignment horizontal="center" vertical="top"/>
    </xf>
    <xf numFmtId="0" fontId="13" fillId="0" borderId="8" xfId="0" applyFont="1" applyBorder="1" applyAlignment="1">
      <alignment vertical="top" wrapText="1"/>
    </xf>
    <xf numFmtId="0" fontId="11" fillId="7" borderId="0" xfId="0" applyFont="1" applyFill="1" applyAlignment="1">
      <alignment vertical="top"/>
    </xf>
    <xf numFmtId="0" fontId="11" fillId="7" borderId="8" xfId="0" applyFont="1" applyFill="1" applyBorder="1" applyAlignment="1">
      <alignment horizontal="center" vertical="top"/>
    </xf>
    <xf numFmtId="0" fontId="11" fillId="7" borderId="8" xfId="0" applyFont="1" applyFill="1" applyBorder="1" applyAlignment="1">
      <alignment horizontal="left" vertical="top" indent="1"/>
    </xf>
    <xf numFmtId="0" fontId="14" fillId="7" borderId="8" xfId="1" applyFont="1" applyFill="1" applyBorder="1" applyAlignment="1">
      <alignment vertical="top" wrapText="1"/>
    </xf>
    <xf numFmtId="0" fontId="11" fillId="7" borderId="8" xfId="0" applyFont="1" applyFill="1" applyBorder="1" applyAlignment="1">
      <alignment vertical="top" wrapText="1"/>
    </xf>
    <xf numFmtId="0" fontId="11" fillId="7" borderId="8" xfId="0" applyFont="1" applyFill="1" applyBorder="1" applyAlignment="1">
      <alignment vertical="top"/>
    </xf>
    <xf numFmtId="0" fontId="11" fillId="7" borderId="9" xfId="0" applyFont="1" applyFill="1" applyBorder="1" applyAlignment="1">
      <alignment vertical="top"/>
    </xf>
    <xf numFmtId="0" fontId="11" fillId="7" borderId="8" xfId="1" applyFont="1" applyFill="1" applyBorder="1" applyAlignment="1">
      <alignment vertical="top" wrapText="1"/>
    </xf>
    <xf numFmtId="0" fontId="4" fillId="7" borderId="1" xfId="0" applyFont="1" applyFill="1" applyBorder="1" applyAlignment="1">
      <alignment horizontal="center" vertical="center"/>
    </xf>
    <xf numFmtId="0" fontId="4" fillId="7" borderId="8" xfId="0" applyFont="1" applyFill="1" applyBorder="1" applyAlignment="1">
      <alignment horizontal="center" vertical="center"/>
    </xf>
    <xf numFmtId="0" fontId="11" fillId="0" borderId="8" xfId="0" applyFont="1" applyBorder="1" applyAlignment="1">
      <alignment horizontal="left" vertical="top" indent="2"/>
    </xf>
    <xf numFmtId="0" fontId="11" fillId="8" borderId="8" xfId="0" applyFont="1" applyFill="1" applyBorder="1" applyAlignment="1">
      <alignment vertical="top"/>
    </xf>
    <xf numFmtId="0" fontId="11" fillId="0" borderId="8" xfId="1" applyFont="1" applyBorder="1" applyAlignment="1">
      <alignment horizontal="left" vertical="top" wrapText="1" indent="1"/>
    </xf>
    <xf numFmtId="0" fontId="11" fillId="0" borderId="0" xfId="0" applyFont="1" applyAlignment="1">
      <alignment vertical="top" wrapText="1"/>
    </xf>
    <xf numFmtId="0" fontId="4" fillId="0" borderId="10" xfId="0" applyFont="1" applyBorder="1" applyAlignment="1">
      <alignment horizontal="center" vertical="center"/>
    </xf>
    <xf numFmtId="0" fontId="11" fillId="0" borderId="9" xfId="0" applyFont="1" applyBorder="1" applyAlignment="1">
      <alignment vertical="top" wrapText="1"/>
    </xf>
    <xf numFmtId="0" fontId="11" fillId="6" borderId="8" xfId="0" applyFont="1" applyFill="1" applyBorder="1" applyAlignment="1">
      <alignment vertical="top" wrapText="1"/>
    </xf>
    <xf numFmtId="0" fontId="15" fillId="6" borderId="8" xfId="0" applyFont="1" applyFill="1" applyBorder="1" applyAlignment="1">
      <alignment vertical="top" wrapText="1"/>
    </xf>
    <xf numFmtId="0" fontId="4" fillId="0" borderId="9" xfId="0" applyFont="1" applyBorder="1" applyAlignment="1">
      <alignment horizontal="center" vertical="center"/>
    </xf>
    <xf numFmtId="14" fontId="11" fillId="0" borderId="9" xfId="0" applyNumberFormat="1" applyFont="1" applyBorder="1" applyAlignment="1">
      <alignment horizontal="left" vertical="top" indent="1"/>
    </xf>
    <xf numFmtId="14" fontId="11" fillId="7" borderId="9" xfId="0" applyNumberFormat="1" applyFont="1" applyFill="1" applyBorder="1" applyAlignment="1">
      <alignment horizontal="left" vertical="top" indent="1"/>
    </xf>
    <xf numFmtId="0" fontId="11" fillId="7" borderId="9" xfId="0" applyFont="1" applyFill="1" applyBorder="1" applyAlignment="1">
      <alignment vertical="top" wrapText="1"/>
    </xf>
    <xf numFmtId="0" fontId="4" fillId="7" borderId="9" xfId="0" applyFont="1" applyFill="1" applyBorder="1" applyAlignment="1">
      <alignment horizontal="center" vertical="center"/>
    </xf>
    <xf numFmtId="14" fontId="11" fillId="0" borderId="8" xfId="0" applyNumberFormat="1" applyFont="1" applyBorder="1" applyAlignment="1">
      <alignment horizontal="left" vertical="top" indent="1"/>
    </xf>
    <xf numFmtId="0" fontId="15" fillId="0" borderId="8" xfId="0" applyFont="1" applyBorder="1" applyAlignment="1">
      <alignment vertical="top" wrapText="1"/>
    </xf>
    <xf numFmtId="0" fontId="11" fillId="0" borderId="9" xfId="1" applyFont="1" applyBorder="1" applyAlignment="1">
      <alignment vertical="top" wrapText="1"/>
    </xf>
    <xf numFmtId="14" fontId="11" fillId="6" borderId="8" xfId="0" applyNumberFormat="1" applyFont="1" applyFill="1" applyBorder="1" applyAlignment="1">
      <alignment horizontal="left" vertical="top" indent="1"/>
    </xf>
    <xf numFmtId="14" fontId="11" fillId="6" borderId="9" xfId="0" applyNumberFormat="1" applyFont="1" applyFill="1" applyBorder="1" applyAlignment="1">
      <alignment horizontal="left" vertical="top" indent="1"/>
    </xf>
    <xf numFmtId="0" fontId="11" fillId="0" borderId="8" xfId="1" applyFont="1" applyBorder="1" applyAlignment="1">
      <alignment horizontal="center" vertical="top"/>
    </xf>
    <xf numFmtId="0" fontId="11" fillId="0" borderId="8" xfId="1" applyFont="1" applyBorder="1" applyAlignment="1">
      <alignment horizontal="left" vertical="top" indent="1"/>
    </xf>
    <xf numFmtId="0" fontId="11" fillId="0" borderId="8" xfId="1" applyFont="1" applyBorder="1" applyAlignment="1">
      <alignment vertical="top"/>
    </xf>
    <xf numFmtId="0" fontId="11" fillId="0" borderId="8" xfId="1" applyFont="1" applyBorder="1" applyAlignment="1">
      <alignment horizontal="center" vertical="center"/>
    </xf>
    <xf numFmtId="0" fontId="11" fillId="0" borderId="8" xfId="1" applyFont="1" applyBorder="1" applyAlignment="1">
      <alignment horizontal="left" vertical="top" wrapText="1"/>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6" fillId="0" borderId="8" xfId="0" applyFont="1" applyBorder="1" applyAlignment="1">
      <alignment vertical="top" wrapText="1"/>
    </xf>
    <xf numFmtId="0" fontId="11" fillId="0" borderId="9" xfId="1" applyFont="1" applyBorder="1" applyAlignment="1">
      <alignment vertical="top"/>
    </xf>
    <xf numFmtId="0" fontId="11" fillId="0" borderId="9" xfId="1" applyFont="1" applyBorder="1" applyAlignment="1">
      <alignment horizontal="center" vertical="center"/>
    </xf>
    <xf numFmtId="0" fontId="11" fillId="8" borderId="8" xfId="0" applyFont="1" applyFill="1" applyBorder="1" applyAlignment="1">
      <alignment horizontal="left" vertical="top" wrapText="1" indent="1"/>
    </xf>
    <xf numFmtId="0" fontId="4" fillId="8" borderId="8" xfId="0" applyFont="1" applyFill="1" applyBorder="1" applyAlignment="1">
      <alignment horizontal="left" vertical="top"/>
    </xf>
    <xf numFmtId="0" fontId="4" fillId="8" borderId="8" xfId="0" applyFont="1" applyFill="1" applyBorder="1" applyAlignment="1">
      <alignment horizontal="center" vertical="top"/>
    </xf>
    <xf numFmtId="0" fontId="4" fillId="8" borderId="8" xfId="1" applyFont="1" applyFill="1" applyBorder="1" applyAlignment="1">
      <alignment vertical="top" wrapText="1"/>
    </xf>
    <xf numFmtId="0" fontId="4" fillId="8" borderId="8" xfId="0" applyFont="1" applyFill="1" applyBorder="1" applyAlignment="1">
      <alignment vertical="top" wrapText="1"/>
    </xf>
    <xf numFmtId="0" fontId="11" fillId="8" borderId="9" xfId="0" applyFont="1" applyFill="1" applyBorder="1" applyAlignment="1">
      <alignment vertical="top"/>
    </xf>
    <xf numFmtId="0" fontId="11" fillId="8" borderId="8" xfId="0" applyFont="1" applyFill="1" applyBorder="1" applyAlignment="1">
      <alignment horizontal="left" vertical="top" wrapText="1"/>
    </xf>
    <xf numFmtId="0" fontId="4" fillId="8" borderId="8" xfId="0" applyFont="1" applyFill="1" applyBorder="1" applyAlignment="1">
      <alignment horizontal="center" vertical="center"/>
    </xf>
    <xf numFmtId="0" fontId="11" fillId="0" borderId="8" xfId="0" applyFont="1" applyBorder="1" applyAlignment="1">
      <alignment horizontal="left" vertical="top" wrapText="1"/>
    </xf>
    <xf numFmtId="0" fontId="11" fillId="0" borderId="8" xfId="0" applyFont="1" applyBorder="1" applyAlignment="1">
      <alignment wrapText="1"/>
    </xf>
    <xf numFmtId="0" fontId="11" fillId="7" borderId="8" xfId="0" applyFont="1" applyFill="1" applyBorder="1" applyAlignment="1">
      <alignment wrapText="1"/>
    </xf>
    <xf numFmtId="0" fontId="17" fillId="6" borderId="8" xfId="0" applyFont="1" applyFill="1" applyBorder="1" applyAlignment="1">
      <alignment vertical="top" wrapText="1"/>
    </xf>
    <xf numFmtId="0" fontId="17" fillId="0" borderId="8" xfId="0" applyFont="1" applyBorder="1" applyAlignment="1">
      <alignment vertical="top" wrapText="1"/>
    </xf>
    <xf numFmtId="0" fontId="15" fillId="0" borderId="9" xfId="0" applyFont="1" applyBorder="1" applyAlignment="1">
      <alignment vertical="top" wrapText="1"/>
    </xf>
    <xf numFmtId="0" fontId="11" fillId="2" borderId="8" xfId="1" applyFont="1" applyFill="1" applyBorder="1" applyAlignment="1">
      <alignment vertical="top" wrapText="1"/>
    </xf>
    <xf numFmtId="0" fontId="15" fillId="2" borderId="9" xfId="0" applyFont="1" applyFill="1" applyBorder="1" applyAlignment="1">
      <alignment vertical="top" wrapText="1"/>
    </xf>
    <xf numFmtId="0" fontId="4" fillId="0" borderId="0" xfId="0" applyFont="1" applyAlignment="1">
      <alignment horizontal="center" vertical="center"/>
    </xf>
    <xf numFmtId="0" fontId="13" fillId="0" borderId="9" xfId="0" applyFont="1" applyBorder="1" applyAlignment="1">
      <alignment vertical="top" wrapText="1"/>
    </xf>
    <xf numFmtId="0" fontId="11" fillId="6" borderId="8" xfId="0" applyFont="1" applyFill="1" applyBorder="1" applyAlignment="1">
      <alignment vertical="top"/>
    </xf>
    <xf numFmtId="14" fontId="11" fillId="0" borderId="9" xfId="0" applyNumberFormat="1" applyFont="1" applyBorder="1" applyAlignment="1">
      <alignment horizontal="center" vertical="top"/>
    </xf>
    <xf numFmtId="0" fontId="11" fillId="2" borderId="9" xfId="0" applyFont="1" applyFill="1" applyBorder="1" applyAlignment="1">
      <alignment vertical="top" wrapText="1"/>
    </xf>
    <xf numFmtId="0" fontId="7" fillId="4" borderId="7"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6" xfId="0" applyFont="1" applyFill="1" applyBorder="1" applyAlignment="1">
      <alignment horizontal="center" vertical="center" wrapText="1"/>
    </xf>
  </cellXfs>
  <cellStyles count="2">
    <cellStyle name="Normal" xfId="0" builtinId="0"/>
    <cellStyle name="Normal 2" xfId="1" xr:uid="{8EAD9CFC-2100-4377-A729-E3004B9AAF64}"/>
  </cellStyles>
  <dxfs count="48">
    <dxf>
      <fill>
        <patternFill>
          <bgColor indexed="10"/>
        </patternFill>
      </fill>
    </dxf>
    <dxf>
      <fill>
        <patternFill>
          <bgColor indexed="52"/>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10"/>
        </patternFill>
      </fill>
    </dxf>
    <dxf>
      <fill>
        <patternFill>
          <bgColor indexed="50"/>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50"/>
        </patternFill>
      </fill>
    </dxf>
    <dxf>
      <fill>
        <patternFill>
          <bgColor indexed="5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Frank Shen" id="{AA35DB2E-4624-4E77-B0E9-52690BCB03D9}" userId="S::frank.shen@henkel.com::00d47b21-dccf-4c3f-ae8f-ea5d5a02d0e0" providerId="AD"/>
  <person displayName="Neelima Rajesh" id="{50B82049-78D0-46FA-8803-546E01F97E48}" userId="S::neelima.rajesh@henkel.com::e9b51af5-5a03-4d45-baba-6827527d3602" providerId="AD"/>
  <person displayName="Mengran Xiao" id="{DB825584-307B-4509-87FC-DE94FA96D3DA}" userId="S::mengran.xiao@thermofisher.com::0331391d-0438-4e9d-b2f6-46790c92e18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3" dT="2024-06-13T05:03:40.19" personId="{50B82049-78D0-46FA-8803-546E01F97E48}" id="{624D5F3F-AE5F-4766-A651-3F1C7C950A67}" done="1">
    <text>It should be used also for standard testing. Ex: Truck RM, 903 - IPQC, non MES plants. Need a configuration to identify these scenarios</text>
  </threadedComment>
  <threadedComment ref="G9" dT="2024-06-13T05:07:25.92" personId="{50B82049-78D0-46FA-8803-546E01F97E48}" id="{59EF8822-E686-46C8-BDDC-396452A1811D}" done="1">
    <text>Date and time</text>
  </threadedComment>
  <threadedComment ref="G10" dT="2024-06-14T02:24:22.87" personId="{50B82049-78D0-46FA-8803-546E01F97E48}" id="{2FB1F2A2-C5B3-417A-B20A-9025510EF29F}" done="1">
    <text>Need to add a mandatory comment for the cancellation.</text>
  </threadedComment>
  <threadedComment ref="G12" dT="2024-06-13T05:08:17.49" personId="{50B82049-78D0-46FA-8803-546E01F97E48}" id="{21FBA5D7-C266-4EC5-B627-58C21B9DA9F1}" done="1">
    <text>Do we need to mention some examples of configurable attributes  to ensure both teams are on same page?</text>
  </threadedComment>
  <threadedComment ref="G12" dT="2024-06-18T07:39:26.92" personId="{AA35DB2E-4624-4E77-B0E9-52690BCB03D9}" id="{5A4B488E-7FB6-4695-88B2-4486DDF95D72}" parentId="{21FBA5D7-C266-4EC5-B627-58C21B9DA9F1}">
    <text>Thermofisher will provide the details for henkel to choose</text>
  </threadedComment>
  <threadedComment ref="G15" dT="2024-06-14T02:27:06.61" personId="{50B82049-78D0-46FA-8803-546E01F97E48}" id="{1F7D40DD-7765-46D1-92A3-01403487D62B}" done="1">
    <text>Provision for traceability of split samples with a parent sample should be available</text>
  </threadedComment>
  <threadedComment ref="G17" dT="2024-06-13T05:11:08.82" personId="{50B82049-78D0-46FA-8803-546E01F97E48}" id="{95DC7E2A-AA49-4A62-B5BC-BAA12877BDB3}" done="1">
    <text>Should be access driven, only specific users with right roles can create or modify</text>
  </threadedComment>
  <threadedComment ref="G18" dT="2024-06-14T02:28:33.85" personId="{50B82049-78D0-46FA-8803-546E01F97E48}" id="{905B4ACD-64DA-42CD-A30A-A6742B695BF9}">
    <text>If the test is failed and need to retest - Based on the sample number, multiple inspection points to be created in SAP for all standard testing flows. This is to record all failure as well as success of parameters in SAP.</text>
  </threadedComment>
  <threadedComment ref="G21" dT="2024-06-14T02:30:12.19" personId="{50B82049-78D0-46FA-8803-546E01F97E48}" id="{D514950B-D67A-4EC8-995D-10FD533B130C}" done="1">
    <text>Specification limit to be pulled from SAP inspection plan</text>
  </threadedComment>
  <threadedComment ref="G24" dT="2024-06-13T05:13:03.10" personId="{50B82049-78D0-46FA-8803-546E01F97E48}" id="{158DD9C3-4F30-4946-99D7-D017B535960F}" done="1">
    <text>It can be barcode or QRCode</text>
  </threadedComment>
  <threadedComment ref="G30" dT="2024-06-13T05:14:44.81" personId="{50B82049-78D0-46FA-8803-546E01F97E48}" id="{574AD79C-24B9-46D4-9BDD-B4E991460C95}">
    <text>What all attributes can be modified should be configurable and access driven.</text>
  </threadedComment>
  <threadedComment ref="G31" dT="2024-06-14T02:35:15.65" personId="{50B82049-78D0-46FA-8803-546E01F97E48}" id="{2DBD3BD0-8371-4076-B7A3-751512E55781}" done="1">
    <text>For RM, in case CoA data already available in SAP inspection lot, the details should be displayed even if the data entry is not required in QCLAD</text>
  </threadedComment>
  <threadedComment ref="G31" dT="2024-06-18T07:46:24.75" personId="{AA35DB2E-4624-4E77-B0E9-52690BCB03D9}" id="{255E31E8-7F2E-46A5-8694-A890AEF59B75}" parentId="{2DBD3BD0-8371-4076-B7A3-751512E55781}">
    <text>Details: Data recorded within inspection lot, MIC, Spec, Test result</text>
  </threadedComment>
  <threadedComment ref="G32" dT="2024-06-14T02:36:04.77" personId="{50B82049-78D0-46FA-8803-546E01F97E48}" id="{A5EFBB0B-CF37-4630-B613-A87825EB09AC}" done="1">
    <text>The instructions of calculations, lab instruments to be pulled from SOP.</text>
  </threadedComment>
  <threadedComment ref="G32" dT="2024-06-18T07:50:25.21" personId="{AA35DB2E-4624-4E77-B0E9-52690BCB03D9}" id="{0381D38E-DF86-4FD6-B76C-B932CFDF9DF5}" parentId="{A5EFBB0B-CF37-4630-B613-A87825EB09AC}">
    <text>Approved by Thermofisher 2024/06/18</text>
  </threadedComment>
  <threadedComment ref="G37" dT="2024-06-14T02:39:21.78" personId="{50B82049-78D0-46FA-8803-546E01F97E48}" id="{3C9A4E74-ECE0-474F-9AA6-81537D3A0DE3}" done="1">
    <text>Multiple test, samples can be from different materials, material types(Raw material, Semi finished goods, finished goods)</text>
  </threadedComment>
  <threadedComment ref="G37" dT="2024-06-18T07:49:42.57" personId="{AA35DB2E-4624-4E77-B0E9-52690BCB03D9}" id="{16124C29-C17F-4B77-BEFA-1AB007176175}" parentId="{3C9A4E74-ECE0-474F-9AA6-81537D3A0DE3}">
    <text>Approved by Thermofisher 2024/06/18</text>
  </threadedComment>
  <threadedComment ref="G39" dT="2024-06-14T02:40:50.41" personId="{50B82049-78D0-46FA-8803-546E01F97E48}" id="{EE9DD81D-49BD-4F35-8E5F-6A233328B9A6}" done="1">
    <text xml:space="preserve">Only for active samples. </text>
  </threadedComment>
  <threadedComment ref="G43" dT="2024-06-14T02:47:16.40" personId="{50B82049-78D0-46FA-8803-546E01F97E48}" id="{4DDE7DDB-82FE-4466-9B4C-AD12052341A3}" done="1">
    <text>Recording one result should be 1 user responsibility but test can be started by one person and continued by another person.</text>
  </threadedComment>
  <threadedComment ref="G43" dT="2024-06-18T07:53:03.00" personId="{AA35DB2E-4624-4E77-B0E9-52690BCB03D9}" id="{B04A515D-75C6-46B0-BA94-1989F32A4D1B}" parentId="{4DDE7DDB-82FE-4466-9B4C-AD12052341A3}">
    <text>Confimed with Thermofisher 2024/06/18</text>
  </threadedComment>
  <threadedComment ref="G47" dT="2024-06-14T02:48:20.76" personId="{50B82049-78D0-46FA-8803-546E01F97E48}" id="{086B396F-65AA-4A23-A106-FA595C320289}" done="1">
    <text>Peer review should be configurable at material group level</text>
  </threadedComment>
  <threadedComment ref="G47" dT="2024-06-18T07:53:52.42" personId="{AA35DB2E-4624-4E77-B0E9-52690BCB03D9}" id="{FC4341FC-6B55-446E-B1E5-5E3AC51EACC2}" parentId="{086B396F-65AA-4A23-A106-FA595C320289}">
    <text>There should be configurable option.</text>
  </threadedComment>
  <threadedComment ref="G55" dT="2024-06-14T02:52:35.27" personId="{50B82049-78D0-46FA-8803-546E01F97E48}" id="{41A1DB2C-2AFA-499E-89E2-73FFA6777A7E}" done="1">
    <text>Return to tester - reviewer should be able to select the operator and sample status have to be changed back to test status</text>
  </threadedComment>
  <threadedComment ref="G80" dT="2024-06-26T03:21:54.97" personId="{50B82049-78D0-46FA-8803-546E01F97E48}" id="{4B211AFC-A029-4FC1-8898-7C282F34A440}" done="1">
    <text>For Type C and type D only manual entry. It should also override the results recorded from Type A and Type B in case there are any issues in data capture.</text>
  </threadedComment>
  <threadedComment ref="G81" dT="2024-06-26T03:26:53.30" personId="{50B82049-78D0-46FA-8803-546E01F97E48}" id="{03F8D7B8-7FF2-43C4-9DF9-8644EF53BFA2}" done="1">
    <text>System shall display standard cycle time, operator id who is performing the task, items consumed in the test process and its quantity. We also need to check whether it is possible to get actual cycle time of sample testing.</text>
  </threadedComment>
  <threadedComment ref="G81" dT="2024-07-01T03:49:03.30" personId="{AA35DB2E-4624-4E77-B0E9-52690BCB03D9}" id="{D6D26155-FDE7-493B-9477-9A90C0E417D2}" parentId="{03F8D7B8-7FF2-43C4-9DF9-8644EF53BFA2}">
    <text>For cycle time of test under MIC level, the system should be able to compare standard cycle time to actual cycle time.</text>
  </threadedComment>
  <threadedComment ref="G81" dT="2024-07-01T08:11:28.79" personId="{DB825584-307B-4509-87FC-DE94FA96D3DA}" id="{295A2527-721A-4703-8351-4660D4EFE8A2}" parentId="{03F8D7B8-7FF2-43C4-9DF9-8644EF53BFA2}">
    <text>Update</text>
  </threadedComment>
  <threadedComment ref="G104" dT="2024-06-26T10:58:14.18" personId="{50B82049-78D0-46FA-8803-546E01F97E48}" id="{DA2232CF-FA32-491D-B540-8AC522528625}" done="1">
    <text>System should not allow the user to take a testing task if the operator is not qualified</text>
  </threadedComment>
  <threadedComment ref="G104" dT="2024-06-27T03:02:45.07" personId="{AA35DB2E-4624-4E77-B0E9-52690BCB03D9}" id="{DBBBF083-9B0E-4A25-9691-FDC9C5645FA5}" parentId="{DA2232CF-FA32-491D-B540-8AC522528625}">
    <text>Agreed.</text>
  </threadedComment>
  <threadedComment ref="G104" dT="2024-07-01T08:34:06.92" personId="{DB825584-307B-4509-87FC-DE94FA96D3DA}" id="{EDDD58CB-EECA-4E7A-9F8A-6CB9EAD20483}" parentId="{DA2232CF-FA32-491D-B540-8AC522528625}">
    <text xml:space="preserve">Update
</text>
  </threadedComment>
</ThreadedComments>
</file>

<file path=xl/threadedComments/threadedComment2.xml><?xml version="1.0" encoding="utf-8"?>
<ThreadedComments xmlns="http://schemas.microsoft.com/office/spreadsheetml/2018/threadedcomments" xmlns:x="http://schemas.openxmlformats.org/spreadsheetml/2006/main">
  <threadedComment ref="G6" dT="2024-06-26T10:59:20.43" personId="{50B82049-78D0-46FA-8803-546E01F97E48}" id="{0BE4C16C-B801-41F9-91CF-722D8D4C9676}" done="1">
    <text>The fields for master data to be agreed by both teams</text>
  </threadedComment>
  <threadedComment ref="G6" dT="2024-07-01T08:35:10.68" personId="{DB825584-307B-4509-87FC-DE94FA96D3DA}" id="{44005B80-C615-40FB-BDE5-215F9C0ADC22}" parentId="{0BE4C16C-B801-41F9-91CF-722D8D4C9676}">
    <text>Agree</text>
  </threadedComment>
  <threadedComment ref="G9" dT="2024-06-26T14:14:55.67" personId="{50B82049-78D0-46FA-8803-546E01F97E48}" id="{7BAFADE2-DE94-4BF6-9C3D-98DA4273B225}" done="1">
    <text>do we also need maximum quantity?</text>
  </threadedComment>
  <threadedComment ref="G9" dT="2024-06-27T03:33:26.02" personId="{AA35DB2E-4624-4E77-B0E9-52690BCB03D9}" id="{48A06445-3907-4521-8BB1-4B425A1157B3}" parentId="{7BAFADE2-DE94-4BF6-9C3D-98DA4273B225}">
    <text xml:space="preserve">Yes, for flammable and explosive reagents </text>
  </threadedComment>
  <threadedComment ref="G9" dT="2024-06-27T08:01:19.61" personId="{50B82049-78D0-46FA-8803-546E01F97E48}" id="{D27A067B-7397-4750-8263-10285F0BFC56}" parentId="{7BAFADE2-DE94-4BF6-9C3D-98DA4273B225}">
    <text>TF need to add maximum part also</text>
  </threadedComment>
  <threadedComment ref="G9" dT="2024-07-01T08:44:44.61" personId="{DB825584-307B-4509-87FC-DE94FA96D3DA}" id="{91A777D1-22DE-40B2-B87C-6CA48596C977}" parentId="{7BAFADE2-DE94-4BF6-9C3D-98DA4273B225}">
    <text>update</text>
  </threadedComment>
  <threadedComment ref="G18" dT="2024-06-26T14:24:40.64" personId="{50B82049-78D0-46FA-8803-546E01F97E48}" id="{A1583974-FD37-45E2-8951-0F49C1EA1307}" done="1">
    <text>GHS information to be pulled from SAP system</text>
  </threadedComment>
  <threadedComment ref="G18" dT="2024-07-01T09:14:35.04" personId="{DB825584-307B-4509-87FC-DE94FA96D3DA}" id="{1454DBB5-6D7A-4C46-877D-5DB0051AF9F4}" parentId="{A1583974-FD37-45E2-8951-0F49C1EA1307}">
    <text>update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G4" dT="2024-06-26T03:52:48.77" personId="{50B82049-78D0-46FA-8803-546E01F97E48}" id="{947DB4EE-D381-4253-9DF8-B96A434E1DA6}" done="1">
    <text xml:space="preserve">Specification and parameters have to be maintained in equipment master data whereas the details of spare parts, calibration and maintenance requirements to be available in their respective SOPs. </text>
  </threadedComment>
  <threadedComment ref="G4" dT="2024-07-01T08:27:35.06" personId="{DB825584-307B-4509-87FC-DE94FA96D3DA}" id="{C6304CE8-7514-43CA-8AC9-37EDAA3EC0D9}" parentId="{947DB4EE-D381-4253-9DF8-B96A434E1DA6}">
    <text>Update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G2" dT="2024-06-26T14:17:30.90" personId="{50B82049-78D0-46FA-8803-546E01F97E48}" id="{DD5A4C72-6B57-4262-A46D-A8C2144A3F5E}" done="1">
    <text>The understanding, by giving the material and batch, we should be able to retrieve the storage location for consumables, retain sample</text>
  </threadedComment>
  <threadedComment ref="G2" dT="2024-06-27T03:34:32.07" personId="{AA35DB2E-4624-4E77-B0E9-52690BCB03D9}" id="{C3903180-4026-4CEF-8328-ACDD21EE2215}" parentId="{DD5A4C72-6B57-4262-A46D-A8C2144A3F5E}">
    <text>Exactly</text>
  </threadedComment>
  <threadedComment ref="G2" dT="2024-07-01T08:47:25.23" personId="{DB825584-307B-4509-87FC-DE94FA96D3DA}" id="{D75B9CDD-E6F3-4F7B-96AA-C8182643B6B2}" parentId="{DD5A4C72-6B57-4262-A46D-A8C2144A3F5E}">
    <text>update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G2" dT="2024-06-14T02:22:55.51" personId="{50B82049-78D0-46FA-8803-546E01F97E48}" id="{F8F50A8B-9AB2-45A5-8634-28444E199CEF}" done="1">
    <text>Which has an inspection lot(automatic)</text>
  </threadedComment>
  <threadedComment ref="I5" dT="2024-06-18T07:41:55.22" personId="{AA35DB2E-4624-4E77-B0E9-52690BCB03D9}" id="{040CF7B5-C04D-4281-BCDD-0C702F4C31C0}">
    <text>Why is this item customisation as it is standard functionality</text>
  </threadedComment>
  <threadedComment ref="I5" dT="2024-06-19T02:15:46.95" personId="{DB825584-307B-4509-87FC-DE94FA96D3DA}" id="{EE355CD3-D202-4D01-846C-AD1FF9EA714C}" parentId="{040CF7B5-C04D-4281-BCDD-0C702F4C31C0}">
    <text>All with interface is customisation for us</text>
  </threadedComment>
  <threadedComment ref="G7" dT="2024-06-13T05:13:03.10" personId="{50B82049-78D0-46FA-8803-546E01F97E48}" id="{C385A81E-AF98-4AE5-A3F1-A83CB1104342}" done="1">
    <text>It can be barcode or QRCode</text>
  </threadedComment>
  <threadedComment ref="G21" dT="2024-06-14T02:57:58.06" personId="{50B82049-78D0-46FA-8803-546E01F97E48}" id="{B56A05FA-B93D-4AF4-8427-146E33749F7C}" done="1">
    <text>Or store the file in a configurable shared drive</text>
  </threadedComment>
  <threadedComment ref="G21" dT="2024-06-18T04:28:54.15" personId="{DB825584-307B-4509-87FC-DE94FA96D3DA}" id="{E6CD5D12-A933-4715-86FE-BB2668792837}" parentId="{B56A05FA-B93D-4AF4-8427-146E33749F7C}">
    <text>Manually or automatically</text>
  </threadedComment>
  <threadedComment ref="G21" dT="2024-06-18T07:58:05.13" personId="{AA35DB2E-4624-4E77-B0E9-52690BCB03D9}" id="{95DA7A5B-81B0-4153-88B8-4694EAD352EB}" parentId="{B56A05FA-B93D-4AF4-8427-146E33749F7C}">
    <text>Automatically to a sharefolder</text>
  </threadedComment>
  <threadedComment ref="G80" dT="2024-06-26T14:21:58.12" personId="{50B82049-78D0-46FA-8803-546E01F97E48}" id="{908A12CC-5975-4750-A5CA-99EFEF9CBE31}" done="1">
    <text>what is the basis of automatic assignment?</text>
  </threadedComment>
  <threadedComment ref="G80" dT="2024-06-27T03:36:38.53" personId="{AA35DB2E-4624-4E77-B0E9-52690BCB03D9}" id="{0DCA2ABA-5AE6-42D1-9AEA-D3E6945845A0}" parentId="{908A12CC-5975-4750-A5CA-99EFEF9CBE31}">
    <text>Can be found in task list</text>
  </threadedComment>
  <threadedComment ref="G80" dT="2024-06-27T08:04:02.82" personId="{50B82049-78D0-46FA-8803-546E01F97E48}" id="{365D9576-5376-4393-B24F-FDBE8476E9B6}" parentId="{908A12CC-5975-4750-A5CA-99EFEF9CBE31}">
    <text xml:space="preserve">Solution preparation will also be maintained in skill matrix.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workbookViewId="0">
      <selection activeCell="F7" sqref="F7"/>
    </sheetView>
  </sheetViews>
  <sheetFormatPr defaultRowHeight="14.4"/>
  <cols>
    <col min="1" max="1" width="11.109375" customWidth="1"/>
    <col min="5" max="5" width="12.21875" customWidth="1"/>
  </cols>
  <sheetData>
    <row r="1" spans="1:13">
      <c r="A1" t="s">
        <v>30</v>
      </c>
      <c r="B1" s="2" t="s">
        <v>14</v>
      </c>
      <c r="C1" t="s">
        <v>20</v>
      </c>
      <c r="J1" t="s">
        <v>27</v>
      </c>
    </row>
    <row r="2" spans="1:13">
      <c r="F2" t="s">
        <v>1</v>
      </c>
      <c r="G2" t="s">
        <v>2</v>
      </c>
      <c r="H2" t="s">
        <v>3</v>
      </c>
      <c r="K2" t="s">
        <v>1</v>
      </c>
      <c r="L2" t="s">
        <v>2</v>
      </c>
      <c r="M2" t="s">
        <v>3</v>
      </c>
    </row>
    <row r="3" spans="1:13">
      <c r="D3" t="s">
        <v>0</v>
      </c>
      <c r="F3">
        <v>46</v>
      </c>
      <c r="G3">
        <v>39</v>
      </c>
      <c r="H3">
        <v>7</v>
      </c>
    </row>
    <row r="4" spans="1:13">
      <c r="D4" t="s">
        <v>4</v>
      </c>
      <c r="F4" s="1">
        <v>13</v>
      </c>
      <c r="G4" s="1">
        <v>13</v>
      </c>
      <c r="H4" s="1"/>
    </row>
    <row r="5" spans="1:13">
      <c r="D5" t="s">
        <v>5</v>
      </c>
      <c r="F5" s="1">
        <v>6</v>
      </c>
      <c r="G5" s="1">
        <v>6</v>
      </c>
      <c r="H5" s="1"/>
    </row>
    <row r="6" spans="1:13">
      <c r="D6" t="s">
        <v>6</v>
      </c>
      <c r="F6" s="1">
        <v>2</v>
      </c>
      <c r="G6" s="1">
        <v>2</v>
      </c>
      <c r="H6" s="1"/>
    </row>
    <row r="7" spans="1:13">
      <c r="D7" t="s">
        <v>7</v>
      </c>
      <c r="F7" s="1">
        <v>11</v>
      </c>
      <c r="G7" s="1">
        <v>11</v>
      </c>
      <c r="H7" s="1"/>
    </row>
    <row r="8" spans="1:13">
      <c r="F8" s="1">
        <f>SUM(F3:F7)</f>
        <v>78</v>
      </c>
      <c r="G8" s="1">
        <f>SUM(G3:G7)</f>
        <v>71</v>
      </c>
      <c r="H8" s="1">
        <v>7</v>
      </c>
      <c r="K8">
        <v>73</v>
      </c>
      <c r="L8">
        <v>63</v>
      </c>
      <c r="M8">
        <v>10</v>
      </c>
    </row>
    <row r="9" spans="1:13">
      <c r="F9" s="1"/>
      <c r="G9" s="1"/>
      <c r="H9" s="1"/>
    </row>
    <row r="10" spans="1:13">
      <c r="C10" t="s">
        <v>18</v>
      </c>
      <c r="F10" s="1"/>
      <c r="G10" s="1"/>
      <c r="H10" s="1"/>
    </row>
    <row r="11" spans="1:13">
      <c r="D11" t="s">
        <v>17</v>
      </c>
      <c r="F11" s="1">
        <v>76</v>
      </c>
      <c r="G11" s="1">
        <v>32</v>
      </c>
      <c r="H11" s="1">
        <v>44</v>
      </c>
      <c r="K11" s="1">
        <v>30</v>
      </c>
      <c r="L11" s="1">
        <v>7</v>
      </c>
      <c r="M11" s="1">
        <v>23</v>
      </c>
    </row>
    <row r="12" spans="1:13">
      <c r="C12" t="s">
        <v>25</v>
      </c>
      <c r="D12" t="s">
        <v>13</v>
      </c>
      <c r="F12" s="1">
        <f>SUM(F8,F11)</f>
        <v>154</v>
      </c>
      <c r="G12" s="1">
        <f>SUM(G8,G11)</f>
        <v>103</v>
      </c>
      <c r="H12" s="1">
        <f>SUM(H8,H11)</f>
        <v>51</v>
      </c>
      <c r="K12">
        <v>103</v>
      </c>
    </row>
    <row r="13" spans="1:13">
      <c r="F13" s="1"/>
      <c r="G13" s="1"/>
      <c r="H13" s="1"/>
    </row>
    <row r="14" spans="1:13">
      <c r="F14" s="1"/>
      <c r="G14" s="1"/>
      <c r="H14" s="1"/>
    </row>
    <row r="15" spans="1:13">
      <c r="D15" t="s">
        <v>12</v>
      </c>
      <c r="F15" s="1">
        <v>15</v>
      </c>
      <c r="G15" s="1">
        <v>10</v>
      </c>
      <c r="H15" s="1">
        <v>5</v>
      </c>
      <c r="K15" s="1" t="s">
        <v>28</v>
      </c>
      <c r="L15" s="1"/>
      <c r="M15" s="1"/>
    </row>
    <row r="16" spans="1:13">
      <c r="D16" t="s">
        <v>8</v>
      </c>
      <c r="F16" s="1">
        <v>30</v>
      </c>
      <c r="G16" s="1"/>
      <c r="H16" s="1">
        <v>30</v>
      </c>
      <c r="K16" s="1" t="s">
        <v>28</v>
      </c>
      <c r="L16" s="1"/>
      <c r="M16" s="1"/>
    </row>
    <row r="17" spans="2:13">
      <c r="D17" t="s">
        <v>9</v>
      </c>
      <c r="F17" s="1">
        <v>18</v>
      </c>
      <c r="G17" s="1">
        <v>18</v>
      </c>
      <c r="H17" s="1"/>
      <c r="K17" s="1" t="s">
        <v>28</v>
      </c>
      <c r="L17" s="1"/>
      <c r="M17" s="1"/>
    </row>
    <row r="18" spans="2:13">
      <c r="D18" t="s">
        <v>10</v>
      </c>
      <c r="F18" s="1">
        <v>10</v>
      </c>
      <c r="G18" s="1">
        <v>10</v>
      </c>
      <c r="H18" s="1"/>
      <c r="K18" s="1" t="s">
        <v>28</v>
      </c>
      <c r="L18" s="1"/>
      <c r="M18" s="1"/>
    </row>
    <row r="19" spans="2:13">
      <c r="D19" t="s">
        <v>11</v>
      </c>
      <c r="F19" s="1">
        <v>48</v>
      </c>
      <c r="G19" s="1">
        <v>17</v>
      </c>
      <c r="H19" s="1">
        <v>31</v>
      </c>
      <c r="K19" s="1" t="s">
        <v>28</v>
      </c>
      <c r="L19" s="1"/>
      <c r="M19" s="1"/>
    </row>
    <row r="20" spans="2:13">
      <c r="C20" t="s">
        <v>29</v>
      </c>
      <c r="D20" t="s">
        <v>13</v>
      </c>
      <c r="F20" s="1">
        <f>SUM(F15:F19)</f>
        <v>121</v>
      </c>
      <c r="G20" s="1">
        <f>SUM(G15:G19)</f>
        <v>55</v>
      </c>
      <c r="H20" s="1">
        <f>SUM(H15:H19)</f>
        <v>66</v>
      </c>
      <c r="K20">
        <v>121</v>
      </c>
      <c r="L20">
        <v>55</v>
      </c>
      <c r="M20">
        <v>66</v>
      </c>
    </row>
    <row r="21" spans="2:13">
      <c r="F21" s="1"/>
      <c r="G21" s="1"/>
      <c r="H21" s="1"/>
    </row>
    <row r="22" spans="2:13">
      <c r="C22" t="s">
        <v>26</v>
      </c>
      <c r="D22" t="s">
        <v>13</v>
      </c>
      <c r="F22" s="1">
        <f>SUM(F12,F20)</f>
        <v>275</v>
      </c>
      <c r="G22" s="1">
        <f>SUM(G12,G20)</f>
        <v>158</v>
      </c>
      <c r="H22" s="1">
        <f>SUM(H12,H20)</f>
        <v>117</v>
      </c>
      <c r="K22">
        <v>224</v>
      </c>
    </row>
    <row r="23" spans="2:13">
      <c r="D23" t="s">
        <v>15</v>
      </c>
    </row>
    <row r="25" spans="2:13">
      <c r="C25" t="s">
        <v>21</v>
      </c>
    </row>
    <row r="26" spans="2:13">
      <c r="C26" t="s">
        <v>19</v>
      </c>
    </row>
    <row r="28" spans="2:13">
      <c r="B28" s="2" t="s">
        <v>22</v>
      </c>
    </row>
    <row r="29" spans="2:13">
      <c r="D29" t="s">
        <v>23</v>
      </c>
      <c r="F29">
        <v>30</v>
      </c>
    </row>
    <row r="30" spans="2:13">
      <c r="C30" t="s">
        <v>16</v>
      </c>
      <c r="D30" t="s">
        <v>13</v>
      </c>
      <c r="F30">
        <f>SUM(F22,F29)</f>
        <v>305</v>
      </c>
    </row>
    <row r="32" spans="2:13">
      <c r="C32" t="s">
        <v>21</v>
      </c>
    </row>
    <row r="33" spans="3:3">
      <c r="C33"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9013-E255-439B-B718-029C2D9CA991}">
  <dimension ref="A1:E29"/>
  <sheetViews>
    <sheetView workbookViewId="0">
      <selection activeCell="D29" sqref="D29"/>
    </sheetView>
  </sheetViews>
  <sheetFormatPr defaultRowHeight="14.4"/>
  <cols>
    <col min="1" max="1" width="22.88671875" customWidth="1"/>
    <col min="2" max="2" width="19.6640625" customWidth="1"/>
    <col min="3" max="3" width="17.21875" customWidth="1"/>
    <col min="4" max="4" width="38.21875" customWidth="1"/>
    <col min="5" max="5" width="47.6640625" customWidth="1"/>
  </cols>
  <sheetData>
    <row r="1" spans="1:5" ht="15" thickBot="1">
      <c r="A1" s="4" t="s">
        <v>31</v>
      </c>
      <c r="B1" s="5" t="s">
        <v>32</v>
      </c>
      <c r="C1" s="5" t="s">
        <v>33</v>
      </c>
      <c r="D1" s="6" t="s">
        <v>34</v>
      </c>
      <c r="E1" s="5" t="s">
        <v>35</v>
      </c>
    </row>
    <row r="2" spans="1:5" ht="15" thickBot="1">
      <c r="A2" s="7">
        <v>6</v>
      </c>
      <c r="B2" s="8">
        <v>6</v>
      </c>
      <c r="C2" s="9"/>
      <c r="D2" s="9"/>
      <c r="E2" s="8">
        <v>1</v>
      </c>
    </row>
    <row r="3" spans="1:5" ht="15" thickBot="1">
      <c r="A3" s="7">
        <v>22</v>
      </c>
      <c r="B3" s="8">
        <v>22</v>
      </c>
      <c r="C3" s="9"/>
      <c r="D3" s="9"/>
      <c r="E3" s="8">
        <v>21</v>
      </c>
    </row>
    <row r="4" spans="1:5" ht="15" thickBot="1">
      <c r="A4" s="7">
        <v>16</v>
      </c>
      <c r="B4" s="8">
        <v>16</v>
      </c>
      <c r="C4" s="10"/>
      <c r="D4" s="9"/>
      <c r="E4" s="8">
        <v>2</v>
      </c>
    </row>
    <row r="5" spans="1:5" ht="15" thickBot="1">
      <c r="A5" s="7">
        <v>8</v>
      </c>
      <c r="B5" s="8">
        <v>8</v>
      </c>
      <c r="C5" s="10"/>
      <c r="D5" s="9"/>
      <c r="E5" s="8">
        <v>3</v>
      </c>
    </row>
    <row r="6" spans="1:5" ht="15" thickBot="1">
      <c r="A6" s="7">
        <v>2</v>
      </c>
      <c r="B6" s="8">
        <v>2</v>
      </c>
      <c r="C6" s="8">
        <v>2</v>
      </c>
      <c r="D6" s="8">
        <v>2</v>
      </c>
      <c r="E6" s="8">
        <v>18</v>
      </c>
    </row>
    <row r="7" spans="1:5" ht="15" thickBot="1">
      <c r="A7" s="91">
        <v>63</v>
      </c>
      <c r="B7" s="8">
        <v>39</v>
      </c>
      <c r="C7" s="91">
        <v>10</v>
      </c>
      <c r="D7" s="8">
        <v>7</v>
      </c>
      <c r="E7" s="8" t="s">
        <v>36</v>
      </c>
    </row>
    <row r="8" spans="1:5" ht="15" thickBot="1">
      <c r="A8" s="93"/>
      <c r="B8" s="8">
        <v>13</v>
      </c>
      <c r="C8" s="93"/>
      <c r="D8" s="9"/>
      <c r="E8" s="8" t="s">
        <v>36</v>
      </c>
    </row>
    <row r="9" spans="1:5" ht="15" thickBot="1">
      <c r="A9" s="93"/>
      <c r="B9" s="8">
        <v>6</v>
      </c>
      <c r="C9" s="93"/>
      <c r="D9" s="9"/>
      <c r="E9" s="8" t="s">
        <v>36</v>
      </c>
    </row>
    <row r="10" spans="1:5" ht="15" thickBot="1">
      <c r="A10" s="93"/>
      <c r="B10" s="8">
        <v>2</v>
      </c>
      <c r="C10" s="93"/>
      <c r="D10" s="9"/>
      <c r="E10" s="8" t="s">
        <v>36</v>
      </c>
    </row>
    <row r="11" spans="1:5" ht="15" thickBot="1">
      <c r="A11" s="93"/>
      <c r="B11" s="8">
        <v>11</v>
      </c>
      <c r="C11" s="93"/>
      <c r="D11" s="9"/>
      <c r="E11" s="8" t="s">
        <v>36</v>
      </c>
    </row>
    <row r="12" spans="1:5" ht="15" thickBot="1">
      <c r="A12" s="93"/>
      <c r="B12" s="8">
        <v>0</v>
      </c>
      <c r="C12" s="93"/>
      <c r="D12" s="9"/>
      <c r="E12" s="8" t="s">
        <v>36</v>
      </c>
    </row>
    <row r="13" spans="1:5" ht="15" thickBot="1">
      <c r="A13" s="92"/>
      <c r="B13" s="8">
        <v>35</v>
      </c>
      <c r="C13" s="92"/>
      <c r="D13" s="9"/>
      <c r="E13" s="8" t="s">
        <v>36</v>
      </c>
    </row>
    <row r="14" spans="1:5" ht="15" thickBot="1">
      <c r="A14" s="7">
        <v>18</v>
      </c>
      <c r="B14" s="8">
        <v>18</v>
      </c>
      <c r="C14" s="9"/>
      <c r="D14" s="9"/>
      <c r="E14" s="8">
        <v>9</v>
      </c>
    </row>
    <row r="15" spans="1:5" ht="15" thickBot="1">
      <c r="A15" s="7">
        <v>10</v>
      </c>
      <c r="B15" s="8">
        <v>10</v>
      </c>
      <c r="C15" s="9"/>
      <c r="D15" s="9"/>
      <c r="E15" s="8">
        <v>10</v>
      </c>
    </row>
    <row r="16" spans="1:5" ht="15" thickBot="1">
      <c r="A16" s="7">
        <v>7</v>
      </c>
      <c r="B16" s="8">
        <v>32</v>
      </c>
      <c r="C16" s="8">
        <v>23</v>
      </c>
      <c r="D16" s="8">
        <v>44</v>
      </c>
      <c r="E16" s="8">
        <v>6</v>
      </c>
    </row>
    <row r="17" spans="1:5" ht="15" thickBot="1">
      <c r="A17" s="7">
        <v>3</v>
      </c>
      <c r="B17" s="8">
        <v>53</v>
      </c>
      <c r="C17" s="9"/>
      <c r="D17" s="9"/>
      <c r="E17" s="8">
        <v>11</v>
      </c>
    </row>
    <row r="18" spans="1:5" ht="15" thickBot="1">
      <c r="A18" s="7">
        <v>6</v>
      </c>
      <c r="B18" s="8">
        <v>9</v>
      </c>
      <c r="C18" s="8">
        <v>6</v>
      </c>
      <c r="D18" s="8">
        <v>23</v>
      </c>
      <c r="E18" s="8">
        <v>7</v>
      </c>
    </row>
    <row r="19" spans="1:5" ht="15" thickBot="1">
      <c r="A19" s="7">
        <v>28</v>
      </c>
      <c r="B19" s="11">
        <v>28</v>
      </c>
      <c r="C19" s="8">
        <v>39</v>
      </c>
      <c r="D19" s="8">
        <v>57</v>
      </c>
      <c r="E19" s="8">
        <v>14</v>
      </c>
    </row>
    <row r="20" spans="1:5" ht="15" thickBot="1">
      <c r="A20" s="7">
        <v>10</v>
      </c>
      <c r="B20" s="8">
        <v>10</v>
      </c>
      <c r="C20" s="8">
        <v>5</v>
      </c>
      <c r="D20" s="8">
        <v>5</v>
      </c>
      <c r="E20" s="8">
        <v>12</v>
      </c>
    </row>
    <row r="21" spans="1:5" ht="15" thickBot="1">
      <c r="A21" s="12"/>
      <c r="B21" s="9"/>
      <c r="C21" s="8">
        <v>30</v>
      </c>
      <c r="D21" s="8">
        <v>30</v>
      </c>
      <c r="E21" s="8">
        <v>8</v>
      </c>
    </row>
    <row r="22" spans="1:5" ht="15" thickBot="1">
      <c r="A22" s="91">
        <v>17</v>
      </c>
      <c r="B22" s="91">
        <v>17</v>
      </c>
      <c r="C22" s="91">
        <v>36</v>
      </c>
      <c r="D22" s="91">
        <v>36</v>
      </c>
      <c r="E22" s="8">
        <v>13</v>
      </c>
    </row>
    <row r="23" spans="1:5" ht="15" thickBot="1">
      <c r="A23" s="92"/>
      <c r="B23" s="92"/>
      <c r="C23" s="92"/>
      <c r="D23" s="92"/>
      <c r="E23" s="8">
        <v>16</v>
      </c>
    </row>
    <row r="24" spans="1:5" ht="15" thickBot="1">
      <c r="A24" s="7">
        <v>10</v>
      </c>
      <c r="B24" s="8">
        <v>10</v>
      </c>
      <c r="C24" s="8">
        <v>6</v>
      </c>
      <c r="D24" s="8">
        <v>6</v>
      </c>
      <c r="E24" s="8">
        <v>15</v>
      </c>
    </row>
    <row r="25" spans="1:5" ht="15" thickBot="1">
      <c r="A25" s="7">
        <v>8</v>
      </c>
      <c r="B25" s="8">
        <v>8</v>
      </c>
      <c r="C25" s="8">
        <v>12</v>
      </c>
      <c r="D25" s="8">
        <v>12</v>
      </c>
      <c r="E25" s="8">
        <v>17</v>
      </c>
    </row>
    <row r="26" spans="1:5" ht="15" thickBot="1">
      <c r="A26" s="7">
        <v>10</v>
      </c>
      <c r="B26" s="8">
        <v>10</v>
      </c>
      <c r="C26" s="9"/>
      <c r="D26" s="9"/>
      <c r="E26" s="8">
        <v>19</v>
      </c>
    </row>
    <row r="27" spans="1:5" ht="15" thickBot="1">
      <c r="A27" s="7">
        <v>34</v>
      </c>
      <c r="B27" s="8">
        <v>34</v>
      </c>
      <c r="C27" s="8">
        <v>28</v>
      </c>
      <c r="D27" s="8">
        <v>28</v>
      </c>
      <c r="E27" s="8">
        <v>20</v>
      </c>
    </row>
    <row r="28" spans="1:5">
      <c r="A28">
        <f>SUM(A2:A27)</f>
        <v>278</v>
      </c>
      <c r="B28">
        <f>SUM(B2:B27)</f>
        <v>399</v>
      </c>
      <c r="C28">
        <f>SUM(C2:C27)</f>
        <v>197</v>
      </c>
      <c r="D28">
        <f>SUM(D2:D27)</f>
        <v>250</v>
      </c>
    </row>
    <row r="29" spans="1:5">
      <c r="A29" s="13">
        <v>475</v>
      </c>
      <c r="D29" s="13">
        <v>649</v>
      </c>
    </row>
  </sheetData>
  <mergeCells count="6">
    <mergeCell ref="D22:D23"/>
    <mergeCell ref="A7:A13"/>
    <mergeCell ref="C7:C13"/>
    <mergeCell ref="A22:A23"/>
    <mergeCell ref="B22:B23"/>
    <mergeCell ref="C22:C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D0721-7222-4A3E-B51A-F2D3F0123544}">
  <dimension ref="A1:N106"/>
  <sheetViews>
    <sheetView topLeftCell="A13" workbookViewId="0">
      <selection activeCell="N2" sqref="N2"/>
    </sheetView>
  </sheetViews>
  <sheetFormatPr defaultRowHeight="14.4"/>
  <cols>
    <col min="7" max="7" width="18.6640625" customWidth="1"/>
    <col min="10" max="10" width="13.6640625" customWidth="1"/>
  </cols>
  <sheetData>
    <row r="1" spans="1:14" ht="57.6">
      <c r="A1" s="14" t="s">
        <v>37</v>
      </c>
      <c r="B1" s="14" t="s">
        <v>38</v>
      </c>
      <c r="C1" s="14" t="s">
        <v>39</v>
      </c>
      <c r="D1" s="15" t="s">
        <v>40</v>
      </c>
      <c r="E1" s="15" t="s">
        <v>41</v>
      </c>
      <c r="F1" s="16" t="s">
        <v>42</v>
      </c>
      <c r="G1" s="16" t="s">
        <v>43</v>
      </c>
      <c r="H1" s="16" t="s">
        <v>44</v>
      </c>
      <c r="I1" s="14" t="s">
        <v>45</v>
      </c>
      <c r="J1" s="14" t="s">
        <v>46</v>
      </c>
    </row>
    <row r="2" spans="1:14" ht="57.6">
      <c r="A2" s="17" t="s">
        <v>47</v>
      </c>
      <c r="B2" s="17" t="s">
        <v>0</v>
      </c>
      <c r="C2" s="18" t="s">
        <v>48</v>
      </c>
      <c r="D2" s="19" t="s">
        <v>49</v>
      </c>
      <c r="E2" s="18" t="s">
        <v>50</v>
      </c>
      <c r="F2" s="20"/>
      <c r="G2" s="21" t="s">
        <v>51</v>
      </c>
      <c r="H2" s="22" t="s">
        <v>52</v>
      </c>
      <c r="I2" s="23" t="s">
        <v>53</v>
      </c>
      <c r="J2" s="3">
        <v>6</v>
      </c>
      <c r="L2">
        <f>SUM(J1:J106)</f>
        <v>46</v>
      </c>
      <c r="M2">
        <f>SUMIF(E:E,"phase A",J:J)</f>
        <v>39</v>
      </c>
      <c r="N2">
        <f>SUMIF(E:E,"phase B",J:J)</f>
        <v>7</v>
      </c>
    </row>
    <row r="3" spans="1:14" ht="57.6">
      <c r="A3" s="17" t="s">
        <v>54</v>
      </c>
      <c r="B3" s="17" t="s">
        <v>0</v>
      </c>
      <c r="C3" s="18" t="s">
        <v>55</v>
      </c>
      <c r="D3" s="19" t="s">
        <v>56</v>
      </c>
      <c r="E3" s="18" t="s">
        <v>50</v>
      </c>
      <c r="F3" s="20"/>
      <c r="G3" s="24" t="s">
        <v>57</v>
      </c>
      <c r="H3" s="22" t="s">
        <v>52</v>
      </c>
      <c r="I3" s="23" t="s">
        <v>53</v>
      </c>
      <c r="J3" s="3" t="s">
        <v>61</v>
      </c>
    </row>
    <row r="4" spans="1:14" ht="57.6">
      <c r="A4" s="17" t="s">
        <v>47</v>
      </c>
      <c r="B4" s="17" t="s">
        <v>0</v>
      </c>
      <c r="C4" s="18" t="s">
        <v>58</v>
      </c>
      <c r="D4" s="19" t="s">
        <v>59</v>
      </c>
      <c r="E4" s="18" t="s">
        <v>50</v>
      </c>
      <c r="F4" s="20"/>
      <c r="G4" s="24" t="s">
        <v>60</v>
      </c>
      <c r="H4" s="22" t="s">
        <v>52</v>
      </c>
      <c r="I4" s="23" t="s">
        <v>53</v>
      </c>
      <c r="J4" s="25" t="s">
        <v>61</v>
      </c>
    </row>
    <row r="5" spans="1:14" ht="72">
      <c r="A5" s="17" t="s">
        <v>47</v>
      </c>
      <c r="B5" s="17" t="s">
        <v>0</v>
      </c>
      <c r="C5" s="18" t="s">
        <v>62</v>
      </c>
      <c r="D5" s="19" t="s">
        <v>63</v>
      </c>
      <c r="E5" s="18" t="s">
        <v>50</v>
      </c>
      <c r="F5" s="20"/>
      <c r="G5" s="26" t="s">
        <v>64</v>
      </c>
      <c r="H5" s="22"/>
      <c r="I5" s="23" t="s">
        <v>65</v>
      </c>
      <c r="J5" s="25">
        <v>2</v>
      </c>
    </row>
    <row r="6" spans="1:14" ht="57.6">
      <c r="A6" s="17" t="s">
        <v>47</v>
      </c>
      <c r="B6" s="17" t="s">
        <v>0</v>
      </c>
      <c r="C6" s="18" t="s">
        <v>66</v>
      </c>
      <c r="D6" s="19" t="s">
        <v>67</v>
      </c>
      <c r="E6" s="18" t="s">
        <v>50</v>
      </c>
      <c r="F6" s="20"/>
      <c r="G6" s="21" t="s">
        <v>68</v>
      </c>
      <c r="H6" s="22" t="s">
        <v>52</v>
      </c>
      <c r="I6" s="23" t="s">
        <v>53</v>
      </c>
      <c r="J6" s="25">
        <v>1</v>
      </c>
    </row>
    <row r="7" spans="1:14" ht="57.6">
      <c r="A7" s="17" t="s">
        <v>47</v>
      </c>
      <c r="B7" s="17" t="s">
        <v>0</v>
      </c>
      <c r="C7" s="18" t="s">
        <v>69</v>
      </c>
      <c r="D7" s="19" t="s">
        <v>70</v>
      </c>
      <c r="E7" s="18" t="s">
        <v>50</v>
      </c>
      <c r="F7" s="20"/>
      <c r="G7" s="21" t="s">
        <v>71</v>
      </c>
      <c r="H7" s="22"/>
      <c r="I7" s="23" t="s">
        <v>72</v>
      </c>
      <c r="J7" s="3"/>
    </row>
    <row r="8" spans="1:14" ht="72">
      <c r="A8" s="17" t="s">
        <v>47</v>
      </c>
      <c r="B8" s="17" t="s">
        <v>0</v>
      </c>
      <c r="C8" s="18" t="s">
        <v>73</v>
      </c>
      <c r="D8" s="19" t="s">
        <v>74</v>
      </c>
      <c r="E8" s="18" t="s">
        <v>50</v>
      </c>
      <c r="F8" s="20"/>
      <c r="G8" s="21" t="s">
        <v>75</v>
      </c>
      <c r="H8" s="22" t="s">
        <v>52</v>
      </c>
      <c r="I8" s="23" t="s">
        <v>65</v>
      </c>
      <c r="J8" s="3" t="s">
        <v>61</v>
      </c>
    </row>
    <row r="9" spans="1:14" ht="57.6">
      <c r="A9" s="17" t="s">
        <v>47</v>
      </c>
      <c r="B9" s="17" t="s">
        <v>0</v>
      </c>
      <c r="C9" s="18" t="s">
        <v>76</v>
      </c>
      <c r="D9" s="19" t="s">
        <v>77</v>
      </c>
      <c r="E9" s="18" t="s">
        <v>50</v>
      </c>
      <c r="F9" s="20"/>
      <c r="G9" s="27" t="s">
        <v>78</v>
      </c>
      <c r="H9" s="22" t="s">
        <v>52</v>
      </c>
      <c r="I9" s="23" t="s">
        <v>65</v>
      </c>
      <c r="J9" s="3" t="s">
        <v>61</v>
      </c>
    </row>
    <row r="10" spans="1:14" ht="57.6">
      <c r="A10" s="17" t="s">
        <v>47</v>
      </c>
      <c r="B10" s="17" t="s">
        <v>0</v>
      </c>
      <c r="C10" s="18" t="s">
        <v>79</v>
      </c>
      <c r="D10" s="19" t="s">
        <v>80</v>
      </c>
      <c r="E10" s="18" t="s">
        <v>50</v>
      </c>
      <c r="F10" s="20"/>
      <c r="G10" s="21" t="s">
        <v>81</v>
      </c>
      <c r="H10" s="22" t="s">
        <v>52</v>
      </c>
      <c r="I10" s="23" t="s">
        <v>65</v>
      </c>
      <c r="J10" s="30" t="s">
        <v>61</v>
      </c>
    </row>
    <row r="11" spans="1:14" ht="57.6">
      <c r="A11" s="17" t="s">
        <v>47</v>
      </c>
      <c r="B11" s="17" t="s">
        <v>0</v>
      </c>
      <c r="C11" s="28" t="s">
        <v>82</v>
      </c>
      <c r="D11" s="29" t="s">
        <v>83</v>
      </c>
      <c r="E11" s="18" t="s">
        <v>50</v>
      </c>
      <c r="F11" s="20"/>
      <c r="G11" s="26" t="s">
        <v>84</v>
      </c>
      <c r="H11" s="22"/>
      <c r="I11" s="23" t="s">
        <v>53</v>
      </c>
      <c r="J11" s="25">
        <v>1</v>
      </c>
    </row>
    <row r="12" spans="1:14" ht="72">
      <c r="A12" s="17" t="s">
        <v>47</v>
      </c>
      <c r="B12" s="17" t="s">
        <v>0</v>
      </c>
      <c r="C12" s="18" t="s">
        <v>85</v>
      </c>
      <c r="D12" s="19" t="s">
        <v>86</v>
      </c>
      <c r="E12" s="18" t="s">
        <v>50</v>
      </c>
      <c r="F12" s="20"/>
      <c r="G12" s="21" t="s">
        <v>87</v>
      </c>
      <c r="H12" s="22" t="s">
        <v>52</v>
      </c>
      <c r="I12" s="23" t="s">
        <v>65</v>
      </c>
      <c r="J12" s="25" t="s">
        <v>61</v>
      </c>
    </row>
    <row r="13" spans="1:14" ht="57.6">
      <c r="A13" s="17" t="s">
        <v>47</v>
      </c>
      <c r="B13" s="17" t="s">
        <v>0</v>
      </c>
      <c r="C13" s="18" t="s">
        <v>88</v>
      </c>
      <c r="D13" s="19" t="s">
        <v>89</v>
      </c>
      <c r="E13" s="18" t="s">
        <v>50</v>
      </c>
      <c r="F13" s="20"/>
      <c r="G13" s="21" t="s">
        <v>90</v>
      </c>
      <c r="H13" s="22" t="s">
        <v>52</v>
      </c>
      <c r="I13" s="23" t="s">
        <v>65</v>
      </c>
      <c r="J13" s="25">
        <v>1</v>
      </c>
    </row>
    <row r="14" spans="1:14" ht="57.6">
      <c r="A14" s="17" t="s">
        <v>47</v>
      </c>
      <c r="B14" s="17" t="s">
        <v>0</v>
      </c>
      <c r="C14" s="18" t="s">
        <v>91</v>
      </c>
      <c r="D14" s="19" t="s">
        <v>92</v>
      </c>
      <c r="E14" s="18" t="s">
        <v>50</v>
      </c>
      <c r="F14" s="20"/>
      <c r="G14" s="21" t="s">
        <v>93</v>
      </c>
      <c r="H14" s="22" t="s">
        <v>52</v>
      </c>
      <c r="I14" s="23" t="s">
        <v>65</v>
      </c>
      <c r="J14" s="25" t="s">
        <v>61</v>
      </c>
    </row>
    <row r="15" spans="1:14" ht="28.8">
      <c r="A15" s="17" t="s">
        <v>47</v>
      </c>
      <c r="B15" s="17" t="s">
        <v>0</v>
      </c>
      <c r="C15" s="18" t="s">
        <v>94</v>
      </c>
      <c r="D15" s="19" t="s">
        <v>95</v>
      </c>
      <c r="E15" s="18" t="s">
        <v>50</v>
      </c>
      <c r="F15" s="20"/>
      <c r="G15" s="31" t="s">
        <v>96</v>
      </c>
      <c r="H15" s="22" t="s">
        <v>52</v>
      </c>
      <c r="I15" s="23" t="s">
        <v>65</v>
      </c>
      <c r="J15" s="3" t="s">
        <v>61</v>
      </c>
    </row>
    <row r="16" spans="1:14" ht="43.2">
      <c r="A16" s="17" t="s">
        <v>47</v>
      </c>
      <c r="B16" s="17" t="s">
        <v>0</v>
      </c>
      <c r="C16" s="18" t="s">
        <v>97</v>
      </c>
      <c r="D16" s="19" t="s">
        <v>98</v>
      </c>
      <c r="E16" s="18" t="s">
        <v>50</v>
      </c>
      <c r="F16" s="20"/>
      <c r="G16" s="21" t="s">
        <v>99</v>
      </c>
      <c r="H16" s="22" t="s">
        <v>52</v>
      </c>
      <c r="I16" s="23" t="s">
        <v>65</v>
      </c>
      <c r="J16" s="25" t="s">
        <v>61</v>
      </c>
    </row>
    <row r="17" spans="1:10" ht="72">
      <c r="A17" s="17" t="s">
        <v>47</v>
      </c>
      <c r="B17" s="17" t="s">
        <v>0</v>
      </c>
      <c r="C17" s="18" t="s">
        <v>100</v>
      </c>
      <c r="D17" s="19" t="s">
        <v>101</v>
      </c>
      <c r="E17" s="18" t="s">
        <v>50</v>
      </c>
      <c r="F17" s="20"/>
      <c r="G17" s="27" t="s">
        <v>102</v>
      </c>
      <c r="H17" s="22" t="s">
        <v>52</v>
      </c>
      <c r="I17" s="23" t="s">
        <v>65</v>
      </c>
      <c r="J17" s="3" t="s">
        <v>61</v>
      </c>
    </row>
    <row r="18" spans="1:10" ht="28.8">
      <c r="A18" s="17" t="s">
        <v>47</v>
      </c>
      <c r="B18" s="17" t="s">
        <v>0</v>
      </c>
      <c r="C18" s="18" t="s">
        <v>103</v>
      </c>
      <c r="D18" s="19" t="s">
        <v>104</v>
      </c>
      <c r="E18" s="18" t="s">
        <v>50</v>
      </c>
      <c r="F18" s="20"/>
      <c r="G18" s="31" t="s">
        <v>105</v>
      </c>
      <c r="H18" s="22" t="s">
        <v>52</v>
      </c>
      <c r="I18" s="23" t="s">
        <v>53</v>
      </c>
      <c r="J18" s="3">
        <v>2</v>
      </c>
    </row>
    <row r="19" spans="1:10" ht="72">
      <c r="A19" s="17" t="s">
        <v>47</v>
      </c>
      <c r="B19" s="17" t="s">
        <v>0</v>
      </c>
      <c r="C19" s="18" t="s">
        <v>106</v>
      </c>
      <c r="D19" s="19" t="s">
        <v>107</v>
      </c>
      <c r="E19" s="18" t="s">
        <v>50</v>
      </c>
      <c r="F19" s="20"/>
      <c r="G19" s="31" t="s">
        <v>108</v>
      </c>
      <c r="H19" s="22" t="s">
        <v>52</v>
      </c>
      <c r="I19" s="23" t="s">
        <v>65</v>
      </c>
      <c r="J19" s="25" t="s">
        <v>61</v>
      </c>
    </row>
    <row r="20" spans="1:10" ht="57.6">
      <c r="A20" s="17" t="s">
        <v>47</v>
      </c>
      <c r="B20" s="17" t="s">
        <v>0</v>
      </c>
      <c r="C20" s="18" t="s">
        <v>109</v>
      </c>
      <c r="D20" s="19" t="s">
        <v>110</v>
      </c>
      <c r="E20" s="18" t="s">
        <v>50</v>
      </c>
      <c r="F20" s="20"/>
      <c r="G20" s="31" t="s">
        <v>111</v>
      </c>
      <c r="H20" s="22" t="s">
        <v>52</v>
      </c>
      <c r="I20" s="23" t="s">
        <v>65</v>
      </c>
      <c r="J20" s="3" t="s">
        <v>61</v>
      </c>
    </row>
    <row r="21" spans="1:10" ht="57.6">
      <c r="A21" s="17" t="s">
        <v>54</v>
      </c>
      <c r="B21" s="17" t="s">
        <v>0</v>
      </c>
      <c r="C21" s="18" t="s">
        <v>112</v>
      </c>
      <c r="D21" s="19" t="s">
        <v>113</v>
      </c>
      <c r="E21" s="18" t="s">
        <v>50</v>
      </c>
      <c r="F21" s="20"/>
      <c r="G21" s="31" t="s">
        <v>114</v>
      </c>
      <c r="H21" s="22" t="s">
        <v>52</v>
      </c>
      <c r="I21" s="23" t="s">
        <v>65</v>
      </c>
      <c r="J21" s="3" t="s">
        <v>61</v>
      </c>
    </row>
    <row r="22" spans="1:10" ht="72">
      <c r="A22" s="17" t="s">
        <v>47</v>
      </c>
      <c r="B22" s="17" t="s">
        <v>0</v>
      </c>
      <c r="C22" s="18" t="s">
        <v>115</v>
      </c>
      <c r="D22" s="19" t="s">
        <v>116</v>
      </c>
      <c r="E22" s="18" t="s">
        <v>50</v>
      </c>
      <c r="F22" s="20"/>
      <c r="G22" s="21" t="s">
        <v>117</v>
      </c>
      <c r="H22" s="22" t="s">
        <v>52</v>
      </c>
      <c r="I22" s="23" t="s">
        <v>53</v>
      </c>
      <c r="J22" s="3">
        <v>1</v>
      </c>
    </row>
    <row r="23" spans="1:10" ht="57.6">
      <c r="A23" s="17" t="s">
        <v>47</v>
      </c>
      <c r="B23" s="17" t="s">
        <v>0</v>
      </c>
      <c r="C23" s="18" t="s">
        <v>118</v>
      </c>
      <c r="D23" s="19" t="s">
        <v>119</v>
      </c>
      <c r="E23" s="18" t="s">
        <v>50</v>
      </c>
      <c r="F23" s="20"/>
      <c r="G23" s="31" t="s">
        <v>120</v>
      </c>
      <c r="H23" s="22" t="s">
        <v>52</v>
      </c>
      <c r="I23" s="23" t="s">
        <v>53</v>
      </c>
      <c r="J23" s="3" t="s">
        <v>61</v>
      </c>
    </row>
    <row r="24" spans="1:10" ht="86.4">
      <c r="A24" s="17" t="s">
        <v>47</v>
      </c>
      <c r="B24" s="17" t="s">
        <v>0</v>
      </c>
      <c r="C24" s="18" t="s">
        <v>121</v>
      </c>
      <c r="D24" s="19" t="s">
        <v>122</v>
      </c>
      <c r="E24" s="18" t="s">
        <v>50</v>
      </c>
      <c r="F24" s="20"/>
      <c r="G24" s="21" t="s">
        <v>123</v>
      </c>
      <c r="H24" s="22"/>
      <c r="I24" s="23" t="s">
        <v>72</v>
      </c>
      <c r="J24" s="25"/>
    </row>
    <row r="25" spans="1:10" ht="57.6">
      <c r="A25" s="17" t="s">
        <v>47</v>
      </c>
      <c r="B25" s="17" t="s">
        <v>0</v>
      </c>
      <c r="C25" s="18" t="s">
        <v>124</v>
      </c>
      <c r="D25" s="19" t="s">
        <v>125</v>
      </c>
      <c r="E25" s="18" t="s">
        <v>50</v>
      </c>
      <c r="F25" s="20"/>
      <c r="G25" s="21" t="s">
        <v>126</v>
      </c>
      <c r="H25" s="22" t="s">
        <v>52</v>
      </c>
      <c r="I25" s="23" t="s">
        <v>65</v>
      </c>
      <c r="J25" s="25" t="s">
        <v>61</v>
      </c>
    </row>
    <row r="26" spans="1:10" ht="115.2">
      <c r="A26" s="17" t="s">
        <v>54</v>
      </c>
      <c r="B26" s="17" t="s">
        <v>0</v>
      </c>
      <c r="C26" s="18" t="s">
        <v>127</v>
      </c>
      <c r="D26" s="19" t="s">
        <v>128</v>
      </c>
      <c r="E26" s="18" t="s">
        <v>50</v>
      </c>
      <c r="F26" s="20"/>
      <c r="G26" s="21" t="s">
        <v>129</v>
      </c>
      <c r="H26" s="22" t="s">
        <v>52</v>
      </c>
      <c r="I26" s="23" t="s">
        <v>53</v>
      </c>
      <c r="J26" s="25" t="s">
        <v>61</v>
      </c>
    </row>
    <row r="27" spans="1:10" ht="43.2">
      <c r="A27" s="17" t="s">
        <v>47</v>
      </c>
      <c r="B27" s="17" t="s">
        <v>0</v>
      </c>
      <c r="C27" s="18" t="s">
        <v>130</v>
      </c>
      <c r="D27" s="19" t="s">
        <v>131</v>
      </c>
      <c r="E27" s="18" t="s">
        <v>50</v>
      </c>
      <c r="F27" s="20"/>
      <c r="G27" s="31" t="s">
        <v>132</v>
      </c>
      <c r="H27" s="22"/>
      <c r="I27" s="23" t="s">
        <v>72</v>
      </c>
      <c r="J27" s="3"/>
    </row>
    <row r="28" spans="1:10" ht="144">
      <c r="A28" s="32" t="s">
        <v>133</v>
      </c>
      <c r="B28" s="32" t="s">
        <v>0</v>
      </c>
      <c r="C28" s="33" t="s">
        <v>134</v>
      </c>
      <c r="D28" s="34" t="s">
        <v>135</v>
      </c>
      <c r="E28" s="33" t="s">
        <v>50</v>
      </c>
      <c r="F28" s="35" t="s">
        <v>136</v>
      </c>
      <c r="G28" s="36" t="s">
        <v>137</v>
      </c>
      <c r="H28" s="37"/>
      <c r="I28" s="38" t="s">
        <v>65</v>
      </c>
      <c r="J28" s="40" t="s">
        <v>61</v>
      </c>
    </row>
    <row r="29" spans="1:10" ht="100.8">
      <c r="A29" s="32" t="s">
        <v>133</v>
      </c>
      <c r="B29" s="32" t="s">
        <v>0</v>
      </c>
      <c r="C29" s="33" t="s">
        <v>138</v>
      </c>
      <c r="D29" s="34" t="s">
        <v>139</v>
      </c>
      <c r="E29" s="33" t="s">
        <v>50</v>
      </c>
      <c r="F29" s="39"/>
      <c r="G29" s="36" t="s">
        <v>140</v>
      </c>
      <c r="H29" s="37"/>
      <c r="I29" s="38"/>
      <c r="J29" s="41"/>
    </row>
    <row r="30" spans="1:10" ht="57.6">
      <c r="A30" s="17" t="s">
        <v>47</v>
      </c>
      <c r="B30" s="17" t="s">
        <v>0</v>
      </c>
      <c r="C30" s="18"/>
      <c r="D30" s="19" t="s">
        <v>141</v>
      </c>
      <c r="E30" s="18" t="s">
        <v>50</v>
      </c>
      <c r="F30" s="20"/>
      <c r="G30" s="21" t="s">
        <v>142</v>
      </c>
      <c r="H30" s="22" t="s">
        <v>52</v>
      </c>
      <c r="I30" s="23" t="s">
        <v>53</v>
      </c>
      <c r="J30" s="3">
        <v>1</v>
      </c>
    </row>
    <row r="31" spans="1:10" ht="43.2">
      <c r="A31" s="17" t="s">
        <v>47</v>
      </c>
      <c r="B31" s="17" t="s">
        <v>0</v>
      </c>
      <c r="C31" s="18"/>
      <c r="D31" s="19" t="s">
        <v>143</v>
      </c>
      <c r="E31" s="18" t="s">
        <v>50</v>
      </c>
      <c r="F31" s="20"/>
      <c r="G31" s="31" t="s">
        <v>144</v>
      </c>
      <c r="H31" s="22" t="s">
        <v>52</v>
      </c>
      <c r="I31" s="23" t="s">
        <v>65</v>
      </c>
      <c r="J31" s="25" t="s">
        <v>61</v>
      </c>
    </row>
    <row r="32" spans="1:10" ht="72">
      <c r="A32" s="17" t="s">
        <v>47</v>
      </c>
      <c r="B32" s="17" t="s">
        <v>0</v>
      </c>
      <c r="C32" s="18"/>
      <c r="D32" s="19" t="s">
        <v>145</v>
      </c>
      <c r="E32" s="18" t="s">
        <v>50</v>
      </c>
      <c r="F32" s="20"/>
      <c r="G32" s="21" t="s">
        <v>146</v>
      </c>
      <c r="H32" s="22" t="s">
        <v>52</v>
      </c>
      <c r="I32" s="23" t="s">
        <v>53</v>
      </c>
      <c r="J32" s="3">
        <v>2</v>
      </c>
    </row>
    <row r="33" spans="1:10" ht="158.4">
      <c r="A33" s="17" t="s">
        <v>47</v>
      </c>
      <c r="B33" s="17" t="s">
        <v>0</v>
      </c>
      <c r="C33" s="18"/>
      <c r="D33" s="19" t="s">
        <v>147</v>
      </c>
      <c r="E33" s="18" t="s">
        <v>50</v>
      </c>
      <c r="F33" s="20"/>
      <c r="G33" s="21" t="s">
        <v>148</v>
      </c>
      <c r="H33" s="22"/>
      <c r="I33" s="23" t="s">
        <v>65</v>
      </c>
      <c r="J33" s="3" t="s">
        <v>61</v>
      </c>
    </row>
    <row r="34" spans="1:10" ht="72">
      <c r="A34" s="17" t="s">
        <v>47</v>
      </c>
      <c r="B34" s="17" t="s">
        <v>0</v>
      </c>
      <c r="C34" s="18"/>
      <c r="D34" s="19" t="s">
        <v>149</v>
      </c>
      <c r="E34" s="18" t="s">
        <v>50</v>
      </c>
      <c r="F34" s="20"/>
      <c r="G34" s="21" t="s">
        <v>150</v>
      </c>
      <c r="H34" s="22" t="s">
        <v>52</v>
      </c>
      <c r="I34" s="23" t="s">
        <v>53</v>
      </c>
      <c r="J34" s="25">
        <v>1</v>
      </c>
    </row>
    <row r="35" spans="1:10" ht="72">
      <c r="A35" s="17" t="s">
        <v>47</v>
      </c>
      <c r="B35" s="17" t="s">
        <v>0</v>
      </c>
      <c r="C35" s="18"/>
      <c r="D35" s="19" t="s">
        <v>151</v>
      </c>
      <c r="E35" s="18" t="s">
        <v>50</v>
      </c>
      <c r="F35" s="20"/>
      <c r="G35" s="21" t="s">
        <v>152</v>
      </c>
      <c r="H35" s="22" t="s">
        <v>52</v>
      </c>
      <c r="I35" s="23" t="s">
        <v>65</v>
      </c>
      <c r="J35" s="3" t="s">
        <v>61</v>
      </c>
    </row>
    <row r="36" spans="1:10" ht="72">
      <c r="A36" s="17" t="s">
        <v>47</v>
      </c>
      <c r="B36" s="17" t="s">
        <v>0</v>
      </c>
      <c r="C36" s="18"/>
      <c r="D36" s="19" t="s">
        <v>153</v>
      </c>
      <c r="E36" s="18" t="s">
        <v>50</v>
      </c>
      <c r="F36" s="20"/>
      <c r="G36" s="21" t="s">
        <v>154</v>
      </c>
      <c r="H36" s="22" t="s">
        <v>52</v>
      </c>
      <c r="I36" s="23" t="s">
        <v>65</v>
      </c>
      <c r="J36" s="3" t="s">
        <v>61</v>
      </c>
    </row>
    <row r="37" spans="1:10" ht="86.4">
      <c r="A37" s="17" t="s">
        <v>47</v>
      </c>
      <c r="B37" s="17" t="s">
        <v>0</v>
      </c>
      <c r="C37" s="18"/>
      <c r="D37" s="19" t="s">
        <v>155</v>
      </c>
      <c r="E37" s="18" t="s">
        <v>50</v>
      </c>
      <c r="F37" s="20"/>
      <c r="G37" s="21" t="s">
        <v>156</v>
      </c>
      <c r="H37" s="22" t="s">
        <v>52</v>
      </c>
      <c r="I37" s="23" t="s">
        <v>65</v>
      </c>
      <c r="J37" s="3" t="s">
        <v>61</v>
      </c>
    </row>
    <row r="38" spans="1:10" ht="86.4">
      <c r="A38" s="17" t="s">
        <v>47</v>
      </c>
      <c r="B38" s="17" t="s">
        <v>0</v>
      </c>
      <c r="C38" s="18"/>
      <c r="D38" s="19" t="s">
        <v>157</v>
      </c>
      <c r="E38" s="18" t="s">
        <v>50</v>
      </c>
      <c r="F38" s="20"/>
      <c r="G38" s="21" t="s">
        <v>158</v>
      </c>
      <c r="H38" s="22" t="s">
        <v>52</v>
      </c>
      <c r="I38" s="23" t="s">
        <v>65</v>
      </c>
      <c r="J38" s="25" t="s">
        <v>61</v>
      </c>
    </row>
    <row r="39" spans="1:10" ht="86.4">
      <c r="A39" s="17" t="s">
        <v>47</v>
      </c>
      <c r="B39" s="17" t="s">
        <v>0</v>
      </c>
      <c r="C39" s="18"/>
      <c r="D39" s="19" t="s">
        <v>159</v>
      </c>
      <c r="E39" s="18" t="s">
        <v>50</v>
      </c>
      <c r="F39" s="20"/>
      <c r="G39" s="21" t="s">
        <v>160</v>
      </c>
      <c r="H39" s="22" t="s">
        <v>52</v>
      </c>
      <c r="I39" s="23" t="s">
        <v>53</v>
      </c>
      <c r="J39" s="3">
        <v>1</v>
      </c>
    </row>
    <row r="40" spans="1:10" ht="100.8">
      <c r="A40" s="17" t="s">
        <v>47</v>
      </c>
      <c r="B40" s="17" t="s">
        <v>0</v>
      </c>
      <c r="C40" s="18"/>
      <c r="D40" s="42" t="s">
        <v>161</v>
      </c>
      <c r="E40" s="18" t="s">
        <v>50</v>
      </c>
      <c r="F40" s="20"/>
      <c r="G40" s="21" t="s">
        <v>162</v>
      </c>
      <c r="H40" s="22" t="s">
        <v>52</v>
      </c>
      <c r="I40" s="23" t="s">
        <v>65</v>
      </c>
      <c r="J40" s="25" t="s">
        <v>61</v>
      </c>
    </row>
    <row r="41" spans="1:10" ht="43.2">
      <c r="A41" s="17" t="s">
        <v>47</v>
      </c>
      <c r="B41" s="17" t="s">
        <v>0</v>
      </c>
      <c r="C41" s="18"/>
      <c r="D41" s="42" t="s">
        <v>163</v>
      </c>
      <c r="E41" s="18" t="s">
        <v>50</v>
      </c>
      <c r="F41" s="20"/>
      <c r="G41" s="21" t="s">
        <v>164</v>
      </c>
      <c r="H41" s="22" t="s">
        <v>52</v>
      </c>
      <c r="I41" s="23" t="s">
        <v>65</v>
      </c>
      <c r="J41" s="25" t="s">
        <v>61</v>
      </c>
    </row>
    <row r="42" spans="1:10" ht="100.8">
      <c r="A42" s="17" t="s">
        <v>47</v>
      </c>
      <c r="B42" s="17" t="s">
        <v>0</v>
      </c>
      <c r="C42" s="18"/>
      <c r="D42" s="42" t="s">
        <v>165</v>
      </c>
      <c r="E42" s="18" t="s">
        <v>50</v>
      </c>
      <c r="F42" s="20"/>
      <c r="G42" s="21" t="s">
        <v>166</v>
      </c>
      <c r="H42" s="22" t="s">
        <v>52</v>
      </c>
      <c r="I42" s="23" t="s">
        <v>65</v>
      </c>
      <c r="J42" s="25" t="s">
        <v>61</v>
      </c>
    </row>
    <row r="43" spans="1:10" ht="57.6">
      <c r="A43" s="17" t="s">
        <v>47</v>
      </c>
      <c r="B43" s="17" t="s">
        <v>0</v>
      </c>
      <c r="C43" s="18"/>
      <c r="D43" s="42" t="s">
        <v>167</v>
      </c>
      <c r="E43" s="18" t="s">
        <v>50</v>
      </c>
      <c r="F43" s="20"/>
      <c r="G43" s="21" t="s">
        <v>168</v>
      </c>
      <c r="H43" s="22" t="s">
        <v>52</v>
      </c>
      <c r="I43" s="23" t="s">
        <v>65</v>
      </c>
      <c r="J43" s="3">
        <v>1</v>
      </c>
    </row>
    <row r="44" spans="1:10" ht="43.2">
      <c r="A44" s="17" t="s">
        <v>47</v>
      </c>
      <c r="B44" s="17" t="s">
        <v>0</v>
      </c>
      <c r="C44" s="18"/>
      <c r="D44" s="42" t="s">
        <v>169</v>
      </c>
      <c r="E44" s="18" t="s">
        <v>50</v>
      </c>
      <c r="F44" s="20"/>
      <c r="G44" s="21" t="s">
        <v>170</v>
      </c>
      <c r="H44" s="22" t="s">
        <v>52</v>
      </c>
      <c r="I44" s="23" t="s">
        <v>53</v>
      </c>
      <c r="J44" s="3" t="s">
        <v>61</v>
      </c>
    </row>
    <row r="45" spans="1:10" ht="57.6">
      <c r="A45" s="17" t="s">
        <v>47</v>
      </c>
      <c r="B45" s="17" t="s">
        <v>0</v>
      </c>
      <c r="C45" s="18"/>
      <c r="D45" s="42" t="s">
        <v>171</v>
      </c>
      <c r="E45" s="18" t="s">
        <v>50</v>
      </c>
      <c r="F45" s="20"/>
      <c r="G45" s="21" t="s">
        <v>172</v>
      </c>
      <c r="H45" s="43" t="s">
        <v>52</v>
      </c>
      <c r="I45" s="23" t="s">
        <v>53</v>
      </c>
      <c r="J45" s="25">
        <v>1</v>
      </c>
    </row>
    <row r="46" spans="1:10" ht="57.6">
      <c r="A46" s="17" t="s">
        <v>47</v>
      </c>
      <c r="B46" s="17" t="s">
        <v>0</v>
      </c>
      <c r="C46" s="18"/>
      <c r="D46" s="42" t="s">
        <v>173</v>
      </c>
      <c r="E46" s="18" t="s">
        <v>50</v>
      </c>
      <c r="F46" s="20"/>
      <c r="G46" s="21" t="s">
        <v>174</v>
      </c>
      <c r="H46" s="22" t="s">
        <v>52</v>
      </c>
      <c r="I46" s="23" t="s">
        <v>53</v>
      </c>
      <c r="J46" s="3">
        <v>1</v>
      </c>
    </row>
    <row r="47" spans="1:10" ht="72">
      <c r="A47" s="17" t="s">
        <v>47</v>
      </c>
      <c r="B47" s="17" t="s">
        <v>0</v>
      </c>
      <c r="C47" s="18"/>
      <c r="D47" s="42" t="s">
        <v>175</v>
      </c>
      <c r="E47" s="18" t="s">
        <v>50</v>
      </c>
      <c r="F47" s="20"/>
      <c r="G47" s="21" t="s">
        <v>176</v>
      </c>
      <c r="H47" s="22" t="s">
        <v>52</v>
      </c>
      <c r="I47" s="23" t="s">
        <v>53</v>
      </c>
      <c r="J47" s="25">
        <v>1</v>
      </c>
    </row>
    <row r="48" spans="1:10" ht="57.6">
      <c r="A48" s="17" t="s">
        <v>47</v>
      </c>
      <c r="B48" s="17" t="s">
        <v>0</v>
      </c>
      <c r="C48" s="18"/>
      <c r="D48" s="42" t="s">
        <v>177</v>
      </c>
      <c r="E48" s="18" t="s">
        <v>50</v>
      </c>
      <c r="F48" s="20"/>
      <c r="G48" s="21" t="s">
        <v>178</v>
      </c>
      <c r="H48" s="22" t="s">
        <v>52</v>
      </c>
      <c r="I48" s="23" t="s">
        <v>53</v>
      </c>
      <c r="J48" s="3" t="s">
        <v>61</v>
      </c>
    </row>
    <row r="49" spans="1:10" ht="100.8">
      <c r="A49" s="17" t="s">
        <v>47</v>
      </c>
      <c r="B49" s="17" t="s">
        <v>0</v>
      </c>
      <c r="C49" s="18"/>
      <c r="D49" s="42" t="s">
        <v>179</v>
      </c>
      <c r="E49" s="18" t="s">
        <v>50</v>
      </c>
      <c r="F49" s="20"/>
      <c r="G49" s="21" t="s">
        <v>180</v>
      </c>
      <c r="H49" s="22" t="s">
        <v>52</v>
      </c>
      <c r="I49" s="23" t="s">
        <v>65</v>
      </c>
      <c r="J49" s="3" t="s">
        <v>61</v>
      </c>
    </row>
    <row r="50" spans="1:10" ht="115.2">
      <c r="A50" s="17" t="s">
        <v>47</v>
      </c>
      <c r="B50" s="17" t="s">
        <v>0</v>
      </c>
      <c r="C50" s="18"/>
      <c r="D50" s="42" t="s">
        <v>181</v>
      </c>
      <c r="E50" s="18" t="s">
        <v>50</v>
      </c>
      <c r="F50" s="20"/>
      <c r="G50" s="21" t="s">
        <v>182</v>
      </c>
      <c r="H50" s="22" t="s">
        <v>52</v>
      </c>
      <c r="I50" s="23" t="s">
        <v>53</v>
      </c>
      <c r="J50" s="3">
        <v>1</v>
      </c>
    </row>
    <row r="51" spans="1:10" ht="43.2">
      <c r="A51" s="17" t="s">
        <v>47</v>
      </c>
      <c r="B51" s="17" t="s">
        <v>0</v>
      </c>
      <c r="C51" s="18"/>
      <c r="D51" s="19" t="s">
        <v>183</v>
      </c>
      <c r="E51" s="18" t="s">
        <v>50</v>
      </c>
      <c r="F51" s="20"/>
      <c r="G51" s="21" t="s">
        <v>184</v>
      </c>
      <c r="H51" s="43" t="s">
        <v>52</v>
      </c>
      <c r="I51" s="23" t="s">
        <v>65</v>
      </c>
      <c r="J51" s="25" t="s">
        <v>61</v>
      </c>
    </row>
    <row r="52" spans="1:10" ht="57.6">
      <c r="A52" s="17" t="s">
        <v>47</v>
      </c>
      <c r="B52" s="17" t="s">
        <v>0</v>
      </c>
      <c r="C52" s="18"/>
      <c r="D52" s="19" t="s">
        <v>185</v>
      </c>
      <c r="E52" s="18" t="s">
        <v>50</v>
      </c>
      <c r="F52" s="20"/>
      <c r="G52" s="21" t="s">
        <v>186</v>
      </c>
      <c r="H52" s="43" t="s">
        <v>52</v>
      </c>
      <c r="I52" s="23" t="s">
        <v>53</v>
      </c>
      <c r="J52" s="3">
        <v>1</v>
      </c>
    </row>
    <row r="53" spans="1:10" ht="43.2">
      <c r="A53" s="17" t="s">
        <v>47</v>
      </c>
      <c r="B53" s="17" t="s">
        <v>0</v>
      </c>
      <c r="C53" s="18"/>
      <c r="D53" s="19" t="s">
        <v>187</v>
      </c>
      <c r="E53" s="18" t="s">
        <v>50</v>
      </c>
      <c r="F53" s="20"/>
      <c r="G53" s="21" t="s">
        <v>188</v>
      </c>
      <c r="H53" s="22" t="s">
        <v>52</v>
      </c>
      <c r="I53" s="23" t="s">
        <v>65</v>
      </c>
      <c r="J53" s="3" t="s">
        <v>61</v>
      </c>
    </row>
    <row r="54" spans="1:10" ht="72">
      <c r="A54" s="22" t="s">
        <v>47</v>
      </c>
      <c r="B54" s="17" t="s">
        <v>0</v>
      </c>
      <c r="C54" s="18"/>
      <c r="D54" s="19" t="s">
        <v>189</v>
      </c>
      <c r="E54" s="18" t="s">
        <v>50</v>
      </c>
      <c r="F54" s="44"/>
      <c r="G54" s="31" t="s">
        <v>190</v>
      </c>
      <c r="H54" s="22" t="s">
        <v>52</v>
      </c>
      <c r="I54" s="23" t="s">
        <v>53</v>
      </c>
      <c r="J54" s="3" t="s">
        <v>61</v>
      </c>
    </row>
    <row r="55" spans="1:10" ht="57.6">
      <c r="A55" s="22" t="s">
        <v>47</v>
      </c>
      <c r="B55" s="17" t="s">
        <v>0</v>
      </c>
      <c r="C55" s="18"/>
      <c r="D55" s="19" t="s">
        <v>191</v>
      </c>
      <c r="E55" s="18" t="s">
        <v>50</v>
      </c>
      <c r="F55" s="44"/>
      <c r="G55" s="31" t="s">
        <v>192</v>
      </c>
      <c r="H55" s="22" t="s">
        <v>52</v>
      </c>
      <c r="I55" s="23" t="s">
        <v>53</v>
      </c>
      <c r="J55" s="25" t="s">
        <v>61</v>
      </c>
    </row>
    <row r="56" spans="1:10" ht="43.2">
      <c r="A56" s="22" t="s">
        <v>47</v>
      </c>
      <c r="B56" s="17" t="s">
        <v>0</v>
      </c>
      <c r="C56" s="18"/>
      <c r="D56" s="19" t="s">
        <v>193</v>
      </c>
      <c r="E56" s="18" t="s">
        <v>50</v>
      </c>
      <c r="F56" s="44"/>
      <c r="G56" s="31" t="s">
        <v>194</v>
      </c>
      <c r="H56" s="22"/>
      <c r="I56" s="23" t="s">
        <v>72</v>
      </c>
      <c r="J56" s="3"/>
    </row>
    <row r="57" spans="1:10" ht="72">
      <c r="A57" s="22" t="s">
        <v>47</v>
      </c>
      <c r="B57" s="17" t="s">
        <v>0</v>
      </c>
      <c r="C57" s="18"/>
      <c r="D57" s="19" t="s">
        <v>195</v>
      </c>
      <c r="E57" s="18" t="s">
        <v>50</v>
      </c>
      <c r="F57" s="20"/>
      <c r="G57" s="21" t="s">
        <v>196</v>
      </c>
      <c r="H57" s="22" t="s">
        <v>52</v>
      </c>
      <c r="I57" s="23" t="s">
        <v>53</v>
      </c>
      <c r="J57" s="25">
        <v>1</v>
      </c>
    </row>
    <row r="58" spans="1:10" ht="57.6">
      <c r="A58" s="22" t="s">
        <v>47</v>
      </c>
      <c r="B58" s="17" t="s">
        <v>0</v>
      </c>
      <c r="C58" s="18"/>
      <c r="D58" s="19" t="s">
        <v>197</v>
      </c>
      <c r="E58" s="18" t="s">
        <v>50</v>
      </c>
      <c r="F58" s="20"/>
      <c r="G58" s="21" t="s">
        <v>198</v>
      </c>
      <c r="H58" s="22" t="s">
        <v>52</v>
      </c>
      <c r="I58" s="23" t="s">
        <v>53</v>
      </c>
      <c r="J58" s="25" t="s">
        <v>61</v>
      </c>
    </row>
    <row r="59" spans="1:10" ht="100.8">
      <c r="A59" s="37" t="s">
        <v>47</v>
      </c>
      <c r="B59" s="32" t="s">
        <v>0</v>
      </c>
      <c r="C59" s="33"/>
      <c r="D59" s="34" t="s">
        <v>199</v>
      </c>
      <c r="E59" s="33" t="s">
        <v>200</v>
      </c>
      <c r="F59" s="39"/>
      <c r="G59" s="36" t="s">
        <v>201</v>
      </c>
      <c r="H59" s="37" t="s">
        <v>52</v>
      </c>
      <c r="I59" s="38" t="s">
        <v>53</v>
      </c>
      <c r="J59" s="40">
        <v>1</v>
      </c>
    </row>
    <row r="60" spans="1:10" ht="43.2">
      <c r="A60" s="22" t="s">
        <v>47</v>
      </c>
      <c r="B60" s="17" t="s">
        <v>0</v>
      </c>
      <c r="C60" s="18"/>
      <c r="D60" s="19" t="s">
        <v>202</v>
      </c>
      <c r="E60" s="18" t="s">
        <v>50</v>
      </c>
      <c r="F60" s="20"/>
      <c r="G60" s="21" t="s">
        <v>203</v>
      </c>
      <c r="H60" s="22" t="s">
        <v>52</v>
      </c>
      <c r="I60" s="23" t="s">
        <v>65</v>
      </c>
      <c r="J60" s="3" t="s">
        <v>61</v>
      </c>
    </row>
    <row r="61" spans="1:10" ht="100.8">
      <c r="A61" s="22" t="s">
        <v>47</v>
      </c>
      <c r="B61" s="17" t="s">
        <v>0</v>
      </c>
      <c r="C61" s="18"/>
      <c r="D61" s="19" t="s">
        <v>204</v>
      </c>
      <c r="E61" s="18" t="s">
        <v>50</v>
      </c>
      <c r="F61" s="20"/>
      <c r="G61" s="21" t="s">
        <v>205</v>
      </c>
      <c r="H61" s="22" t="s">
        <v>52</v>
      </c>
      <c r="I61" s="23" t="s">
        <v>53</v>
      </c>
      <c r="J61" s="3">
        <v>1</v>
      </c>
    </row>
    <row r="62" spans="1:10" ht="72">
      <c r="A62" s="22" t="s">
        <v>47</v>
      </c>
      <c r="B62" s="17" t="s">
        <v>0</v>
      </c>
      <c r="C62" s="18"/>
      <c r="D62" s="19" t="s">
        <v>206</v>
      </c>
      <c r="E62" s="18" t="s">
        <v>50</v>
      </c>
      <c r="F62" s="20"/>
      <c r="G62" s="31" t="s">
        <v>207</v>
      </c>
      <c r="H62" s="22" t="s">
        <v>52</v>
      </c>
      <c r="I62" s="23" t="s">
        <v>53</v>
      </c>
      <c r="J62" s="3">
        <v>1</v>
      </c>
    </row>
    <row r="63" spans="1:10" ht="72">
      <c r="A63" s="22" t="s">
        <v>47</v>
      </c>
      <c r="B63" s="17" t="s">
        <v>0</v>
      </c>
      <c r="C63" s="18"/>
      <c r="D63" s="19" t="s">
        <v>208</v>
      </c>
      <c r="E63" s="18" t="s">
        <v>50</v>
      </c>
      <c r="F63" s="20"/>
      <c r="G63" s="21" t="s">
        <v>209</v>
      </c>
      <c r="H63" s="22" t="s">
        <v>52</v>
      </c>
      <c r="I63" s="23" t="s">
        <v>53</v>
      </c>
      <c r="J63" s="3">
        <v>1</v>
      </c>
    </row>
    <row r="64" spans="1:10" ht="57.6">
      <c r="A64" s="18" t="s">
        <v>47</v>
      </c>
      <c r="B64" s="17" t="s">
        <v>0</v>
      </c>
      <c r="C64" s="18"/>
      <c r="D64" s="19" t="s">
        <v>210</v>
      </c>
      <c r="E64" s="18" t="s">
        <v>200</v>
      </c>
      <c r="F64" s="20"/>
      <c r="G64" s="21" t="s">
        <v>211</v>
      </c>
      <c r="H64" s="22" t="s">
        <v>52</v>
      </c>
      <c r="I64" s="23" t="s">
        <v>53</v>
      </c>
      <c r="J64" s="25">
        <v>3</v>
      </c>
    </row>
    <row r="65" spans="1:10" ht="86.4">
      <c r="A65" s="18" t="s">
        <v>47</v>
      </c>
      <c r="B65" s="17" t="s">
        <v>0</v>
      </c>
      <c r="C65" s="18"/>
      <c r="D65" s="19" t="s">
        <v>212</v>
      </c>
      <c r="E65" s="18" t="s">
        <v>50</v>
      </c>
      <c r="F65" s="20"/>
      <c r="G65" s="21" t="s">
        <v>213</v>
      </c>
      <c r="H65" s="22"/>
      <c r="I65" s="23" t="s">
        <v>53</v>
      </c>
      <c r="J65" s="3">
        <v>1</v>
      </c>
    </row>
    <row r="66" spans="1:10" ht="28.8">
      <c r="A66" s="18" t="s">
        <v>47</v>
      </c>
      <c r="B66" s="17" t="s">
        <v>0</v>
      </c>
      <c r="C66" s="18"/>
      <c r="D66" s="19" t="s">
        <v>240</v>
      </c>
      <c r="E66" s="18" t="s">
        <v>50</v>
      </c>
      <c r="F66" s="20"/>
      <c r="G66" s="21" t="s">
        <v>241</v>
      </c>
      <c r="H66" s="22" t="s">
        <v>52</v>
      </c>
      <c r="I66" s="23" t="s">
        <v>65</v>
      </c>
      <c r="J66" s="3" t="s">
        <v>61</v>
      </c>
    </row>
    <row r="67" spans="1:10" ht="86.4">
      <c r="A67" s="18" t="s">
        <v>47</v>
      </c>
      <c r="B67" s="17" t="s">
        <v>0</v>
      </c>
      <c r="C67" s="18"/>
      <c r="D67" s="19" t="s">
        <v>242</v>
      </c>
      <c r="E67" s="18" t="s">
        <v>50</v>
      </c>
      <c r="F67" s="22"/>
      <c r="G67" s="21" t="s">
        <v>243</v>
      </c>
      <c r="H67" s="22"/>
      <c r="I67" s="23" t="s">
        <v>72</v>
      </c>
      <c r="J67" s="3"/>
    </row>
    <row r="68" spans="1:10" ht="43.2">
      <c r="A68" s="18" t="s">
        <v>47</v>
      </c>
      <c r="B68" s="17" t="s">
        <v>0</v>
      </c>
      <c r="C68" s="18"/>
      <c r="D68" s="19" t="s">
        <v>244</v>
      </c>
      <c r="E68" s="18" t="s">
        <v>50</v>
      </c>
      <c r="F68" s="20"/>
      <c r="G68" s="21" t="s">
        <v>245</v>
      </c>
      <c r="H68" s="22"/>
      <c r="I68" s="23" t="s">
        <v>53</v>
      </c>
      <c r="J68" s="3" t="s">
        <v>61</v>
      </c>
    </row>
    <row r="69" spans="1:10" ht="100.8">
      <c r="A69" s="18" t="s">
        <v>47</v>
      </c>
      <c r="B69" s="17" t="s">
        <v>0</v>
      </c>
      <c r="C69" s="18"/>
      <c r="D69" s="19" t="s">
        <v>246</v>
      </c>
      <c r="E69" s="18" t="s">
        <v>50</v>
      </c>
      <c r="F69" s="20"/>
      <c r="G69" s="21" t="s">
        <v>247</v>
      </c>
      <c r="H69" s="22"/>
      <c r="I69" s="23" t="s">
        <v>53</v>
      </c>
      <c r="J69" s="3" t="s">
        <v>61</v>
      </c>
    </row>
    <row r="70" spans="1:10" ht="57.6">
      <c r="A70" s="18" t="s">
        <v>47</v>
      </c>
      <c r="B70" s="17" t="s">
        <v>0</v>
      </c>
      <c r="C70" s="18"/>
      <c r="D70" s="19" t="s">
        <v>248</v>
      </c>
      <c r="E70" s="18" t="s">
        <v>50</v>
      </c>
      <c r="F70" s="20"/>
      <c r="G70" s="21" t="s">
        <v>249</v>
      </c>
      <c r="H70" s="22" t="s">
        <v>52</v>
      </c>
      <c r="I70" s="23" t="s">
        <v>53</v>
      </c>
      <c r="J70" s="25" t="s">
        <v>61</v>
      </c>
    </row>
    <row r="71" spans="1:10" ht="100.8">
      <c r="A71" s="18" t="s">
        <v>47</v>
      </c>
      <c r="B71" s="17" t="s">
        <v>0</v>
      </c>
      <c r="C71" s="18"/>
      <c r="D71" s="19" t="s">
        <v>250</v>
      </c>
      <c r="E71" s="18" t="s">
        <v>200</v>
      </c>
      <c r="F71" s="20"/>
      <c r="G71" s="45" t="s">
        <v>251</v>
      </c>
      <c r="H71" s="22"/>
      <c r="I71" s="23" t="s">
        <v>72</v>
      </c>
      <c r="J71" s="3"/>
    </row>
    <row r="72" spans="1:10" ht="86.4">
      <c r="A72" s="18" t="s">
        <v>47</v>
      </c>
      <c r="B72" s="17" t="s">
        <v>0</v>
      </c>
      <c r="C72" s="18"/>
      <c r="D72" s="19" t="s">
        <v>252</v>
      </c>
      <c r="E72" s="18" t="s">
        <v>50</v>
      </c>
      <c r="F72" s="20"/>
      <c r="G72" s="45" t="s">
        <v>253</v>
      </c>
      <c r="H72" s="22" t="s">
        <v>52</v>
      </c>
      <c r="I72" s="23" t="s">
        <v>65</v>
      </c>
      <c r="J72" s="3" t="s">
        <v>61</v>
      </c>
    </row>
    <row r="73" spans="1:10" ht="43.2">
      <c r="A73" s="18" t="s">
        <v>54</v>
      </c>
      <c r="B73" s="17" t="s">
        <v>0</v>
      </c>
      <c r="C73" s="18"/>
      <c r="D73" s="19" t="s">
        <v>254</v>
      </c>
      <c r="E73" s="18" t="s">
        <v>50</v>
      </c>
      <c r="F73" s="20"/>
      <c r="G73" s="21" t="s">
        <v>255</v>
      </c>
      <c r="H73" s="22" t="s">
        <v>52</v>
      </c>
      <c r="I73" s="23" t="s">
        <v>72</v>
      </c>
      <c r="J73" s="3"/>
    </row>
    <row r="74" spans="1:10" ht="57.6">
      <c r="A74" s="18" t="s">
        <v>54</v>
      </c>
      <c r="B74" s="17" t="s">
        <v>0</v>
      </c>
      <c r="C74" s="18"/>
      <c r="D74" s="19" t="s">
        <v>256</v>
      </c>
      <c r="E74" s="18" t="s">
        <v>50</v>
      </c>
      <c r="F74" s="20"/>
      <c r="G74" s="21" t="s">
        <v>257</v>
      </c>
      <c r="H74" s="22"/>
      <c r="I74" s="23" t="s">
        <v>72</v>
      </c>
      <c r="J74" s="3"/>
    </row>
    <row r="75" spans="1:10" ht="57.6">
      <c r="A75" s="18" t="s">
        <v>54</v>
      </c>
      <c r="B75" s="17" t="s">
        <v>0</v>
      </c>
      <c r="C75" s="18"/>
      <c r="D75" s="19" t="s">
        <v>258</v>
      </c>
      <c r="E75" s="18" t="s">
        <v>50</v>
      </c>
      <c r="F75" s="20"/>
      <c r="G75" s="21" t="s">
        <v>259</v>
      </c>
      <c r="H75" s="22"/>
      <c r="I75" s="23" t="s">
        <v>72</v>
      </c>
      <c r="J75" s="25"/>
    </row>
    <row r="76" spans="1:10" ht="57.6">
      <c r="A76" s="18" t="s">
        <v>54</v>
      </c>
      <c r="B76" s="17" t="s">
        <v>0</v>
      </c>
      <c r="C76" s="18"/>
      <c r="D76" s="19" t="s">
        <v>260</v>
      </c>
      <c r="E76" s="18" t="s">
        <v>50</v>
      </c>
      <c r="F76" s="20"/>
      <c r="G76" s="21" t="s">
        <v>261</v>
      </c>
      <c r="H76" s="22" t="s">
        <v>52</v>
      </c>
      <c r="I76" s="23" t="s">
        <v>72</v>
      </c>
      <c r="J76" s="17"/>
    </row>
    <row r="77" spans="1:10" ht="72">
      <c r="A77" s="18" t="s">
        <v>54</v>
      </c>
      <c r="B77" s="17" t="s">
        <v>0</v>
      </c>
      <c r="C77" s="18"/>
      <c r="D77" s="19" t="s">
        <v>262</v>
      </c>
      <c r="E77" s="18" t="s">
        <v>50</v>
      </c>
      <c r="F77" s="20"/>
      <c r="G77" s="21" t="s">
        <v>263</v>
      </c>
      <c r="H77" s="22" t="s">
        <v>52</v>
      </c>
      <c r="I77" s="23" t="s">
        <v>53</v>
      </c>
      <c r="J77" s="46">
        <v>2</v>
      </c>
    </row>
    <row r="78" spans="1:10" ht="43.2">
      <c r="A78" s="18" t="s">
        <v>54</v>
      </c>
      <c r="B78" s="17" t="s">
        <v>0</v>
      </c>
      <c r="C78" s="18"/>
      <c r="D78" s="19" t="s">
        <v>264</v>
      </c>
      <c r="E78" s="18" t="s">
        <v>50</v>
      </c>
      <c r="F78" s="20"/>
      <c r="G78" s="21" t="s">
        <v>265</v>
      </c>
      <c r="H78" s="23"/>
      <c r="I78" s="23" t="s">
        <v>65</v>
      </c>
      <c r="J78" s="46" t="s">
        <v>61</v>
      </c>
    </row>
    <row r="79" spans="1:10" ht="72">
      <c r="A79" s="18" t="s">
        <v>54</v>
      </c>
      <c r="B79" s="17" t="s">
        <v>0</v>
      </c>
      <c r="C79" s="18"/>
      <c r="D79" s="19" t="s">
        <v>266</v>
      </c>
      <c r="E79" s="18" t="s">
        <v>50</v>
      </c>
      <c r="F79" s="20"/>
      <c r="G79" s="21" t="s">
        <v>267</v>
      </c>
      <c r="H79" s="22" t="s">
        <v>52</v>
      </c>
      <c r="I79" s="23" t="s">
        <v>65</v>
      </c>
      <c r="J79" s="3" t="s">
        <v>61</v>
      </c>
    </row>
    <row r="80" spans="1:10" ht="43.2">
      <c r="A80" s="17" t="s">
        <v>54</v>
      </c>
      <c r="B80" s="17" t="s">
        <v>0</v>
      </c>
      <c r="C80" s="18"/>
      <c r="D80" s="19" t="s">
        <v>268</v>
      </c>
      <c r="E80" s="18" t="s">
        <v>50</v>
      </c>
      <c r="F80" s="47"/>
      <c r="G80" s="21" t="s">
        <v>269</v>
      </c>
      <c r="H80" s="23"/>
      <c r="I80" s="23" t="s">
        <v>65</v>
      </c>
      <c r="J80" s="46" t="s">
        <v>61</v>
      </c>
    </row>
    <row r="81" spans="1:10" ht="57.6">
      <c r="A81" s="17" t="s">
        <v>54</v>
      </c>
      <c r="B81" s="17" t="s">
        <v>0</v>
      </c>
      <c r="C81" s="28"/>
      <c r="D81" s="19" t="s">
        <v>270</v>
      </c>
      <c r="E81" s="18" t="s">
        <v>50</v>
      </c>
      <c r="F81" s="48"/>
      <c r="G81" s="49" t="s">
        <v>271</v>
      </c>
      <c r="H81" s="22"/>
      <c r="I81" s="23" t="s">
        <v>53</v>
      </c>
      <c r="J81" s="25">
        <v>3</v>
      </c>
    </row>
    <row r="82" spans="1:10" ht="72">
      <c r="A82" s="17" t="s">
        <v>54</v>
      </c>
      <c r="B82" s="17" t="s">
        <v>0</v>
      </c>
      <c r="C82" s="28"/>
      <c r="D82" s="19" t="s">
        <v>272</v>
      </c>
      <c r="E82" s="18" t="s">
        <v>50</v>
      </c>
      <c r="F82" s="48"/>
      <c r="G82" s="49" t="s">
        <v>273</v>
      </c>
      <c r="H82" s="22"/>
      <c r="I82" s="23" t="s">
        <v>72</v>
      </c>
      <c r="J82" s="25"/>
    </row>
    <row r="83" spans="1:10" ht="43.2">
      <c r="A83" s="17" t="s">
        <v>54</v>
      </c>
      <c r="B83" s="17" t="s">
        <v>0</v>
      </c>
      <c r="C83" s="18"/>
      <c r="D83" s="19" t="s">
        <v>274</v>
      </c>
      <c r="E83" s="18" t="s">
        <v>200</v>
      </c>
      <c r="F83" s="21"/>
      <c r="G83" s="21" t="s">
        <v>275</v>
      </c>
      <c r="H83" s="22"/>
      <c r="I83" s="23" t="s">
        <v>53</v>
      </c>
      <c r="J83" s="25">
        <v>2</v>
      </c>
    </row>
    <row r="84" spans="1:10" ht="57.6">
      <c r="A84" s="17" t="s">
        <v>54</v>
      </c>
      <c r="B84" s="17" t="s">
        <v>0</v>
      </c>
      <c r="C84" s="18"/>
      <c r="D84" s="19" t="s">
        <v>276</v>
      </c>
      <c r="E84" s="18" t="s">
        <v>200</v>
      </c>
      <c r="F84" s="47"/>
      <c r="G84" s="21" t="s">
        <v>277</v>
      </c>
      <c r="H84" s="23"/>
      <c r="I84" s="23" t="s">
        <v>53</v>
      </c>
      <c r="J84" s="50">
        <v>1</v>
      </c>
    </row>
    <row r="85" spans="1:10" ht="86.4">
      <c r="A85" s="17" t="s">
        <v>54</v>
      </c>
      <c r="B85" s="17" t="s">
        <v>0</v>
      </c>
      <c r="C85" s="18"/>
      <c r="D85" s="51" t="s">
        <v>278</v>
      </c>
      <c r="E85" s="51"/>
      <c r="F85" s="47"/>
      <c r="G85" s="47" t="s">
        <v>279</v>
      </c>
      <c r="H85" s="23"/>
      <c r="I85" s="23" t="s">
        <v>65</v>
      </c>
      <c r="J85" s="50" t="s">
        <v>61</v>
      </c>
    </row>
    <row r="86" spans="1:10" ht="86.4">
      <c r="A86" s="17" t="s">
        <v>54</v>
      </c>
      <c r="B86" s="17" t="s">
        <v>0</v>
      </c>
      <c r="C86" s="18"/>
      <c r="D86" s="51" t="s">
        <v>280</v>
      </c>
      <c r="E86" s="51"/>
      <c r="F86" s="47"/>
      <c r="G86" s="47" t="s">
        <v>281</v>
      </c>
      <c r="H86" s="23"/>
      <c r="I86" s="23" t="s">
        <v>65</v>
      </c>
      <c r="J86" s="50" t="s">
        <v>61</v>
      </c>
    </row>
    <row r="87" spans="1:10" ht="100.8">
      <c r="A87" s="32" t="s">
        <v>54</v>
      </c>
      <c r="B87" s="32" t="s">
        <v>0</v>
      </c>
      <c r="C87" s="33"/>
      <c r="D87" s="52" t="s">
        <v>282</v>
      </c>
      <c r="E87" s="52" t="s">
        <v>50</v>
      </c>
      <c r="F87" s="53"/>
      <c r="G87" s="53" t="s">
        <v>283</v>
      </c>
      <c r="H87" s="38"/>
      <c r="I87" s="38" t="s">
        <v>53</v>
      </c>
      <c r="J87" s="54">
        <v>1</v>
      </c>
    </row>
    <row r="88" spans="1:10" ht="86.4">
      <c r="A88" s="17" t="s">
        <v>54</v>
      </c>
      <c r="B88" s="17" t="s">
        <v>0</v>
      </c>
      <c r="C88" s="18"/>
      <c r="D88" s="55" t="s">
        <v>284</v>
      </c>
      <c r="E88" s="51" t="s">
        <v>50</v>
      </c>
      <c r="F88" s="20"/>
      <c r="G88" s="56" t="s">
        <v>285</v>
      </c>
      <c r="H88" s="22"/>
      <c r="I88" s="23" t="s">
        <v>65</v>
      </c>
      <c r="J88" s="25" t="s">
        <v>61</v>
      </c>
    </row>
    <row r="89" spans="1:10" ht="100.8">
      <c r="A89" s="17" t="s">
        <v>54</v>
      </c>
      <c r="B89" s="17" t="s">
        <v>0</v>
      </c>
      <c r="C89" s="18"/>
      <c r="D89" s="51" t="s">
        <v>286</v>
      </c>
      <c r="E89" s="51" t="s">
        <v>50</v>
      </c>
      <c r="F89" s="57"/>
      <c r="G89" s="47" t="s">
        <v>287</v>
      </c>
      <c r="H89" s="23"/>
      <c r="I89" s="23" t="s">
        <v>53</v>
      </c>
      <c r="J89" s="50">
        <v>1</v>
      </c>
    </row>
    <row r="90" spans="1:10" ht="57.6">
      <c r="A90" s="17" t="s">
        <v>54</v>
      </c>
      <c r="B90" s="17" t="s">
        <v>0</v>
      </c>
      <c r="C90" s="18"/>
      <c r="D90" s="58" t="s">
        <v>288</v>
      </c>
      <c r="E90" s="18" t="s">
        <v>50</v>
      </c>
      <c r="F90" s="21"/>
      <c r="G90" s="21" t="s">
        <v>289</v>
      </c>
      <c r="H90" s="22" t="s">
        <v>52</v>
      </c>
      <c r="I90" s="23" t="s">
        <v>53</v>
      </c>
      <c r="J90" s="25">
        <v>1</v>
      </c>
    </row>
    <row r="91" spans="1:10" ht="57.6">
      <c r="A91" s="17" t="s">
        <v>54</v>
      </c>
      <c r="B91" s="17" t="s">
        <v>0</v>
      </c>
      <c r="C91" s="18"/>
      <c r="D91" s="59" t="s">
        <v>290</v>
      </c>
      <c r="E91" s="18" t="s">
        <v>50</v>
      </c>
      <c r="F91" s="47"/>
      <c r="G91" s="47" t="s">
        <v>291</v>
      </c>
      <c r="H91" s="23"/>
      <c r="I91" s="23" t="s">
        <v>65</v>
      </c>
      <c r="J91" s="50" t="s">
        <v>61</v>
      </c>
    </row>
    <row r="92" spans="1:10" ht="86.4">
      <c r="A92" s="17" t="s">
        <v>54</v>
      </c>
      <c r="B92" s="17" t="s">
        <v>0</v>
      </c>
      <c r="C92" s="18"/>
      <c r="D92" s="58" t="s">
        <v>292</v>
      </c>
      <c r="E92" s="18" t="s">
        <v>50</v>
      </c>
      <c r="F92" s="21"/>
      <c r="G92" s="21" t="s">
        <v>293</v>
      </c>
      <c r="H92" s="22"/>
      <c r="I92" s="23" t="s">
        <v>65</v>
      </c>
      <c r="J92" s="25" t="s">
        <v>61</v>
      </c>
    </row>
    <row r="93" spans="1:10" ht="72">
      <c r="A93" s="17" t="s">
        <v>54</v>
      </c>
      <c r="B93" s="17" t="s">
        <v>0</v>
      </c>
      <c r="C93" s="18"/>
      <c r="D93" s="51" t="s">
        <v>294</v>
      </c>
      <c r="E93" s="18" t="s">
        <v>50</v>
      </c>
      <c r="F93" s="47"/>
      <c r="G93" s="21" t="s">
        <v>295</v>
      </c>
      <c r="H93" s="23"/>
      <c r="I93" s="23" t="s">
        <v>65</v>
      </c>
      <c r="J93" s="50" t="s">
        <v>61</v>
      </c>
    </row>
    <row r="94" spans="1:10" ht="57.6">
      <c r="A94" s="17" t="s">
        <v>54</v>
      </c>
      <c r="B94" s="17" t="s">
        <v>0</v>
      </c>
      <c r="C94" s="18"/>
      <c r="D94" s="59" t="s">
        <v>296</v>
      </c>
      <c r="E94" s="18" t="s">
        <v>50</v>
      </c>
      <c r="F94" s="57"/>
      <c r="G94" s="21" t="s">
        <v>297</v>
      </c>
      <c r="H94" s="23"/>
      <c r="I94" s="23" t="s">
        <v>65</v>
      </c>
      <c r="J94" s="50" t="s">
        <v>61</v>
      </c>
    </row>
    <row r="95" spans="1:10" ht="86.4">
      <c r="A95" s="17" t="s">
        <v>54</v>
      </c>
      <c r="B95" s="17" t="s">
        <v>0</v>
      </c>
      <c r="C95" s="18"/>
      <c r="D95" s="59" t="s">
        <v>298</v>
      </c>
      <c r="E95" s="28" t="s">
        <v>50</v>
      </c>
      <c r="F95" s="20"/>
      <c r="G95" s="21" t="s">
        <v>299</v>
      </c>
      <c r="H95" s="23"/>
      <c r="I95" s="23" t="s">
        <v>72</v>
      </c>
      <c r="J95" s="50"/>
    </row>
    <row r="96" spans="1:10" ht="57.6">
      <c r="A96" s="17" t="s">
        <v>54</v>
      </c>
      <c r="B96" s="17" t="s">
        <v>0</v>
      </c>
      <c r="C96" s="18"/>
      <c r="D96" s="58" t="s">
        <v>300</v>
      </c>
      <c r="E96" s="18" t="s">
        <v>50</v>
      </c>
      <c r="F96" s="22"/>
      <c r="G96" s="21" t="s">
        <v>301</v>
      </c>
      <c r="H96" s="22"/>
      <c r="I96" s="23" t="s">
        <v>65</v>
      </c>
      <c r="J96" s="25" t="s">
        <v>61</v>
      </c>
    </row>
    <row r="97" spans="1:10" ht="57.6">
      <c r="A97" s="17" t="s">
        <v>54</v>
      </c>
      <c r="B97" s="17" t="s">
        <v>0</v>
      </c>
      <c r="C97" s="18"/>
      <c r="D97" s="59" t="s">
        <v>302</v>
      </c>
      <c r="E97" s="18" t="s">
        <v>50</v>
      </c>
      <c r="F97" s="23"/>
      <c r="G97" s="21" t="s">
        <v>303</v>
      </c>
      <c r="H97" s="23"/>
      <c r="I97" s="23" t="s">
        <v>65</v>
      </c>
      <c r="J97" s="50" t="s">
        <v>61</v>
      </c>
    </row>
    <row r="98" spans="1:10" ht="43.2">
      <c r="A98" s="17" t="s">
        <v>54</v>
      </c>
      <c r="B98" s="17" t="s">
        <v>0</v>
      </c>
      <c r="C98" s="18"/>
      <c r="D98" s="58" t="s">
        <v>304</v>
      </c>
      <c r="E98" s="18" t="s">
        <v>50</v>
      </c>
      <c r="F98" s="22"/>
      <c r="G98" s="21" t="s">
        <v>305</v>
      </c>
      <c r="H98" s="22"/>
      <c r="I98" s="23" t="s">
        <v>65</v>
      </c>
      <c r="J98" s="25" t="s">
        <v>61</v>
      </c>
    </row>
    <row r="99" spans="1:10" ht="72">
      <c r="A99" s="17" t="s">
        <v>54</v>
      </c>
      <c r="B99" s="17" t="s">
        <v>0</v>
      </c>
      <c r="C99" s="18"/>
      <c r="D99" s="58" t="s">
        <v>306</v>
      </c>
      <c r="E99" s="18" t="s">
        <v>50</v>
      </c>
      <c r="F99" s="21"/>
      <c r="G99" s="21" t="s">
        <v>307</v>
      </c>
      <c r="H99" s="22"/>
      <c r="I99" s="23" t="s">
        <v>65</v>
      </c>
      <c r="J99" s="25" t="s">
        <v>61</v>
      </c>
    </row>
    <row r="100" spans="1:10" ht="72">
      <c r="A100" s="17" t="s">
        <v>54</v>
      </c>
      <c r="B100" s="17" t="s">
        <v>0</v>
      </c>
      <c r="C100" s="18"/>
      <c r="D100" s="59" t="s">
        <v>308</v>
      </c>
      <c r="E100" s="28" t="s">
        <v>50</v>
      </c>
      <c r="F100" s="47"/>
      <c r="G100" s="21" t="s">
        <v>309</v>
      </c>
      <c r="H100" s="23"/>
      <c r="I100" s="23" t="s">
        <v>65</v>
      </c>
      <c r="J100" s="50" t="s">
        <v>61</v>
      </c>
    </row>
    <row r="101" spans="1:10" ht="57.6">
      <c r="A101" s="17" t="s">
        <v>54</v>
      </c>
      <c r="B101" s="17" t="s">
        <v>0</v>
      </c>
      <c r="C101" s="18"/>
      <c r="D101" s="59" t="s">
        <v>310</v>
      </c>
      <c r="E101" s="18" t="s">
        <v>50</v>
      </c>
      <c r="F101" s="47"/>
      <c r="G101" s="21" t="s">
        <v>311</v>
      </c>
      <c r="H101" s="23"/>
      <c r="I101" s="23" t="s">
        <v>65</v>
      </c>
      <c r="J101" s="50" t="s">
        <v>61</v>
      </c>
    </row>
    <row r="102" spans="1:10" ht="72">
      <c r="A102" s="17" t="s">
        <v>54</v>
      </c>
      <c r="B102" s="17" t="s">
        <v>0</v>
      </c>
      <c r="C102" s="18"/>
      <c r="D102" s="58" t="s">
        <v>312</v>
      </c>
      <c r="E102" s="18" t="s">
        <v>50</v>
      </c>
      <c r="F102" s="21"/>
      <c r="G102" s="21" t="s">
        <v>313</v>
      </c>
      <c r="H102" s="22"/>
      <c r="I102" s="23" t="s">
        <v>65</v>
      </c>
      <c r="J102" s="25" t="s">
        <v>61</v>
      </c>
    </row>
    <row r="103" spans="1:10" ht="86.4">
      <c r="A103" s="17" t="s">
        <v>54</v>
      </c>
      <c r="B103" s="17" t="s">
        <v>0</v>
      </c>
      <c r="C103" s="18"/>
      <c r="D103" s="58" t="s">
        <v>314</v>
      </c>
      <c r="E103" s="18" t="s">
        <v>50</v>
      </c>
      <c r="F103" s="21"/>
      <c r="G103" s="21" t="s">
        <v>315</v>
      </c>
      <c r="H103" s="22"/>
      <c r="I103" s="23" t="s">
        <v>65</v>
      </c>
      <c r="J103" s="25" t="s">
        <v>61</v>
      </c>
    </row>
    <row r="104" spans="1:10" ht="43.2">
      <c r="A104" s="17" t="s">
        <v>54</v>
      </c>
      <c r="B104" s="17" t="s">
        <v>0</v>
      </c>
      <c r="C104" s="18"/>
      <c r="D104" s="19" t="s">
        <v>316</v>
      </c>
      <c r="E104" s="18" t="s">
        <v>50</v>
      </c>
      <c r="F104" s="20"/>
      <c r="G104" s="21" t="s">
        <v>317</v>
      </c>
      <c r="H104" s="22"/>
      <c r="I104" s="23" t="s">
        <v>53</v>
      </c>
      <c r="J104" s="25" t="s">
        <v>61</v>
      </c>
    </row>
    <row r="105" spans="1:10" ht="57.6">
      <c r="A105" s="17" t="s">
        <v>54</v>
      </c>
      <c r="B105" s="17" t="s">
        <v>0</v>
      </c>
      <c r="C105" s="60"/>
      <c r="D105" s="61" t="s">
        <v>318</v>
      </c>
      <c r="E105" s="18" t="s">
        <v>50</v>
      </c>
      <c r="F105" s="20"/>
      <c r="G105" s="21" t="s">
        <v>319</v>
      </c>
      <c r="H105" s="62"/>
      <c r="I105" s="23" t="s">
        <v>65</v>
      </c>
      <c r="J105" s="63" t="s">
        <v>61</v>
      </c>
    </row>
    <row r="106" spans="1:10" ht="86.4">
      <c r="A106" s="17" t="s">
        <v>54</v>
      </c>
      <c r="B106" s="17" t="s">
        <v>0</v>
      </c>
      <c r="C106" s="60"/>
      <c r="D106" s="61" t="s">
        <v>320</v>
      </c>
      <c r="E106" s="18" t="s">
        <v>50</v>
      </c>
      <c r="F106" s="20"/>
      <c r="G106" s="20" t="s">
        <v>321</v>
      </c>
      <c r="H106" s="62"/>
      <c r="I106" s="23" t="s">
        <v>53</v>
      </c>
      <c r="J106" s="63">
        <v>1</v>
      </c>
    </row>
  </sheetData>
  <autoFilter ref="A1:J107" xr:uid="{936D0721-7222-4A3E-B51A-F2D3F0123544}"/>
  <conditionalFormatting sqref="D105:E106 J106">
    <cfRule type="cellIs" dxfId="47" priority="1" stopIfTrue="1" operator="equal">
      <formula>"Configuration"</formula>
    </cfRule>
    <cfRule type="cellIs" dxfId="46" priority="2" stopIfTrue="1" operator="equal">
      <formula>"Standard"</formula>
    </cfRule>
    <cfRule type="cellIs" dxfId="45" priority="3" stopIfTrue="1" operator="equal">
      <formula>"Customisation/Extension"</formula>
    </cfRule>
  </conditionalFormatting>
  <conditionalFormatting sqref="H47 H65:I69">
    <cfRule type="cellIs" dxfId="44" priority="4" stopIfTrue="1" operator="equal">
      <formula>"Must"</formula>
    </cfRule>
  </conditionalFormatting>
  <conditionalFormatting sqref="H2:I4 H7:I9 H11:I11 H15:I30 H32:I33 H35:I37 H39:I39 H48:I50 H51:H52 H53:I54 H55 H56:I56 H59:I63 H71:I74 H76:I82 H84:I87 H89:I89 H91:I91 H93:I95 H97:I97 H100:I101 H105:I106">
    <cfRule type="cellIs" dxfId="43" priority="6" stopIfTrue="1" operator="equal">
      <formula>"Must"</formula>
    </cfRule>
  </conditionalFormatting>
  <conditionalFormatting sqref="H43:I46">
    <cfRule type="cellIs" dxfId="42" priority="5" stopIfTrue="1" operator="equal">
      <formula>"Must"</formula>
    </cfRule>
  </conditionalFormatting>
  <conditionalFormatting sqref="I1:I106">
    <cfRule type="cellIs" dxfId="41" priority="7" stopIfTrue="1" operator="equal">
      <formula>"Standard"</formula>
    </cfRule>
    <cfRule type="cellIs" dxfId="40" priority="8" stopIfTrue="1" operator="equal">
      <formula>"Configuration"</formula>
    </cfRule>
    <cfRule type="cellIs" dxfId="39" priority="9" stopIfTrue="1" operator="equal">
      <formula>"Extension"</formula>
    </cfRule>
  </conditionalFormatting>
  <dataValidations count="6">
    <dataValidation type="list" allowBlank="1" showInputMessage="1" showErrorMessage="1" sqref="B2:B42 B44:B48" xr:uid="{A78E5E65-477A-4EC8-8227-0D6CF5245AB7}">
      <formula1>"Sample, Stock, Instrument, Retain, Report&amp;Label, Security, Training, Dashboard, Notification,  Assignment, Interface, IM Integartion"</formula1>
    </dataValidation>
    <dataValidation type="list" allowBlank="1" showInputMessage="1" showErrorMessage="1" sqref="E2:E5 E7:E9 E15:E30 E32:E33 E35 E37 E39 E43:E44 E46 E49:E50 E53 E59:E63 E65 E67:E69 E71:E72 E74 E76:E80 E92:E94 E96:E98 E101" xr:uid="{101A91EC-AB48-4F0B-B11E-B7BC99F0C553}">
      <formula1>"Phase A, Phase B"</formula1>
    </dataValidation>
    <dataValidation type="list" allowBlank="1" showInputMessage="1" showErrorMessage="1" sqref="B43 B49:B106" xr:uid="{0D32EECA-731D-4B89-81BC-CCBA93EA46C7}">
      <formula1>"Sample, Stock, Instrument, Retain, Report&amp;Label, Security, Training, Dashboard, Notification,  Assignment, Interface, IM Integartion, LES"</formula1>
    </dataValidation>
    <dataValidation type="list" allowBlank="1" showInputMessage="1" showErrorMessage="1" sqref="I2:I106" xr:uid="{77C0A25A-0C22-4AFC-A56F-8C86B5011580}">
      <formula1>"Standard,Configuration,Extension,Customisation,Interface,Later Phase,Link,Out Of Scope,Business Proc Only"</formula1>
    </dataValidation>
    <dataValidation type="list" allowBlank="1" showErrorMessage="1" sqref="I2:I106" xr:uid="{7F64D7A1-32D3-4088-AE40-EA62479EDD44}">
      <formula1>"Standard,Configuration,Extension,Customisation,Interface,Later Phase,Link,Out Of Scope,Business Proc Only"</formula1>
    </dataValidation>
    <dataValidation type="list" allowBlank="1" showInputMessage="1" showErrorMessage="1" sqref="H2:H106" xr:uid="{CB74A0CA-64E2-4B91-B964-9DBA8258DE82}">
      <formula1>"Must,Should, Could, Wont"</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A072B-E682-457D-87CE-AF0E0AA55EA6}">
  <dimension ref="A1:M18"/>
  <sheetViews>
    <sheetView topLeftCell="A17" workbookViewId="0">
      <selection activeCell="K7" sqref="K7"/>
    </sheetView>
  </sheetViews>
  <sheetFormatPr defaultRowHeight="14.4"/>
  <sheetData>
    <row r="1" spans="1:13" ht="57.6">
      <c r="A1" s="14" t="s">
        <v>37</v>
      </c>
      <c r="B1" s="14" t="s">
        <v>38</v>
      </c>
      <c r="C1" s="14" t="s">
        <v>39</v>
      </c>
      <c r="D1" s="15" t="s">
        <v>40</v>
      </c>
      <c r="E1" s="15" t="s">
        <v>41</v>
      </c>
      <c r="F1" s="16" t="s">
        <v>42</v>
      </c>
      <c r="G1" s="16" t="s">
        <v>43</v>
      </c>
      <c r="H1" s="16" t="s">
        <v>44</v>
      </c>
      <c r="I1" s="14" t="s">
        <v>45</v>
      </c>
      <c r="J1" s="14" t="s">
        <v>46</v>
      </c>
    </row>
    <row r="2" spans="1:13" ht="172.8">
      <c r="A2" s="18" t="s">
        <v>47</v>
      </c>
      <c r="B2" s="17" t="s">
        <v>4</v>
      </c>
      <c r="C2" s="18"/>
      <c r="D2" s="19" t="s">
        <v>322</v>
      </c>
      <c r="E2" s="18" t="s">
        <v>50</v>
      </c>
      <c r="F2" s="20"/>
      <c r="G2" s="21" t="s">
        <v>323</v>
      </c>
      <c r="H2" s="22" t="s">
        <v>52</v>
      </c>
      <c r="I2" s="23" t="s">
        <v>65</v>
      </c>
      <c r="J2" s="3" t="s">
        <v>61</v>
      </c>
      <c r="L2">
        <f>SUM(J1:J119)</f>
        <v>13</v>
      </c>
      <c r="M2">
        <f>SUMIF(E:E,"phase A",J:J)</f>
        <v>13</v>
      </c>
    </row>
    <row r="3" spans="1:13" ht="144">
      <c r="A3" s="18" t="s">
        <v>47</v>
      </c>
      <c r="B3" s="17" t="s">
        <v>4</v>
      </c>
      <c r="C3" s="18"/>
      <c r="D3" s="19" t="s">
        <v>324</v>
      </c>
      <c r="E3" s="18" t="s">
        <v>50</v>
      </c>
      <c r="F3" s="20"/>
      <c r="G3" s="21" t="s">
        <v>325</v>
      </c>
      <c r="H3" s="22" t="s">
        <v>52</v>
      </c>
      <c r="I3" s="23" t="s">
        <v>65</v>
      </c>
      <c r="J3" s="3" t="s">
        <v>61</v>
      </c>
    </row>
    <row r="4" spans="1:13" ht="172.8">
      <c r="A4" s="18" t="s">
        <v>47</v>
      </c>
      <c r="B4" s="17" t="s">
        <v>4</v>
      </c>
      <c r="C4" s="18"/>
      <c r="D4" s="19" t="s">
        <v>326</v>
      </c>
      <c r="E4" s="18" t="s">
        <v>50</v>
      </c>
      <c r="F4" s="20"/>
      <c r="G4" s="21" t="s">
        <v>327</v>
      </c>
      <c r="H4" s="22" t="s">
        <v>52</v>
      </c>
      <c r="I4" s="23" t="s">
        <v>328</v>
      </c>
      <c r="J4" s="3" t="s">
        <v>61</v>
      </c>
    </row>
    <row r="5" spans="1:13" ht="172.8">
      <c r="A5" s="17" t="s">
        <v>54</v>
      </c>
      <c r="B5" s="17" t="s">
        <v>4</v>
      </c>
      <c r="C5" s="18"/>
      <c r="D5" s="29" t="s">
        <v>329</v>
      </c>
      <c r="E5" s="28" t="s">
        <v>50</v>
      </c>
      <c r="F5" s="20"/>
      <c r="G5" s="21" t="s">
        <v>330</v>
      </c>
      <c r="H5" s="23"/>
      <c r="I5" s="23" t="s">
        <v>53</v>
      </c>
      <c r="J5" s="50">
        <v>2</v>
      </c>
    </row>
    <row r="6" spans="1:13" ht="172.8">
      <c r="A6" s="17" t="s">
        <v>54</v>
      </c>
      <c r="B6" s="17" t="s">
        <v>4</v>
      </c>
      <c r="C6" s="18"/>
      <c r="D6" s="29" t="s">
        <v>331</v>
      </c>
      <c r="E6" s="28" t="s">
        <v>50</v>
      </c>
      <c r="F6" s="47"/>
      <c r="G6" s="21" t="s">
        <v>332</v>
      </c>
      <c r="H6" s="23"/>
      <c r="I6" s="23" t="s">
        <v>65</v>
      </c>
      <c r="J6" s="50" t="s">
        <v>61</v>
      </c>
    </row>
    <row r="7" spans="1:13" ht="409.6">
      <c r="A7" s="17" t="s">
        <v>54</v>
      </c>
      <c r="B7" s="17" t="s">
        <v>4</v>
      </c>
      <c r="C7" s="60"/>
      <c r="D7" s="61" t="s">
        <v>333</v>
      </c>
      <c r="E7" s="18" t="s">
        <v>50</v>
      </c>
      <c r="F7" s="62"/>
      <c r="G7" s="64" t="s">
        <v>334</v>
      </c>
      <c r="H7" s="62"/>
      <c r="I7" s="23" t="s">
        <v>53</v>
      </c>
      <c r="J7" s="63">
        <v>2</v>
      </c>
    </row>
    <row r="8" spans="1:13" ht="288">
      <c r="A8" s="17" t="s">
        <v>54</v>
      </c>
      <c r="B8" s="17" t="s">
        <v>4</v>
      </c>
      <c r="C8" s="60"/>
      <c r="D8" s="61" t="s">
        <v>335</v>
      </c>
      <c r="E8" s="18" t="s">
        <v>50</v>
      </c>
      <c r="F8" s="62"/>
      <c r="G8" s="64" t="s">
        <v>336</v>
      </c>
      <c r="H8" s="62"/>
      <c r="I8" s="23" t="s">
        <v>53</v>
      </c>
      <c r="J8" s="63">
        <v>2</v>
      </c>
    </row>
    <row r="9" spans="1:13" ht="158.4">
      <c r="A9" s="17" t="s">
        <v>54</v>
      </c>
      <c r="B9" s="17" t="s">
        <v>4</v>
      </c>
      <c r="C9" s="60"/>
      <c r="D9" s="61" t="s">
        <v>337</v>
      </c>
      <c r="E9" s="18" t="s">
        <v>50</v>
      </c>
      <c r="F9" s="62"/>
      <c r="G9" s="64" t="s">
        <v>338</v>
      </c>
      <c r="H9" s="62"/>
      <c r="I9" s="23" t="s">
        <v>65</v>
      </c>
      <c r="J9" s="63" t="s">
        <v>61</v>
      </c>
    </row>
    <row r="10" spans="1:13" ht="158.4">
      <c r="A10" s="17" t="s">
        <v>54</v>
      </c>
      <c r="B10" s="17" t="s">
        <v>4</v>
      </c>
      <c r="C10" s="60"/>
      <c r="D10" s="61" t="s">
        <v>339</v>
      </c>
      <c r="E10" s="18" t="s">
        <v>50</v>
      </c>
      <c r="F10" s="62"/>
      <c r="G10" s="64" t="s">
        <v>340</v>
      </c>
      <c r="H10" s="62"/>
      <c r="I10" s="23" t="s">
        <v>72</v>
      </c>
      <c r="J10" s="63"/>
    </row>
    <row r="11" spans="1:13" ht="86.4">
      <c r="A11" s="17" t="s">
        <v>54</v>
      </c>
      <c r="B11" s="17" t="s">
        <v>4</v>
      </c>
      <c r="C11" s="60"/>
      <c r="D11" s="61" t="s">
        <v>341</v>
      </c>
      <c r="E11" s="18" t="s">
        <v>50</v>
      </c>
      <c r="F11" s="62"/>
      <c r="G11" s="64" t="s">
        <v>342</v>
      </c>
      <c r="H11" s="62"/>
      <c r="I11" s="23" t="s">
        <v>65</v>
      </c>
      <c r="J11" s="63" t="s">
        <v>61</v>
      </c>
    </row>
    <row r="12" spans="1:13" ht="144">
      <c r="A12" s="17" t="s">
        <v>54</v>
      </c>
      <c r="B12" s="17" t="s">
        <v>4</v>
      </c>
      <c r="C12" s="60"/>
      <c r="D12" s="61" t="s">
        <v>343</v>
      </c>
      <c r="E12" s="18" t="s">
        <v>50</v>
      </c>
      <c r="F12" s="62"/>
      <c r="G12" s="64" t="s">
        <v>344</v>
      </c>
      <c r="H12" s="62"/>
      <c r="I12" s="23" t="s">
        <v>53</v>
      </c>
      <c r="J12" s="63">
        <v>3</v>
      </c>
    </row>
    <row r="13" spans="1:13" ht="115.2">
      <c r="A13" s="17" t="s">
        <v>54</v>
      </c>
      <c r="B13" s="17" t="s">
        <v>4</v>
      </c>
      <c r="C13" s="28"/>
      <c r="D13" s="61" t="s">
        <v>345</v>
      </c>
      <c r="E13" s="18" t="s">
        <v>50</v>
      </c>
      <c r="F13" s="22"/>
      <c r="G13" s="21" t="s">
        <v>346</v>
      </c>
      <c r="H13" s="22"/>
      <c r="I13" s="23" t="s">
        <v>65</v>
      </c>
      <c r="J13" s="65" t="s">
        <v>61</v>
      </c>
    </row>
    <row r="14" spans="1:13" ht="129.6">
      <c r="A14" s="17" t="s">
        <v>54</v>
      </c>
      <c r="B14" s="17" t="s">
        <v>4</v>
      </c>
      <c r="C14" s="28"/>
      <c r="D14" s="61" t="s">
        <v>347</v>
      </c>
      <c r="E14" s="18" t="s">
        <v>50</v>
      </c>
      <c r="F14" s="22"/>
      <c r="G14" s="21" t="s">
        <v>348</v>
      </c>
      <c r="H14" s="22"/>
      <c r="I14" s="23" t="s">
        <v>53</v>
      </c>
      <c r="J14" s="65">
        <v>1</v>
      </c>
    </row>
    <row r="15" spans="1:13" ht="100.8">
      <c r="A15" s="17" t="s">
        <v>54</v>
      </c>
      <c r="B15" s="17" t="s">
        <v>4</v>
      </c>
      <c r="C15" s="28"/>
      <c r="D15" s="61" t="s">
        <v>349</v>
      </c>
      <c r="E15" s="18" t="s">
        <v>50</v>
      </c>
      <c r="F15" s="22"/>
      <c r="G15" s="21" t="s">
        <v>350</v>
      </c>
      <c r="H15" s="22"/>
      <c r="I15" s="23" t="s">
        <v>65</v>
      </c>
      <c r="J15" s="65" t="s">
        <v>61</v>
      </c>
    </row>
    <row r="16" spans="1:13" ht="115.2">
      <c r="A16" s="17" t="s">
        <v>54</v>
      </c>
      <c r="B16" s="17" t="s">
        <v>4</v>
      </c>
      <c r="C16" s="28"/>
      <c r="D16" s="61" t="s">
        <v>351</v>
      </c>
      <c r="E16" s="18" t="s">
        <v>50</v>
      </c>
      <c r="F16" s="22"/>
      <c r="G16" s="21" t="s">
        <v>352</v>
      </c>
      <c r="H16" s="22"/>
      <c r="I16" s="23" t="s">
        <v>65</v>
      </c>
      <c r="J16" s="65" t="s">
        <v>61</v>
      </c>
    </row>
    <row r="17" spans="1:10" ht="129.6">
      <c r="A17" s="17" t="s">
        <v>54</v>
      </c>
      <c r="B17" s="17" t="s">
        <v>4</v>
      </c>
      <c r="C17" s="28"/>
      <c r="D17" s="61" t="s">
        <v>353</v>
      </c>
      <c r="E17" s="18" t="s">
        <v>50</v>
      </c>
      <c r="F17" s="22"/>
      <c r="G17" s="21" t="s">
        <v>354</v>
      </c>
      <c r="H17" s="22"/>
      <c r="I17" s="23" t="s">
        <v>72</v>
      </c>
      <c r="J17" s="65"/>
    </row>
    <row r="18" spans="1:10" ht="316.8">
      <c r="A18" s="17" t="s">
        <v>54</v>
      </c>
      <c r="B18" s="17" t="s">
        <v>4</v>
      </c>
      <c r="C18" s="28"/>
      <c r="D18" s="61" t="s">
        <v>355</v>
      </c>
      <c r="E18" s="18" t="s">
        <v>50</v>
      </c>
      <c r="F18" s="22"/>
      <c r="G18" s="21" t="s">
        <v>356</v>
      </c>
      <c r="H18" s="22"/>
      <c r="I18" s="23" t="s">
        <v>53</v>
      </c>
      <c r="J18" s="66">
        <v>3</v>
      </c>
    </row>
  </sheetData>
  <conditionalFormatting sqref="H2:I6 H8:I18">
    <cfRule type="cellIs" dxfId="38" priority="4" stopIfTrue="1" operator="equal">
      <formula>"Must"</formula>
    </cfRule>
  </conditionalFormatting>
  <conditionalFormatting sqref="I1:I18">
    <cfRule type="cellIs" dxfId="37" priority="5" stopIfTrue="1" operator="equal">
      <formula>"Standard"</formula>
    </cfRule>
    <cfRule type="cellIs" dxfId="36" priority="6" stopIfTrue="1" operator="equal">
      <formula>"Configuration"</formula>
    </cfRule>
    <cfRule type="cellIs" dxfId="35" priority="7" stopIfTrue="1" operator="equal">
      <formula>"Extension"</formula>
    </cfRule>
  </conditionalFormatting>
  <conditionalFormatting sqref="J8:J12">
    <cfRule type="cellIs" dxfId="34" priority="1" stopIfTrue="1" operator="equal">
      <formula>"Configuration"</formula>
    </cfRule>
    <cfRule type="cellIs" dxfId="33" priority="2" stopIfTrue="1" operator="equal">
      <formula>"Standard"</formula>
    </cfRule>
    <cfRule type="cellIs" dxfId="32" priority="3" stopIfTrue="1" operator="equal">
      <formula>"Customisation/Extension"</formula>
    </cfRule>
  </conditionalFormatting>
  <dataValidations count="4">
    <dataValidation type="list" allowBlank="1" showInputMessage="1" showErrorMessage="1" sqref="B2:B18" xr:uid="{0AB89BAB-7C4B-4F16-914A-466FF96A6291}">
      <formula1>"Sample, Stock, Instrument, Retain, Report&amp;Label, Security, Training, Dashboard, Notification,  Assignment, Interface, IM Integartion, LES"</formula1>
    </dataValidation>
    <dataValidation type="list" allowBlank="1" showInputMessage="1" showErrorMessage="1" sqref="I2:I18" xr:uid="{D5B5501B-B797-4549-82A9-A2A909E0E32D}">
      <formula1>"Standard,Configuration,Extension,Customisation,Interface,Later Phase,Link,Out Of Scope,Business Proc Only"</formula1>
    </dataValidation>
    <dataValidation type="list" allowBlank="1" showErrorMessage="1" sqref="I2:I18" xr:uid="{5A1A07B2-5C58-4B3C-843E-F62A0BBA78E1}">
      <formula1>"Standard,Configuration,Extension,Customisation,Interface,Later Phase,Link,Out Of Scope,Business Proc Only"</formula1>
    </dataValidation>
    <dataValidation type="list" allowBlank="1" showInputMessage="1" showErrorMessage="1" sqref="H2:H12" xr:uid="{551D6FA9-3FE3-4B61-81B9-801BE7D0053A}">
      <formula1>"Must,Should, Could, Wont"</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711C-F01A-4452-A11B-3F6ABD6AAC19}">
  <dimension ref="A1:L9"/>
  <sheetViews>
    <sheetView workbookViewId="0">
      <selection activeCell="K8" sqref="K8"/>
    </sheetView>
  </sheetViews>
  <sheetFormatPr defaultRowHeight="14.4"/>
  <sheetData>
    <row r="1" spans="1:12" ht="57.6">
      <c r="A1" s="14" t="s">
        <v>37</v>
      </c>
      <c r="B1" s="14" t="s">
        <v>38</v>
      </c>
      <c r="C1" s="14" t="s">
        <v>39</v>
      </c>
      <c r="D1" s="15" t="s">
        <v>40</v>
      </c>
      <c r="E1" s="15" t="s">
        <v>41</v>
      </c>
      <c r="F1" s="16" t="s">
        <v>42</v>
      </c>
      <c r="G1" s="16" t="s">
        <v>43</v>
      </c>
      <c r="H1" s="16" t="s">
        <v>44</v>
      </c>
      <c r="I1" s="14" t="s">
        <v>45</v>
      </c>
      <c r="J1" s="14" t="s">
        <v>46</v>
      </c>
    </row>
    <row r="2" spans="1:12" ht="230.4">
      <c r="A2" s="18" t="s">
        <v>54</v>
      </c>
      <c r="B2" s="17" t="s">
        <v>5</v>
      </c>
      <c r="C2" s="18"/>
      <c r="D2" s="19" t="s">
        <v>429</v>
      </c>
      <c r="E2" s="18" t="s">
        <v>50</v>
      </c>
      <c r="F2" s="20"/>
      <c r="G2" s="21" t="s">
        <v>430</v>
      </c>
      <c r="H2" s="22" t="s">
        <v>52</v>
      </c>
      <c r="I2" s="23" t="s">
        <v>53</v>
      </c>
      <c r="J2" s="25">
        <v>1</v>
      </c>
      <c r="L2">
        <f>SUM(J1:J119)</f>
        <v>6</v>
      </c>
    </row>
    <row r="3" spans="1:12" ht="216">
      <c r="A3" s="17" t="s">
        <v>54</v>
      </c>
      <c r="B3" s="17" t="s">
        <v>5</v>
      </c>
      <c r="C3" s="18"/>
      <c r="D3" s="55" t="s">
        <v>431</v>
      </c>
      <c r="E3" s="51" t="s">
        <v>50</v>
      </c>
      <c r="F3" s="21"/>
      <c r="G3" s="21" t="s">
        <v>432</v>
      </c>
      <c r="H3" s="22"/>
      <c r="I3" s="23" t="s">
        <v>53</v>
      </c>
      <c r="J3" s="25">
        <v>1</v>
      </c>
    </row>
    <row r="4" spans="1:12" ht="158.4">
      <c r="A4" s="17" t="s">
        <v>54</v>
      </c>
      <c r="B4" s="17" t="s">
        <v>5</v>
      </c>
      <c r="C4" s="18"/>
      <c r="D4" s="19" t="s">
        <v>433</v>
      </c>
      <c r="E4" s="18" t="s">
        <v>50</v>
      </c>
      <c r="F4" s="21"/>
      <c r="G4" s="21" t="s">
        <v>434</v>
      </c>
      <c r="H4" s="22"/>
      <c r="I4" s="23" t="s">
        <v>65</v>
      </c>
      <c r="J4" s="25" t="s">
        <v>61</v>
      </c>
    </row>
    <row r="5" spans="1:12" ht="144">
      <c r="A5" s="17" t="s">
        <v>54</v>
      </c>
      <c r="B5" s="17" t="s">
        <v>5</v>
      </c>
      <c r="C5" s="18"/>
      <c r="D5" s="19" t="s">
        <v>435</v>
      </c>
      <c r="E5" s="18" t="s">
        <v>50</v>
      </c>
      <c r="F5" s="47"/>
      <c r="G5" s="47" t="s">
        <v>436</v>
      </c>
      <c r="H5" s="22"/>
      <c r="I5" s="23" t="s">
        <v>65</v>
      </c>
      <c r="J5" s="50" t="s">
        <v>61</v>
      </c>
    </row>
    <row r="6" spans="1:12" ht="115.2">
      <c r="A6" s="17" t="s">
        <v>54</v>
      </c>
      <c r="B6" s="17" t="s">
        <v>5</v>
      </c>
      <c r="C6" s="18"/>
      <c r="D6" s="19" t="s">
        <v>437</v>
      </c>
      <c r="E6" s="18" t="s">
        <v>50</v>
      </c>
      <c r="F6" s="20"/>
      <c r="G6" s="21" t="s">
        <v>438</v>
      </c>
      <c r="H6" s="22"/>
      <c r="I6" s="23" t="s">
        <v>65</v>
      </c>
      <c r="J6" s="25" t="s">
        <v>61</v>
      </c>
    </row>
    <row r="7" spans="1:12" ht="158.4">
      <c r="A7" s="17" t="s">
        <v>54</v>
      </c>
      <c r="B7" s="17" t="s">
        <v>5</v>
      </c>
      <c r="C7" s="18"/>
      <c r="D7" s="29" t="s">
        <v>439</v>
      </c>
      <c r="E7" s="18" t="s">
        <v>50</v>
      </c>
      <c r="F7" s="57"/>
      <c r="G7" s="21" t="s">
        <v>440</v>
      </c>
      <c r="H7" s="23"/>
      <c r="I7" s="23" t="s">
        <v>53</v>
      </c>
      <c r="J7" s="50">
        <v>2</v>
      </c>
    </row>
    <row r="8" spans="1:12" ht="187.2">
      <c r="A8" s="17" t="s">
        <v>54</v>
      </c>
      <c r="B8" s="17" t="s">
        <v>5</v>
      </c>
      <c r="C8" s="18"/>
      <c r="D8" s="29" t="s">
        <v>441</v>
      </c>
      <c r="E8" s="28" t="s">
        <v>50</v>
      </c>
      <c r="F8" s="20"/>
      <c r="G8" s="21" t="s">
        <v>442</v>
      </c>
      <c r="H8" s="23"/>
      <c r="I8" s="23" t="s">
        <v>65</v>
      </c>
      <c r="J8" s="50" t="s">
        <v>61</v>
      </c>
    </row>
    <row r="9" spans="1:12" ht="129.6">
      <c r="A9" s="17" t="s">
        <v>54</v>
      </c>
      <c r="B9" s="17" t="s">
        <v>5</v>
      </c>
      <c r="C9" s="18"/>
      <c r="D9" s="29" t="s">
        <v>443</v>
      </c>
      <c r="E9" s="28" t="s">
        <v>50</v>
      </c>
      <c r="F9" s="20"/>
      <c r="G9" s="21" t="s">
        <v>444</v>
      </c>
      <c r="H9" s="23"/>
      <c r="I9" s="23" t="s">
        <v>53</v>
      </c>
      <c r="J9" s="50">
        <v>2</v>
      </c>
    </row>
  </sheetData>
  <conditionalFormatting sqref="H7:I9">
    <cfRule type="cellIs" dxfId="31" priority="1" stopIfTrue="1" operator="equal">
      <formula>"Must"</formula>
    </cfRule>
  </conditionalFormatting>
  <conditionalFormatting sqref="I1:I9">
    <cfRule type="cellIs" dxfId="30" priority="2" stopIfTrue="1" operator="equal">
      <formula>"Standard"</formula>
    </cfRule>
    <cfRule type="cellIs" dxfId="29" priority="3" stopIfTrue="1" operator="equal">
      <formula>"Configuration"</formula>
    </cfRule>
    <cfRule type="cellIs" dxfId="28" priority="4" stopIfTrue="1" operator="equal">
      <formula>"Extension"</formula>
    </cfRule>
  </conditionalFormatting>
  <dataValidations count="4">
    <dataValidation type="list" allowBlank="1" showInputMessage="1" showErrorMessage="1" sqref="B2:B9" xr:uid="{6A2B043B-EC8A-403F-9A8D-3C680F84FCF1}">
      <formula1>"Sample, Stock, Instrument, Retain, Report&amp;Label, Security, Training, Dashboard, Notification,  Assignment, Interface, IM Integartion, LES"</formula1>
    </dataValidation>
    <dataValidation type="list" allowBlank="1" showInputMessage="1" showErrorMessage="1" sqref="I2:I9" xr:uid="{1398EBF1-1268-4CE7-BCE3-D9D3AA2E9F4F}">
      <formula1>"Standard,Configuration,Extension,Customisation,Interface,Later Phase,Link,Out Of Scope,Business Proc Only"</formula1>
    </dataValidation>
    <dataValidation type="list" allowBlank="1" showErrorMessage="1" sqref="I2:I9" xr:uid="{054FC2A6-1951-491F-8D0E-33347CC4D76A}">
      <formula1>"Standard,Configuration,Extension,Customisation,Interface,Later Phase,Link,Out Of Scope,Business Proc Only"</formula1>
    </dataValidation>
    <dataValidation type="list" allowBlank="1" showInputMessage="1" showErrorMessage="1" sqref="H2:H9" xr:uid="{461CFD03-CA9F-4A7C-9688-DD02A7E781FF}">
      <formula1>"Must,Should, Could, Wont"</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17FB-6688-4E5E-B754-BA9D3F26D1F0}">
  <dimension ref="A1:L2"/>
  <sheetViews>
    <sheetView tabSelected="1" workbookViewId="0">
      <selection activeCell="I7" sqref="I7"/>
    </sheetView>
  </sheetViews>
  <sheetFormatPr defaultRowHeight="14.4"/>
  <sheetData>
    <row r="1" spans="1:12" ht="57.6">
      <c r="A1" s="14" t="s">
        <v>37</v>
      </c>
      <c r="B1" s="14" t="s">
        <v>38</v>
      </c>
      <c r="C1" s="14" t="s">
        <v>39</v>
      </c>
      <c r="D1" s="15" t="s">
        <v>40</v>
      </c>
      <c r="E1" s="15" t="s">
        <v>41</v>
      </c>
      <c r="F1" s="16" t="s">
        <v>42</v>
      </c>
      <c r="G1" s="16" t="s">
        <v>43</v>
      </c>
      <c r="H1" s="16" t="s">
        <v>44</v>
      </c>
      <c r="I1" s="14" t="s">
        <v>45</v>
      </c>
      <c r="J1" s="14" t="s">
        <v>46</v>
      </c>
    </row>
    <row r="2" spans="1:12" ht="273.60000000000002">
      <c r="A2" s="17" t="s">
        <v>54</v>
      </c>
      <c r="B2" s="17" t="s">
        <v>6</v>
      </c>
      <c r="C2" s="18"/>
      <c r="D2" s="61" t="s">
        <v>427</v>
      </c>
      <c r="E2" s="18" t="s">
        <v>50</v>
      </c>
      <c r="F2" s="22"/>
      <c r="G2" s="21" t="s">
        <v>428</v>
      </c>
      <c r="H2" s="22"/>
      <c r="I2" s="23" t="s">
        <v>65</v>
      </c>
      <c r="J2" s="65">
        <v>2</v>
      </c>
      <c r="L2">
        <f>SUM(J1:J119)</f>
        <v>2</v>
      </c>
    </row>
  </sheetData>
  <conditionalFormatting sqref="I1:I2">
    <cfRule type="cellIs" dxfId="27" priority="1" stopIfTrue="1" operator="equal">
      <formula>"Standard"</formula>
    </cfRule>
    <cfRule type="cellIs" dxfId="26" priority="2" stopIfTrue="1" operator="equal">
      <formula>"Configuration"</formula>
    </cfRule>
    <cfRule type="cellIs" dxfId="25" priority="3" stopIfTrue="1" operator="equal">
      <formula>"Extension"</formula>
    </cfRule>
  </conditionalFormatting>
  <dataValidations count="4">
    <dataValidation type="list" allowBlank="1" showInputMessage="1" showErrorMessage="1" sqref="B2" xr:uid="{0A06FF7D-A847-4D51-88C4-E95037F49A2C}">
      <formula1>"Sample, Stock, Instrument, Retain, Report&amp;Label, Security, Training, Dashboard, Notification,  Assignment, Interface, IM Integartion, LES"</formula1>
    </dataValidation>
    <dataValidation type="list" allowBlank="1" showInputMessage="1" showErrorMessage="1" sqref="I2" xr:uid="{1D9F9329-3993-4C3C-A0A7-0349FABA956B}">
      <formula1>"Standard,Configuration,Extension,Customisation,Interface,Later Phase,Link,Out Of Scope,Business Proc Only"</formula1>
    </dataValidation>
    <dataValidation type="list" allowBlank="1" showErrorMessage="1" sqref="I2" xr:uid="{124E78BC-1EB6-499C-873A-9BC63E629124}">
      <formula1>"Standard,Configuration,Extension,Customisation,Interface,Later Phase,Link,Out Of Scope,Business Proc Only"</formula1>
    </dataValidation>
    <dataValidation type="list" allowBlank="1" showInputMessage="1" showErrorMessage="1" sqref="H2" xr:uid="{E03BA167-51FF-4EA8-8378-332CB7E655F8}">
      <formula1>"Must,Should, Could, Wont"</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5F99-024F-4DD1-A705-EBC09D235475}">
  <dimension ref="A1:N35"/>
  <sheetViews>
    <sheetView workbookViewId="0">
      <selection activeCell="N3" sqref="N3"/>
    </sheetView>
  </sheetViews>
  <sheetFormatPr defaultRowHeight="14.4"/>
  <sheetData>
    <row r="1" spans="1:14" ht="57.6">
      <c r="A1" s="14" t="s">
        <v>37</v>
      </c>
      <c r="B1" s="14" t="s">
        <v>38</v>
      </c>
      <c r="C1" s="14" t="s">
        <v>39</v>
      </c>
      <c r="D1" s="15" t="s">
        <v>40</v>
      </c>
      <c r="E1" s="15" t="s">
        <v>41</v>
      </c>
      <c r="F1" s="16" t="s">
        <v>42</v>
      </c>
      <c r="G1" s="16" t="s">
        <v>43</v>
      </c>
      <c r="H1" s="16" t="s">
        <v>44</v>
      </c>
      <c r="I1" s="14" t="s">
        <v>45</v>
      </c>
      <c r="J1" s="14" t="s">
        <v>46</v>
      </c>
    </row>
    <row r="2" spans="1:14" ht="158.4">
      <c r="A2" s="17" t="s">
        <v>47</v>
      </c>
      <c r="B2" s="17" t="s">
        <v>7</v>
      </c>
      <c r="C2" s="18" t="s">
        <v>357</v>
      </c>
      <c r="D2" s="19" t="s">
        <v>358</v>
      </c>
      <c r="E2" s="18" t="s">
        <v>50</v>
      </c>
      <c r="F2" s="20"/>
      <c r="G2" s="67" t="s">
        <v>359</v>
      </c>
      <c r="H2" s="22"/>
      <c r="I2" s="23" t="s">
        <v>65</v>
      </c>
      <c r="J2" s="25" t="s">
        <v>61</v>
      </c>
      <c r="L2">
        <f>SUM(J1:J119)</f>
        <v>11</v>
      </c>
      <c r="N2">
        <f>SUMIF(E:E,"phase B",J:J)</f>
        <v>0</v>
      </c>
    </row>
    <row r="3" spans="1:14" ht="100.8">
      <c r="A3" s="17" t="s">
        <v>54</v>
      </c>
      <c r="B3" s="17" t="s">
        <v>7</v>
      </c>
      <c r="C3" s="18" t="s">
        <v>360</v>
      </c>
      <c r="D3" s="19" t="s">
        <v>361</v>
      </c>
      <c r="E3" s="18" t="s">
        <v>50</v>
      </c>
      <c r="F3" s="20"/>
      <c r="G3" s="21" t="s">
        <v>362</v>
      </c>
      <c r="H3" s="22" t="s">
        <v>52</v>
      </c>
      <c r="I3" s="23" t="s">
        <v>65</v>
      </c>
      <c r="J3" s="25" t="s">
        <v>61</v>
      </c>
    </row>
    <row r="4" spans="1:14" ht="86.4">
      <c r="A4" s="17" t="s">
        <v>47</v>
      </c>
      <c r="B4" s="17" t="s">
        <v>7</v>
      </c>
      <c r="C4" s="18"/>
      <c r="D4" s="42" t="s">
        <v>363</v>
      </c>
      <c r="E4" s="18" t="s">
        <v>200</v>
      </c>
      <c r="F4" s="20"/>
      <c r="G4" s="31" t="s">
        <v>364</v>
      </c>
      <c r="H4" s="22"/>
      <c r="I4" s="23" t="s">
        <v>65</v>
      </c>
      <c r="J4" s="3" t="s">
        <v>61</v>
      </c>
    </row>
    <row r="5" spans="1:14" ht="158.4">
      <c r="A5" s="17" t="s">
        <v>54</v>
      </c>
      <c r="B5" s="17" t="s">
        <v>7</v>
      </c>
      <c r="C5" s="18"/>
      <c r="D5" s="59" t="s">
        <v>365</v>
      </c>
      <c r="E5" s="18" t="s">
        <v>50</v>
      </c>
      <c r="F5" s="47"/>
      <c r="G5" s="21" t="s">
        <v>366</v>
      </c>
      <c r="H5" s="23"/>
      <c r="I5" s="23" t="s">
        <v>53</v>
      </c>
      <c r="J5" s="50" t="s">
        <v>61</v>
      </c>
    </row>
    <row r="6" spans="1:14" ht="100.8">
      <c r="A6" s="17" t="s">
        <v>54</v>
      </c>
      <c r="B6" s="17" t="s">
        <v>7</v>
      </c>
      <c r="C6" s="18"/>
      <c r="D6" s="58" t="s">
        <v>367</v>
      </c>
      <c r="E6" s="18" t="s">
        <v>50</v>
      </c>
      <c r="F6" s="20"/>
      <c r="G6" s="21" t="s">
        <v>368</v>
      </c>
      <c r="H6" s="22"/>
      <c r="I6" s="23" t="s">
        <v>53</v>
      </c>
      <c r="J6" s="25" t="s">
        <v>61</v>
      </c>
    </row>
    <row r="7" spans="1:14" ht="158.4">
      <c r="A7" s="17" t="s">
        <v>54</v>
      </c>
      <c r="B7" s="17" t="s">
        <v>7</v>
      </c>
      <c r="C7" s="18"/>
      <c r="D7" s="58" t="s">
        <v>369</v>
      </c>
      <c r="E7" s="18" t="s">
        <v>50</v>
      </c>
      <c r="F7" s="20"/>
      <c r="G7" s="21" t="s">
        <v>370</v>
      </c>
      <c r="H7" s="22"/>
      <c r="I7" s="23" t="s">
        <v>65</v>
      </c>
      <c r="J7" s="25">
        <v>10</v>
      </c>
    </row>
    <row r="8" spans="1:14" ht="115.2">
      <c r="A8" s="17" t="s">
        <v>54</v>
      </c>
      <c r="B8" s="17" t="s">
        <v>7</v>
      </c>
      <c r="C8" s="18"/>
      <c r="D8" s="59" t="s">
        <v>371</v>
      </c>
      <c r="E8" s="18" t="s">
        <v>50</v>
      </c>
      <c r="F8" s="57"/>
      <c r="G8" s="21" t="s">
        <v>372</v>
      </c>
      <c r="H8" s="23"/>
      <c r="I8" s="23" t="s">
        <v>65</v>
      </c>
      <c r="J8" s="50" t="s">
        <v>61</v>
      </c>
    </row>
    <row r="9" spans="1:14" ht="72">
      <c r="A9" s="17" t="s">
        <v>54</v>
      </c>
      <c r="B9" s="17" t="s">
        <v>7</v>
      </c>
      <c r="C9" s="18"/>
      <c r="D9" s="58" t="s">
        <v>373</v>
      </c>
      <c r="E9" s="18" t="s">
        <v>50</v>
      </c>
      <c r="F9" s="21"/>
      <c r="G9" s="21" t="s">
        <v>374</v>
      </c>
      <c r="H9" s="22"/>
      <c r="I9" s="23" t="s">
        <v>65</v>
      </c>
      <c r="J9" s="25" t="s">
        <v>61</v>
      </c>
    </row>
    <row r="10" spans="1:14" ht="201.6">
      <c r="A10" s="17" t="s">
        <v>54</v>
      </c>
      <c r="B10" s="17" t="s">
        <v>7</v>
      </c>
      <c r="C10" s="18"/>
      <c r="D10" s="59" t="s">
        <v>375</v>
      </c>
      <c r="E10" s="18" t="s">
        <v>50</v>
      </c>
      <c r="F10" s="21"/>
      <c r="G10" s="21" t="s">
        <v>376</v>
      </c>
      <c r="H10" s="23"/>
      <c r="I10" s="23" t="s">
        <v>65</v>
      </c>
      <c r="J10" s="50" t="s">
        <v>61</v>
      </c>
    </row>
    <row r="11" spans="1:14" ht="302.39999999999998">
      <c r="A11" s="17" t="s">
        <v>54</v>
      </c>
      <c r="B11" s="17" t="s">
        <v>7</v>
      </c>
      <c r="C11" s="18"/>
      <c r="D11" s="58" t="s">
        <v>377</v>
      </c>
      <c r="E11" s="18" t="s">
        <v>50</v>
      </c>
      <c r="F11" s="21"/>
      <c r="G11" s="21" t="s">
        <v>378</v>
      </c>
      <c r="H11" s="22"/>
      <c r="I11" s="23" t="s">
        <v>65</v>
      </c>
      <c r="J11" s="25" t="s">
        <v>61</v>
      </c>
    </row>
    <row r="12" spans="1:14" ht="302.39999999999998">
      <c r="A12" s="17" t="s">
        <v>54</v>
      </c>
      <c r="B12" s="17" t="s">
        <v>7</v>
      </c>
      <c r="C12" s="18"/>
      <c r="D12" s="59" t="s">
        <v>379</v>
      </c>
      <c r="E12" s="18" t="s">
        <v>50</v>
      </c>
      <c r="F12" s="21"/>
      <c r="G12" s="21" t="s">
        <v>380</v>
      </c>
      <c r="H12" s="23"/>
      <c r="I12" s="23" t="s">
        <v>65</v>
      </c>
      <c r="J12" s="50" t="s">
        <v>61</v>
      </c>
    </row>
    <row r="13" spans="1:14" ht="187.2">
      <c r="A13" s="17" t="s">
        <v>54</v>
      </c>
      <c r="B13" s="17" t="s">
        <v>7</v>
      </c>
      <c r="C13" s="18"/>
      <c r="D13" s="59" t="s">
        <v>381</v>
      </c>
      <c r="E13" s="28" t="s">
        <v>50</v>
      </c>
      <c r="F13" s="47"/>
      <c r="G13" s="21" t="s">
        <v>382</v>
      </c>
      <c r="H13" s="23"/>
      <c r="I13" s="23" t="s">
        <v>65</v>
      </c>
      <c r="J13" s="50" t="s">
        <v>61</v>
      </c>
    </row>
    <row r="14" spans="1:14" ht="144">
      <c r="A14" s="17" t="s">
        <v>54</v>
      </c>
      <c r="B14" s="17" t="s">
        <v>7</v>
      </c>
      <c r="C14" s="18"/>
      <c r="D14" s="58" t="s">
        <v>383</v>
      </c>
      <c r="E14" s="18" t="s">
        <v>50</v>
      </c>
      <c r="F14" s="21"/>
      <c r="G14" s="21" t="s">
        <v>384</v>
      </c>
      <c r="H14" s="22"/>
      <c r="I14" s="23" t="s">
        <v>65</v>
      </c>
      <c r="J14" s="25" t="s">
        <v>61</v>
      </c>
    </row>
    <row r="15" spans="1:14" ht="100.8">
      <c r="A15" s="17" t="s">
        <v>54</v>
      </c>
      <c r="B15" s="17" t="s">
        <v>7</v>
      </c>
      <c r="C15" s="18"/>
      <c r="D15" s="58" t="s">
        <v>385</v>
      </c>
      <c r="E15" s="18" t="s">
        <v>50</v>
      </c>
      <c r="F15" s="21"/>
      <c r="G15" s="21" t="s">
        <v>386</v>
      </c>
      <c r="H15" s="22"/>
      <c r="I15" s="23" t="s">
        <v>65</v>
      </c>
      <c r="J15" s="25" t="s">
        <v>61</v>
      </c>
    </row>
    <row r="16" spans="1:14" ht="144">
      <c r="A16" s="17" t="s">
        <v>54</v>
      </c>
      <c r="B16" s="17" t="s">
        <v>7</v>
      </c>
      <c r="C16" s="18"/>
      <c r="D16" s="55" t="s">
        <v>387</v>
      </c>
      <c r="E16" s="18" t="s">
        <v>50</v>
      </c>
      <c r="F16" s="21"/>
      <c r="G16" s="21" t="s">
        <v>388</v>
      </c>
      <c r="H16" s="22"/>
      <c r="I16" s="23" t="s">
        <v>65</v>
      </c>
      <c r="J16" s="25" t="s">
        <v>61</v>
      </c>
    </row>
    <row r="17" spans="1:10" ht="115.2">
      <c r="A17" s="17" t="s">
        <v>54</v>
      </c>
      <c r="B17" s="17" t="s">
        <v>7</v>
      </c>
      <c r="C17" s="18"/>
      <c r="D17" s="51" t="s">
        <v>389</v>
      </c>
      <c r="E17" s="18" t="s">
        <v>50</v>
      </c>
      <c r="F17" s="47"/>
      <c r="G17" s="21" t="s">
        <v>390</v>
      </c>
      <c r="H17" s="23"/>
      <c r="I17" s="23" t="s">
        <v>65</v>
      </c>
      <c r="J17" s="50" t="s">
        <v>61</v>
      </c>
    </row>
    <row r="18" spans="1:10" ht="129.6">
      <c r="A18" s="17" t="s">
        <v>54</v>
      </c>
      <c r="B18" s="17" t="s">
        <v>7</v>
      </c>
      <c r="C18" s="60"/>
      <c r="D18" s="51" t="s">
        <v>391</v>
      </c>
      <c r="E18" s="28" t="s">
        <v>50</v>
      </c>
      <c r="F18" s="57"/>
      <c r="G18" s="21" t="s">
        <v>392</v>
      </c>
      <c r="H18" s="68"/>
      <c r="I18" s="23" t="s">
        <v>65</v>
      </c>
      <c r="J18" s="69" t="s">
        <v>61</v>
      </c>
    </row>
    <row r="19" spans="1:10" ht="100.8">
      <c r="A19" s="17" t="s">
        <v>54</v>
      </c>
      <c r="B19" s="17" t="s">
        <v>7</v>
      </c>
      <c r="C19" s="60"/>
      <c r="D19" s="51" t="s">
        <v>393</v>
      </c>
      <c r="E19" s="28" t="s">
        <v>50</v>
      </c>
      <c r="F19" s="57"/>
      <c r="G19" s="21" t="s">
        <v>394</v>
      </c>
      <c r="H19" s="68"/>
      <c r="I19" s="23" t="s">
        <v>65</v>
      </c>
      <c r="J19" s="69" t="s">
        <v>61</v>
      </c>
    </row>
    <row r="20" spans="1:10" ht="259.2">
      <c r="A20" s="17" t="s">
        <v>54</v>
      </c>
      <c r="B20" s="17" t="s">
        <v>7</v>
      </c>
      <c r="C20" s="18"/>
      <c r="D20" s="19" t="s">
        <v>395</v>
      </c>
      <c r="E20" s="18" t="s">
        <v>50</v>
      </c>
      <c r="F20" s="22"/>
      <c r="G20" s="31" t="s">
        <v>396</v>
      </c>
      <c r="H20" s="22"/>
      <c r="I20" s="23" t="s">
        <v>65</v>
      </c>
      <c r="J20" s="65" t="s">
        <v>61</v>
      </c>
    </row>
    <row r="21" spans="1:10" ht="273.60000000000002">
      <c r="A21" s="17" t="s">
        <v>54</v>
      </c>
      <c r="B21" s="17" t="s">
        <v>7</v>
      </c>
      <c r="C21" s="18"/>
      <c r="D21" s="19" t="s">
        <v>397</v>
      </c>
      <c r="E21" s="18" t="s">
        <v>50</v>
      </c>
      <c r="F21" s="22"/>
      <c r="G21" s="21" t="s">
        <v>398</v>
      </c>
      <c r="H21" s="22"/>
      <c r="I21" s="23" t="s">
        <v>65</v>
      </c>
      <c r="J21" s="65" t="s">
        <v>61</v>
      </c>
    </row>
    <row r="22" spans="1:10" ht="100.8">
      <c r="A22" s="17" t="s">
        <v>54</v>
      </c>
      <c r="B22" s="17" t="s">
        <v>7</v>
      </c>
      <c r="C22" s="28"/>
      <c r="D22" s="19" t="s">
        <v>399</v>
      </c>
      <c r="E22" s="18" t="s">
        <v>50</v>
      </c>
      <c r="F22" s="22"/>
      <c r="G22" s="21" t="s">
        <v>400</v>
      </c>
      <c r="H22" s="22"/>
      <c r="I22" s="23" t="s">
        <v>65</v>
      </c>
      <c r="J22" s="65" t="s">
        <v>61</v>
      </c>
    </row>
    <row r="23" spans="1:10" ht="230.4">
      <c r="A23" s="17" t="s">
        <v>54</v>
      </c>
      <c r="B23" s="17" t="s">
        <v>7</v>
      </c>
      <c r="C23" s="18"/>
      <c r="D23" s="19" t="s">
        <v>401</v>
      </c>
      <c r="E23" s="18" t="s">
        <v>50</v>
      </c>
      <c r="F23" s="22"/>
      <c r="G23" s="21" t="s">
        <v>402</v>
      </c>
      <c r="H23" s="22"/>
      <c r="I23" s="23" t="s">
        <v>65</v>
      </c>
      <c r="J23" s="65" t="s">
        <v>61</v>
      </c>
    </row>
    <row r="24" spans="1:10" ht="259.2">
      <c r="A24" s="17" t="s">
        <v>54</v>
      </c>
      <c r="B24" s="17" t="s">
        <v>7</v>
      </c>
      <c r="C24" s="18"/>
      <c r="D24" s="19" t="s">
        <v>403</v>
      </c>
      <c r="E24" s="18" t="s">
        <v>50</v>
      </c>
      <c r="F24" s="22"/>
      <c r="G24" s="21" t="s">
        <v>404</v>
      </c>
      <c r="H24" s="22"/>
      <c r="I24" s="23" t="s">
        <v>65</v>
      </c>
      <c r="J24" s="65" t="s">
        <v>61</v>
      </c>
    </row>
    <row r="25" spans="1:10" ht="187.2">
      <c r="A25" s="17" t="s">
        <v>54</v>
      </c>
      <c r="B25" s="17" t="s">
        <v>7</v>
      </c>
      <c r="C25" s="28"/>
      <c r="D25" s="19" t="s">
        <v>405</v>
      </c>
      <c r="E25" s="18" t="s">
        <v>50</v>
      </c>
      <c r="F25" s="22"/>
      <c r="G25" s="21" t="s">
        <v>406</v>
      </c>
      <c r="H25" s="22"/>
      <c r="I25" s="23" t="s">
        <v>65</v>
      </c>
      <c r="J25" s="65" t="s">
        <v>61</v>
      </c>
    </row>
    <row r="26" spans="1:10" ht="115.2">
      <c r="A26" s="17" t="s">
        <v>54</v>
      </c>
      <c r="B26" s="17" t="s">
        <v>7</v>
      </c>
      <c r="C26" s="18"/>
      <c r="D26" s="19" t="s">
        <v>407</v>
      </c>
      <c r="E26" s="18" t="s">
        <v>50</v>
      </c>
      <c r="F26" s="22"/>
      <c r="G26" s="21" t="s">
        <v>408</v>
      </c>
      <c r="H26" s="22"/>
      <c r="I26" s="23" t="s">
        <v>65</v>
      </c>
      <c r="J26" s="65" t="s">
        <v>61</v>
      </c>
    </row>
    <row r="27" spans="1:10" ht="158.4">
      <c r="A27" s="17" t="s">
        <v>54</v>
      </c>
      <c r="B27" s="17" t="s">
        <v>7</v>
      </c>
      <c r="C27" s="28"/>
      <c r="D27" s="19" t="s">
        <v>409</v>
      </c>
      <c r="E27" s="18" t="s">
        <v>50</v>
      </c>
      <c r="F27" s="22"/>
      <c r="G27" s="21" t="s">
        <v>410</v>
      </c>
      <c r="H27" s="22"/>
      <c r="I27" s="23" t="s">
        <v>65</v>
      </c>
      <c r="J27" s="65" t="s">
        <v>61</v>
      </c>
    </row>
    <row r="28" spans="1:10" ht="172.8">
      <c r="A28" s="17" t="s">
        <v>54</v>
      </c>
      <c r="B28" s="17" t="s">
        <v>7</v>
      </c>
      <c r="C28" s="28"/>
      <c r="D28" s="19" t="s">
        <v>411</v>
      </c>
      <c r="E28" s="18" t="s">
        <v>50</v>
      </c>
      <c r="F28" s="22"/>
      <c r="G28" s="21" t="s">
        <v>412</v>
      </c>
      <c r="H28" s="22"/>
      <c r="I28" s="23" t="s">
        <v>65</v>
      </c>
      <c r="J28" s="65" t="s">
        <v>61</v>
      </c>
    </row>
    <row r="29" spans="1:10" ht="216">
      <c r="A29" s="17" t="s">
        <v>54</v>
      </c>
      <c r="B29" s="17" t="s">
        <v>7</v>
      </c>
      <c r="C29" s="18"/>
      <c r="D29" s="19" t="s">
        <v>413</v>
      </c>
      <c r="E29" s="18" t="s">
        <v>50</v>
      </c>
      <c r="F29" s="22"/>
      <c r="G29" s="21" t="s">
        <v>414</v>
      </c>
      <c r="H29" s="22"/>
      <c r="I29" s="23" t="s">
        <v>65</v>
      </c>
      <c r="J29" s="65" t="s">
        <v>61</v>
      </c>
    </row>
    <row r="30" spans="1:10" ht="230.4">
      <c r="A30" s="17" t="s">
        <v>54</v>
      </c>
      <c r="B30" s="17" t="s">
        <v>7</v>
      </c>
      <c r="C30" s="28"/>
      <c r="D30" s="19" t="s">
        <v>415</v>
      </c>
      <c r="E30" s="18" t="s">
        <v>50</v>
      </c>
      <c r="F30" s="22"/>
      <c r="G30" s="21" t="s">
        <v>416</v>
      </c>
      <c r="H30" s="22"/>
      <c r="I30" s="23" t="s">
        <v>65</v>
      </c>
      <c r="J30" s="65" t="s">
        <v>61</v>
      </c>
    </row>
    <row r="31" spans="1:10" ht="216">
      <c r="A31" s="17" t="s">
        <v>54</v>
      </c>
      <c r="B31" s="17" t="s">
        <v>7</v>
      </c>
      <c r="C31" s="18"/>
      <c r="D31" s="19" t="s">
        <v>417</v>
      </c>
      <c r="E31" s="18" t="s">
        <v>50</v>
      </c>
      <c r="F31" s="22"/>
      <c r="G31" s="21" t="s">
        <v>418</v>
      </c>
      <c r="H31" s="22"/>
      <c r="I31" s="23" t="s">
        <v>53</v>
      </c>
      <c r="J31" s="65">
        <v>1</v>
      </c>
    </row>
    <row r="32" spans="1:10" ht="100.8">
      <c r="A32" s="17" t="s">
        <v>54</v>
      </c>
      <c r="B32" s="17" t="s">
        <v>7</v>
      </c>
      <c r="C32" s="18"/>
      <c r="D32" s="19" t="s">
        <v>419</v>
      </c>
      <c r="E32" s="18" t="s">
        <v>50</v>
      </c>
      <c r="F32" s="22"/>
      <c r="G32" s="21" t="s">
        <v>420</v>
      </c>
      <c r="H32" s="22"/>
      <c r="I32" s="23" t="s">
        <v>65</v>
      </c>
      <c r="J32" s="65" t="s">
        <v>61</v>
      </c>
    </row>
    <row r="33" spans="1:10" ht="100.8">
      <c r="A33" s="17" t="s">
        <v>54</v>
      </c>
      <c r="B33" s="17" t="s">
        <v>7</v>
      </c>
      <c r="C33" s="18"/>
      <c r="D33" s="19" t="s">
        <v>421</v>
      </c>
      <c r="E33" s="18" t="s">
        <v>50</v>
      </c>
      <c r="F33" s="22"/>
      <c r="G33" s="21" t="s">
        <v>422</v>
      </c>
      <c r="H33" s="22"/>
      <c r="I33" s="23" t="s">
        <v>65</v>
      </c>
      <c r="J33" s="65" t="s">
        <v>61</v>
      </c>
    </row>
    <row r="34" spans="1:10" ht="100.8">
      <c r="A34" s="17" t="s">
        <v>54</v>
      </c>
      <c r="B34" s="17" t="s">
        <v>7</v>
      </c>
      <c r="C34" s="18"/>
      <c r="D34" s="19" t="s">
        <v>423</v>
      </c>
      <c r="E34" s="18" t="s">
        <v>50</v>
      </c>
      <c r="F34" s="22"/>
      <c r="G34" s="21" t="s">
        <v>424</v>
      </c>
      <c r="H34" s="22"/>
      <c r="I34" s="23" t="s">
        <v>65</v>
      </c>
      <c r="J34" s="65" t="s">
        <v>61</v>
      </c>
    </row>
    <row r="35" spans="1:10" ht="172.8">
      <c r="A35" s="17" t="s">
        <v>54</v>
      </c>
      <c r="B35" s="17" t="s">
        <v>7</v>
      </c>
      <c r="C35" s="18"/>
      <c r="D35" s="19" t="s">
        <v>425</v>
      </c>
      <c r="E35" s="18" t="s">
        <v>50</v>
      </c>
      <c r="F35" s="22"/>
      <c r="G35" s="21" t="s">
        <v>426</v>
      </c>
      <c r="H35" s="22"/>
      <c r="I35" s="23" t="s">
        <v>65</v>
      </c>
      <c r="J35" s="65" t="s">
        <v>61</v>
      </c>
    </row>
  </sheetData>
  <conditionalFormatting sqref="H2:I3 H5:I5 H8:I8 H10:I10 H12:I13 H17:I19">
    <cfRule type="cellIs" dxfId="24" priority="1" stopIfTrue="1" operator="equal">
      <formula>"Must"</formula>
    </cfRule>
  </conditionalFormatting>
  <conditionalFormatting sqref="I1:I35">
    <cfRule type="cellIs" dxfId="23" priority="2" stopIfTrue="1" operator="equal">
      <formula>"Standard"</formula>
    </cfRule>
    <cfRule type="cellIs" dxfId="22" priority="3" stopIfTrue="1" operator="equal">
      <formula>"Configuration"</formula>
    </cfRule>
    <cfRule type="cellIs" dxfId="21" priority="4" stopIfTrue="1" operator="equal">
      <formula>"Extension"</formula>
    </cfRule>
  </conditionalFormatting>
  <dataValidations count="6">
    <dataValidation type="list" allowBlank="1" showInputMessage="1" showErrorMessage="1" sqref="B2:B3" xr:uid="{C28DB646-DAAD-42A7-88F1-A7ED2B97188C}">
      <formula1>"Sample, Stock, Instrument, Retain, Report&amp;Label, Security, Training, Dashboard, Notification,  Assignment, Interface, IM Integartion"</formula1>
    </dataValidation>
    <dataValidation type="list" allowBlank="1" showInputMessage="1" showErrorMessage="1" sqref="I2:I35" xr:uid="{E6A301A7-A960-4E6E-9C45-F55D2136183E}">
      <formula1>"Standard,Configuration,Extension,Customisation,Interface,Later Phase,Link,Out Of Scope,Business Proc Only"</formula1>
    </dataValidation>
    <dataValidation type="list" allowBlank="1" showErrorMessage="1" sqref="I2:I35" xr:uid="{CFE19E48-91E8-4A2B-A5D2-A8FBCF713E0D}">
      <formula1>"Standard,Configuration,Extension,Customisation,Interface,Later Phase,Link,Out Of Scope,Business Proc Only"</formula1>
    </dataValidation>
    <dataValidation type="list" allowBlank="1" showInputMessage="1" showErrorMessage="1" sqref="E2:E6" xr:uid="{EA7AB164-8B7E-47F7-9C49-A21C88C04674}">
      <formula1>"Phase A, Phase B"</formula1>
    </dataValidation>
    <dataValidation type="list" allowBlank="1" showInputMessage="1" showErrorMessage="1" sqref="H2:H35" xr:uid="{E8C96285-D5C3-4BCC-B805-CA5B7665FEF0}">
      <formula1>"Must,Should, Could, Wont"</formula1>
    </dataValidation>
    <dataValidation type="list" allowBlank="1" showInputMessage="1" showErrorMessage="1" sqref="B4:B35" xr:uid="{2C8EBFCB-BF46-49AC-A53A-3D87F0B9CBF8}">
      <formula1>"Sample, Stock, Instrument, Retain, Report&amp;Label, Security, Training, Dashboard, Notification,  Assignment, Interface, IM Integartion, LES"</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0550-F8DE-486E-88BA-79C9511BDB9A}">
  <dimension ref="A1:O14"/>
  <sheetViews>
    <sheetView workbookViewId="0">
      <selection activeCell="O2" sqref="O2"/>
    </sheetView>
  </sheetViews>
  <sheetFormatPr defaultRowHeight="14.4"/>
  <sheetData>
    <row r="1" spans="1:15" s="17" customFormat="1" ht="90" customHeight="1">
      <c r="A1" s="18" t="s">
        <v>47</v>
      </c>
      <c r="B1" s="18"/>
      <c r="C1" s="70"/>
      <c r="D1" s="71" t="s">
        <v>445</v>
      </c>
      <c r="E1" s="72"/>
      <c r="F1" s="73" t="s">
        <v>446</v>
      </c>
      <c r="G1" s="74" t="s">
        <v>447</v>
      </c>
      <c r="H1" s="43" t="s">
        <v>52</v>
      </c>
      <c r="I1" s="75"/>
      <c r="J1" s="76"/>
      <c r="K1" s="77"/>
    </row>
    <row r="2" spans="1:15" s="17" customFormat="1" ht="90" customHeight="1">
      <c r="A2" s="18" t="s">
        <v>47</v>
      </c>
      <c r="B2" s="17" t="s">
        <v>0</v>
      </c>
      <c r="C2" s="18"/>
      <c r="D2" s="19" t="s">
        <v>214</v>
      </c>
      <c r="E2" s="18" t="s">
        <v>50</v>
      </c>
      <c r="F2" s="20"/>
      <c r="G2" s="21" t="s">
        <v>215</v>
      </c>
      <c r="H2" s="22"/>
      <c r="I2" s="23" t="s">
        <v>53</v>
      </c>
      <c r="J2" s="78"/>
      <c r="K2" s="3">
        <v>10</v>
      </c>
      <c r="M2" s="17">
        <f>SUM(K1:K119)</f>
        <v>76</v>
      </c>
      <c r="N2" s="17">
        <f>SUMIF(E:E,"phase A",K:K)</f>
        <v>32</v>
      </c>
      <c r="O2" s="17">
        <f>SUMIF(E:E,"phase B",K:K)</f>
        <v>44</v>
      </c>
    </row>
    <row r="3" spans="1:15" s="17" customFormat="1" ht="90" customHeight="1">
      <c r="A3" s="18" t="s">
        <v>47</v>
      </c>
      <c r="B3" s="17" t="s">
        <v>0</v>
      </c>
      <c r="C3" s="18"/>
      <c r="D3" s="19" t="s">
        <v>216</v>
      </c>
      <c r="E3" s="18" t="s">
        <v>50</v>
      </c>
      <c r="F3" s="20"/>
      <c r="G3" s="21" t="s">
        <v>217</v>
      </c>
      <c r="H3" s="22"/>
      <c r="I3" s="23" t="s">
        <v>53</v>
      </c>
      <c r="J3" s="78"/>
      <c r="K3" s="3">
        <v>10</v>
      </c>
    </row>
    <row r="4" spans="1:15" s="17" customFormat="1" ht="90" customHeight="1">
      <c r="A4" s="18" t="s">
        <v>47</v>
      </c>
      <c r="B4" s="17" t="s">
        <v>0</v>
      </c>
      <c r="C4" s="18"/>
      <c r="D4" s="19" t="s">
        <v>218</v>
      </c>
      <c r="E4" s="18" t="s">
        <v>50</v>
      </c>
      <c r="F4" s="20"/>
      <c r="G4" s="21" t="s">
        <v>219</v>
      </c>
      <c r="H4" s="22"/>
      <c r="I4" s="23" t="s">
        <v>53</v>
      </c>
      <c r="J4" s="78"/>
      <c r="K4" s="3">
        <v>6</v>
      </c>
    </row>
    <row r="5" spans="1:15" s="17" customFormat="1" ht="90" customHeight="1">
      <c r="A5" s="18" t="s">
        <v>47</v>
      </c>
      <c r="B5" s="17" t="s">
        <v>0</v>
      </c>
      <c r="C5" s="18"/>
      <c r="D5" s="19" t="s">
        <v>220</v>
      </c>
      <c r="E5" s="18" t="s">
        <v>50</v>
      </c>
      <c r="F5" s="20"/>
      <c r="G5" s="21" t="s">
        <v>221</v>
      </c>
      <c r="H5" s="22"/>
      <c r="I5" s="23" t="s">
        <v>53</v>
      </c>
      <c r="J5" s="78"/>
      <c r="K5" s="3">
        <v>6</v>
      </c>
    </row>
    <row r="6" spans="1:15" s="17" customFormat="1" ht="90" customHeight="1">
      <c r="A6" s="18" t="s">
        <v>47</v>
      </c>
      <c r="B6" s="17" t="s">
        <v>0</v>
      </c>
      <c r="C6" s="18"/>
      <c r="D6" s="19" t="s">
        <v>222</v>
      </c>
      <c r="E6" s="18" t="s">
        <v>200</v>
      </c>
      <c r="F6" s="20"/>
      <c r="G6" s="21" t="s">
        <v>223</v>
      </c>
      <c r="H6" s="22"/>
      <c r="I6" s="23" t="s">
        <v>53</v>
      </c>
      <c r="J6" s="78"/>
      <c r="K6" s="3">
        <v>6</v>
      </c>
    </row>
    <row r="7" spans="1:15" s="17" customFormat="1" ht="90" customHeight="1">
      <c r="A7" s="18" t="s">
        <v>47</v>
      </c>
      <c r="B7" s="17" t="s">
        <v>0</v>
      </c>
      <c r="C7" s="18"/>
      <c r="D7" s="19" t="s">
        <v>224</v>
      </c>
      <c r="E7" s="18" t="s">
        <v>200</v>
      </c>
      <c r="F7" s="20"/>
      <c r="G7" s="21" t="s">
        <v>225</v>
      </c>
      <c r="H7" s="22"/>
      <c r="I7" s="23" t="s">
        <v>53</v>
      </c>
      <c r="J7" s="78"/>
      <c r="K7" s="3">
        <v>6</v>
      </c>
    </row>
    <row r="8" spans="1:15" s="17" customFormat="1" ht="90" customHeight="1">
      <c r="A8" s="22" t="s">
        <v>54</v>
      </c>
      <c r="B8" s="17" t="s">
        <v>0</v>
      </c>
      <c r="C8" s="18"/>
      <c r="D8" s="19" t="s">
        <v>226</v>
      </c>
      <c r="E8" s="18" t="s">
        <v>200</v>
      </c>
      <c r="F8" s="20"/>
      <c r="G8" s="21" t="s">
        <v>227</v>
      </c>
      <c r="H8" s="22"/>
      <c r="I8" s="23" t="s">
        <v>53</v>
      </c>
      <c r="J8" s="78"/>
      <c r="K8" s="3">
        <v>6</v>
      </c>
    </row>
    <row r="9" spans="1:15" s="17" customFormat="1" ht="90" customHeight="1">
      <c r="A9" s="18" t="s">
        <v>47</v>
      </c>
      <c r="B9" s="17" t="s">
        <v>0</v>
      </c>
      <c r="C9" s="18"/>
      <c r="D9" s="19" t="s">
        <v>228</v>
      </c>
      <c r="E9" s="18" t="s">
        <v>200</v>
      </c>
      <c r="F9" s="20"/>
      <c r="G9" s="21" t="s">
        <v>229</v>
      </c>
      <c r="H9" s="22"/>
      <c r="I9" s="23" t="s">
        <v>53</v>
      </c>
      <c r="J9" s="78"/>
      <c r="K9" s="3">
        <v>2</v>
      </c>
    </row>
    <row r="10" spans="1:15" s="17" customFormat="1" ht="90" customHeight="1">
      <c r="A10" s="22" t="s">
        <v>54</v>
      </c>
      <c r="B10" s="17" t="s">
        <v>0</v>
      </c>
      <c r="C10" s="18"/>
      <c r="D10" s="19" t="s">
        <v>230</v>
      </c>
      <c r="E10" s="18" t="s">
        <v>200</v>
      </c>
      <c r="F10" s="20"/>
      <c r="G10" s="21" t="s">
        <v>231</v>
      </c>
      <c r="H10" s="22"/>
      <c r="I10" s="23" t="s">
        <v>53</v>
      </c>
      <c r="J10" s="78"/>
      <c r="K10" s="3">
        <v>6</v>
      </c>
    </row>
    <row r="11" spans="1:15" s="17" customFormat="1" ht="90" customHeight="1">
      <c r="A11" s="18" t="s">
        <v>47</v>
      </c>
      <c r="B11" s="17" t="s">
        <v>0</v>
      </c>
      <c r="C11" s="18"/>
      <c r="D11" s="19" t="s">
        <v>232</v>
      </c>
      <c r="E11" s="18" t="s">
        <v>200</v>
      </c>
      <c r="F11" s="20"/>
      <c r="G11" s="21" t="s">
        <v>233</v>
      </c>
      <c r="H11" s="22"/>
      <c r="I11" s="23" t="s">
        <v>53</v>
      </c>
      <c r="J11" s="78"/>
      <c r="K11" s="3">
        <v>6</v>
      </c>
    </row>
    <row r="12" spans="1:15" s="17" customFormat="1" ht="90" customHeight="1">
      <c r="A12" s="18" t="s">
        <v>47</v>
      </c>
      <c r="B12" s="17" t="s">
        <v>0</v>
      </c>
      <c r="C12" s="18"/>
      <c r="D12" s="19" t="s">
        <v>234</v>
      </c>
      <c r="E12" s="18" t="s">
        <v>200</v>
      </c>
      <c r="F12" s="20"/>
      <c r="G12" s="21" t="s">
        <v>235</v>
      </c>
      <c r="H12" s="22"/>
      <c r="I12" s="23" t="s">
        <v>53</v>
      </c>
      <c r="J12" s="78"/>
      <c r="K12" s="3">
        <v>4</v>
      </c>
    </row>
    <row r="13" spans="1:15" s="17" customFormat="1" ht="90" customHeight="1">
      <c r="A13" s="18" t="s">
        <v>47</v>
      </c>
      <c r="B13" s="17" t="s">
        <v>0</v>
      </c>
      <c r="C13" s="18"/>
      <c r="D13" s="19" t="s">
        <v>236</v>
      </c>
      <c r="E13" s="18" t="s">
        <v>200</v>
      </c>
      <c r="F13" s="20"/>
      <c r="G13" s="21" t="s">
        <v>237</v>
      </c>
      <c r="H13" s="22"/>
      <c r="I13" s="23" t="s">
        <v>53</v>
      </c>
      <c r="J13" s="78"/>
      <c r="K13" s="3">
        <v>6</v>
      </c>
    </row>
    <row r="14" spans="1:15" s="17" customFormat="1" ht="90" customHeight="1">
      <c r="A14" s="18" t="s">
        <v>47</v>
      </c>
      <c r="B14" s="17" t="s">
        <v>0</v>
      </c>
      <c r="C14" s="18"/>
      <c r="D14" s="19" t="s">
        <v>238</v>
      </c>
      <c r="E14" s="18" t="s">
        <v>200</v>
      </c>
      <c r="F14" s="20"/>
      <c r="G14" s="21" t="s">
        <v>239</v>
      </c>
      <c r="H14" s="22"/>
      <c r="I14" s="23" t="s">
        <v>53</v>
      </c>
      <c r="J14" s="78"/>
      <c r="K14" s="3">
        <v>2</v>
      </c>
    </row>
  </sheetData>
  <conditionalFormatting sqref="H2:I3 H5:I14">
    <cfRule type="cellIs" dxfId="20" priority="9" stopIfTrue="1" operator="equal">
      <formula>"Must"</formula>
    </cfRule>
  </conditionalFormatting>
  <conditionalFormatting sqref="I1:I14">
    <cfRule type="cellIs" dxfId="19" priority="7" stopIfTrue="1" operator="equal">
      <formula>"Extension"</formula>
    </cfRule>
  </conditionalFormatting>
  <conditionalFormatting sqref="I1:J14">
    <cfRule type="cellIs" dxfId="18" priority="3" stopIfTrue="1" operator="equal">
      <formula>"Standard"</formula>
    </cfRule>
    <cfRule type="cellIs" dxfId="17" priority="3" stopIfTrue="1" operator="equal">
      <formula>"Configuration"</formula>
    </cfRule>
  </conditionalFormatting>
  <conditionalFormatting sqref="J1:J14">
    <cfRule type="expression" dxfId="16" priority="3" stopIfTrue="1">
      <formula>OR(J1="Customisation",J1="Extension")</formula>
    </cfRule>
  </conditionalFormatting>
  <dataValidations count="5">
    <dataValidation type="list" allowBlank="1" showInputMessage="1" showErrorMessage="1" sqref="B2:B14" xr:uid="{2B84561E-B7A6-4BE2-85D0-169198941308}">
      <formula1>"Sample, Stock, Instrument, Retain, Report&amp;Label, Security, Training, Dashboard, Notification,  Assignment, Interface, IM Integartion, LES"</formula1>
    </dataValidation>
    <dataValidation type="list" allowBlank="1" showInputMessage="1" showErrorMessage="1" sqref="I1:I14" xr:uid="{A0014B76-2FC5-4E1A-A65A-FD145808FD38}">
      <formula1>"Standard,Configuration,Extension,Customisation,Interface,Later Phase,Link,Out Of Scope,Business Proc Only"</formula1>
    </dataValidation>
    <dataValidation type="list" allowBlank="1" showErrorMessage="1" sqref="I1:I14" xr:uid="{8FD68B84-21AA-455C-A05F-153498A272DE}">
      <formula1>"Standard,Configuration,Extension,Customisation,Interface,Later Phase,Link,Out Of Scope,Business Proc Only"</formula1>
    </dataValidation>
    <dataValidation type="list" allowBlank="1" showInputMessage="1" showErrorMessage="1" sqref="E2:E3" xr:uid="{B0C78933-E561-4709-95BD-2124878B9483}">
      <formula1>"Phase A, Phase B"</formula1>
    </dataValidation>
    <dataValidation type="list" allowBlank="1" showInputMessage="1" showErrorMessage="1" sqref="H1:H14" xr:uid="{B307EE19-9A1C-426D-8837-C7DACF6B0367}">
      <formula1>"Must,Should, Could, Wont"</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A77E8-5305-48F6-B20E-1CBCA8CC48EF}">
  <dimension ref="A1:S80"/>
  <sheetViews>
    <sheetView workbookViewId="0">
      <selection activeCell="J43" sqref="J43"/>
    </sheetView>
  </sheetViews>
  <sheetFormatPr defaultRowHeight="14.4"/>
  <cols>
    <col min="9" max="9" width="25.44140625" customWidth="1"/>
  </cols>
  <sheetData>
    <row r="1" spans="1:19" ht="57.6">
      <c r="A1" s="14" t="s">
        <v>37</v>
      </c>
      <c r="B1" s="14" t="s">
        <v>38</v>
      </c>
      <c r="C1" s="14" t="s">
        <v>39</v>
      </c>
      <c r="D1" s="15" t="s">
        <v>40</v>
      </c>
      <c r="E1" s="15" t="s">
        <v>41</v>
      </c>
      <c r="F1" s="16" t="s">
        <v>42</v>
      </c>
      <c r="G1" s="16" t="s">
        <v>43</v>
      </c>
      <c r="H1" s="16" t="s">
        <v>44</v>
      </c>
      <c r="I1" s="14" t="s">
        <v>45</v>
      </c>
      <c r="J1" s="14" t="s">
        <v>46</v>
      </c>
    </row>
    <row r="2" spans="1:19" ht="187.2">
      <c r="A2" s="17" t="s">
        <v>47</v>
      </c>
      <c r="B2" s="17" t="s">
        <v>448</v>
      </c>
      <c r="C2" s="18" t="s">
        <v>449</v>
      </c>
      <c r="D2" s="19" t="s">
        <v>450</v>
      </c>
      <c r="E2" s="18" t="s">
        <v>50</v>
      </c>
      <c r="F2" s="20"/>
      <c r="G2" s="27" t="s">
        <v>451</v>
      </c>
      <c r="H2" s="22"/>
      <c r="I2" s="23" t="s">
        <v>72</v>
      </c>
      <c r="J2" s="3"/>
      <c r="L2">
        <f>SUM(J:J)</f>
        <v>120</v>
      </c>
      <c r="M2">
        <f>SUMIF(E:E,"phase A",J:J)</f>
        <v>89</v>
      </c>
      <c r="N2">
        <f>SUMIF(E:E,"phase B",J:J)</f>
        <v>26</v>
      </c>
      <c r="O2">
        <f>SUMIF(E:E,"",J:J)</f>
        <v>5</v>
      </c>
    </row>
    <row r="3" spans="1:19" ht="100.8">
      <c r="A3" s="17" t="s">
        <v>47</v>
      </c>
      <c r="B3" s="17" t="s">
        <v>448</v>
      </c>
      <c r="C3" s="18" t="s">
        <v>452</v>
      </c>
      <c r="D3" s="19" t="s">
        <v>453</v>
      </c>
      <c r="E3" s="18" t="s">
        <v>200</v>
      </c>
      <c r="F3" s="20"/>
      <c r="G3" s="21" t="s">
        <v>454</v>
      </c>
      <c r="H3" s="22"/>
      <c r="I3" s="23" t="s">
        <v>72</v>
      </c>
      <c r="J3" s="25"/>
      <c r="N3" t="s">
        <v>632</v>
      </c>
      <c r="O3" t="s">
        <v>633</v>
      </c>
      <c r="P3" t="s">
        <v>485</v>
      </c>
      <c r="Q3" t="s">
        <v>488</v>
      </c>
      <c r="R3" t="s">
        <v>8</v>
      </c>
    </row>
    <row r="4" spans="1:19" ht="144">
      <c r="A4" s="17" t="s">
        <v>47</v>
      </c>
      <c r="B4" s="17" t="s">
        <v>0</v>
      </c>
      <c r="C4" s="18" t="s">
        <v>69</v>
      </c>
      <c r="D4" s="19" t="s">
        <v>70</v>
      </c>
      <c r="E4" s="18" t="s">
        <v>50</v>
      </c>
      <c r="F4" s="20"/>
      <c r="G4" s="21" t="s">
        <v>71</v>
      </c>
      <c r="H4" s="22"/>
      <c r="I4" s="23" t="s">
        <v>72</v>
      </c>
      <c r="J4" s="3">
        <v>2</v>
      </c>
      <c r="N4">
        <f>SUMIF(B:B,"Sample",J:J)</f>
        <v>21</v>
      </c>
      <c r="O4">
        <f>SUMIF(B:B,"Stock",J:J)</f>
        <v>5</v>
      </c>
      <c r="P4">
        <f>SUMIF(B:B,"Report&amp;Label",J:J)</f>
        <v>2</v>
      </c>
      <c r="Q4">
        <v>2</v>
      </c>
      <c r="R4">
        <v>5</v>
      </c>
      <c r="S4">
        <f>SUM(N4:R4)</f>
        <v>35</v>
      </c>
    </row>
    <row r="5" spans="1:19" ht="158.4">
      <c r="A5" s="17" t="s">
        <v>47</v>
      </c>
      <c r="B5" s="17" t="s">
        <v>448</v>
      </c>
      <c r="C5" s="18" t="s">
        <v>455</v>
      </c>
      <c r="D5" s="19" t="s">
        <v>456</v>
      </c>
      <c r="E5" s="18" t="s">
        <v>50</v>
      </c>
      <c r="F5" s="20"/>
      <c r="G5" s="67" t="s">
        <v>457</v>
      </c>
      <c r="H5" s="22"/>
      <c r="I5" s="23" t="s">
        <v>72</v>
      </c>
      <c r="J5" s="25"/>
      <c r="N5" t="s">
        <v>482</v>
      </c>
      <c r="O5" t="s">
        <v>467</v>
      </c>
    </row>
    <row r="6" spans="1:19" ht="144">
      <c r="A6" s="17" t="s">
        <v>54</v>
      </c>
      <c r="B6" s="17" t="s">
        <v>448</v>
      </c>
      <c r="C6" s="28" t="s">
        <v>458</v>
      </c>
      <c r="D6" s="29" t="s">
        <v>459</v>
      </c>
      <c r="E6" s="18" t="s">
        <v>50</v>
      </c>
      <c r="F6" s="20"/>
      <c r="G6" s="67" t="s">
        <v>460</v>
      </c>
      <c r="H6" s="22"/>
      <c r="I6" s="23" t="s">
        <v>72</v>
      </c>
      <c r="J6" s="25"/>
      <c r="N6">
        <f>SUMIF(B:B,"Dashboard",J:J)</f>
        <v>53</v>
      </c>
      <c r="O6">
        <f>SUMIF(B:B,"Assi*",J:J)</f>
        <v>32</v>
      </c>
    </row>
    <row r="7" spans="1:19" ht="216">
      <c r="A7" s="17" t="s">
        <v>47</v>
      </c>
      <c r="B7" s="17" t="s">
        <v>0</v>
      </c>
      <c r="C7" s="18" t="s">
        <v>121</v>
      </c>
      <c r="D7" s="19" t="s">
        <v>122</v>
      </c>
      <c r="E7" s="18" t="s">
        <v>50</v>
      </c>
      <c r="F7" s="20"/>
      <c r="G7" s="21" t="s">
        <v>123</v>
      </c>
      <c r="H7" s="22"/>
      <c r="I7" s="23" t="s">
        <v>72</v>
      </c>
      <c r="J7" s="25">
        <v>2</v>
      </c>
    </row>
    <row r="8" spans="1:19" ht="115.2">
      <c r="A8" s="17" t="s">
        <v>47</v>
      </c>
      <c r="B8" s="17" t="s">
        <v>448</v>
      </c>
      <c r="C8" s="18" t="s">
        <v>461</v>
      </c>
      <c r="D8" s="19" t="s">
        <v>462</v>
      </c>
      <c r="E8" s="18" t="s">
        <v>50</v>
      </c>
      <c r="F8" s="20"/>
      <c r="G8" s="21" t="s">
        <v>463</v>
      </c>
      <c r="H8" s="22"/>
      <c r="I8" s="23" t="s">
        <v>72</v>
      </c>
      <c r="J8" s="3"/>
    </row>
    <row r="9" spans="1:19" ht="100.8">
      <c r="A9" s="17" t="s">
        <v>47</v>
      </c>
      <c r="B9" s="17" t="s">
        <v>448</v>
      </c>
      <c r="C9" s="18" t="s">
        <v>464</v>
      </c>
      <c r="D9" s="19" t="s">
        <v>465</v>
      </c>
      <c r="E9" s="18" t="s">
        <v>200</v>
      </c>
      <c r="F9" s="20"/>
      <c r="G9" s="21" t="s">
        <v>466</v>
      </c>
      <c r="H9" s="22"/>
      <c r="I9" s="23" t="s">
        <v>72</v>
      </c>
      <c r="J9" s="3"/>
    </row>
    <row r="10" spans="1:19" ht="115.2">
      <c r="A10" s="17" t="s">
        <v>47</v>
      </c>
      <c r="B10" s="17" t="s">
        <v>0</v>
      </c>
      <c r="C10" s="18" t="s">
        <v>130</v>
      </c>
      <c r="D10" s="19" t="s">
        <v>131</v>
      </c>
      <c r="E10" s="18" t="s">
        <v>50</v>
      </c>
      <c r="F10" s="20"/>
      <c r="G10" s="31" t="s">
        <v>132</v>
      </c>
      <c r="H10" s="22"/>
      <c r="I10" s="23" t="s">
        <v>72</v>
      </c>
      <c r="J10" s="3">
        <v>2</v>
      </c>
    </row>
    <row r="11" spans="1:19" ht="158.4">
      <c r="A11" s="17" t="s">
        <v>47</v>
      </c>
      <c r="B11" s="17" t="s">
        <v>467</v>
      </c>
      <c r="C11" s="18"/>
      <c r="D11" s="19" t="s">
        <v>468</v>
      </c>
      <c r="E11" s="18" t="s">
        <v>50</v>
      </c>
      <c r="F11" s="20"/>
      <c r="G11" s="21" t="s">
        <v>469</v>
      </c>
      <c r="H11" s="22"/>
      <c r="I11" s="23" t="s">
        <v>72</v>
      </c>
      <c r="J11" s="25">
        <v>2</v>
      </c>
    </row>
    <row r="12" spans="1:19" ht="100.8">
      <c r="A12" s="17" t="s">
        <v>47</v>
      </c>
      <c r="B12" s="17" t="s">
        <v>467</v>
      </c>
      <c r="C12" s="18"/>
      <c r="D12" s="19" t="s">
        <v>470</v>
      </c>
      <c r="E12" s="18" t="s">
        <v>50</v>
      </c>
      <c r="F12" s="20"/>
      <c r="G12" s="21" t="s">
        <v>471</v>
      </c>
      <c r="H12" s="22"/>
      <c r="I12" s="23" t="s">
        <v>72</v>
      </c>
      <c r="J12" s="3"/>
    </row>
    <row r="13" spans="1:19" ht="115.2">
      <c r="A13" s="17" t="s">
        <v>47</v>
      </c>
      <c r="B13" s="17" t="s">
        <v>467</v>
      </c>
      <c r="C13" s="18"/>
      <c r="D13" s="19" t="s">
        <v>472</v>
      </c>
      <c r="E13" s="18" t="s">
        <v>50</v>
      </c>
      <c r="F13" s="20"/>
      <c r="G13" s="21" t="s">
        <v>473</v>
      </c>
      <c r="H13" s="22"/>
      <c r="I13" s="23" t="s">
        <v>72</v>
      </c>
      <c r="J13" s="3">
        <v>2</v>
      </c>
    </row>
    <row r="14" spans="1:19" ht="216">
      <c r="A14" s="17" t="s">
        <v>47</v>
      </c>
      <c r="B14" s="17" t="s">
        <v>467</v>
      </c>
      <c r="C14" s="18"/>
      <c r="D14" s="19" t="s">
        <v>474</v>
      </c>
      <c r="E14" s="18" t="s">
        <v>200</v>
      </c>
      <c r="F14" s="20"/>
      <c r="G14" s="21" t="s">
        <v>475</v>
      </c>
      <c r="H14" s="22"/>
      <c r="I14" s="23" t="s">
        <v>72</v>
      </c>
      <c r="J14" s="25"/>
    </row>
    <row r="15" spans="1:19" ht="172.8">
      <c r="A15" s="17" t="s">
        <v>47</v>
      </c>
      <c r="B15" s="17" t="s">
        <v>448</v>
      </c>
      <c r="C15" s="18"/>
      <c r="D15" s="19" t="s">
        <v>476</v>
      </c>
      <c r="E15" s="18" t="s">
        <v>50</v>
      </c>
      <c r="F15" s="20"/>
      <c r="G15" s="79" t="s">
        <v>477</v>
      </c>
      <c r="H15" s="22"/>
      <c r="I15" s="23" t="s">
        <v>72</v>
      </c>
      <c r="J15" s="3"/>
    </row>
    <row r="16" spans="1:19" ht="409.6">
      <c r="A16" s="32" t="s">
        <v>47</v>
      </c>
      <c r="B16" s="32" t="s">
        <v>448</v>
      </c>
      <c r="C16" s="33"/>
      <c r="D16" s="34" t="s">
        <v>478</v>
      </c>
      <c r="E16" s="33" t="s">
        <v>50</v>
      </c>
      <c r="F16" s="39"/>
      <c r="G16" s="80" t="s">
        <v>479</v>
      </c>
      <c r="H16" s="37"/>
      <c r="I16" s="38" t="s">
        <v>72</v>
      </c>
      <c r="J16" s="40"/>
    </row>
    <row r="17" spans="1:10" ht="230.4">
      <c r="A17" s="17" t="s">
        <v>47</v>
      </c>
      <c r="B17" s="17" t="s">
        <v>448</v>
      </c>
      <c r="C17" s="18"/>
      <c r="D17" s="19" t="s">
        <v>480</v>
      </c>
      <c r="E17" s="18" t="s">
        <v>50</v>
      </c>
      <c r="F17" s="20"/>
      <c r="G17" s="21" t="s">
        <v>481</v>
      </c>
      <c r="H17" s="22"/>
      <c r="I17" s="23" t="s">
        <v>72</v>
      </c>
      <c r="J17" s="25"/>
    </row>
    <row r="18" spans="1:10" ht="72">
      <c r="A18" s="17" t="s">
        <v>133</v>
      </c>
      <c r="B18" s="17" t="s">
        <v>482</v>
      </c>
      <c r="C18" s="18"/>
      <c r="D18" s="42" t="s">
        <v>483</v>
      </c>
      <c r="E18" s="42"/>
      <c r="F18" s="20"/>
      <c r="G18" s="21" t="s">
        <v>484</v>
      </c>
      <c r="H18" s="22"/>
      <c r="I18" s="23" t="s">
        <v>72</v>
      </c>
      <c r="J18" s="3">
        <v>2</v>
      </c>
    </row>
    <row r="19" spans="1:10" ht="115.2">
      <c r="A19" s="22" t="s">
        <v>47</v>
      </c>
      <c r="B19" s="17" t="s">
        <v>0</v>
      </c>
      <c r="C19" s="18"/>
      <c r="D19" s="19" t="s">
        <v>193</v>
      </c>
      <c r="E19" s="18" t="s">
        <v>50</v>
      </c>
      <c r="F19" s="44"/>
      <c r="G19" s="31" t="s">
        <v>194</v>
      </c>
      <c r="H19" s="22"/>
      <c r="I19" s="23" t="s">
        <v>72</v>
      </c>
      <c r="J19" s="3">
        <v>2</v>
      </c>
    </row>
    <row r="20" spans="1:10" ht="187.2">
      <c r="A20" s="18" t="s">
        <v>47</v>
      </c>
      <c r="B20" s="17" t="s">
        <v>485</v>
      </c>
      <c r="C20" s="18"/>
      <c r="D20" s="19" t="s">
        <v>486</v>
      </c>
      <c r="E20" s="18" t="s">
        <v>50</v>
      </c>
      <c r="F20" s="20"/>
      <c r="G20" s="21" t="s">
        <v>487</v>
      </c>
      <c r="H20" s="22"/>
      <c r="I20" s="23" t="s">
        <v>72</v>
      </c>
      <c r="J20" s="25">
        <v>2</v>
      </c>
    </row>
    <row r="21" spans="1:10" ht="345.6">
      <c r="A21" s="18" t="s">
        <v>47</v>
      </c>
      <c r="B21" s="17" t="s">
        <v>488</v>
      </c>
      <c r="C21" s="18"/>
      <c r="D21" s="19" t="s">
        <v>489</v>
      </c>
      <c r="E21" s="18" t="s">
        <v>200</v>
      </c>
      <c r="F21" s="20"/>
      <c r="G21" s="21" t="s">
        <v>490</v>
      </c>
      <c r="H21" s="22"/>
      <c r="I21" s="23" t="s">
        <v>72</v>
      </c>
      <c r="J21" s="25">
        <v>2</v>
      </c>
    </row>
    <row r="22" spans="1:10" ht="230.4">
      <c r="A22" s="18" t="s">
        <v>47</v>
      </c>
      <c r="B22" s="17" t="s">
        <v>482</v>
      </c>
      <c r="C22" s="18"/>
      <c r="D22" s="19" t="s">
        <v>491</v>
      </c>
      <c r="E22" s="18" t="s">
        <v>50</v>
      </c>
      <c r="F22" s="20"/>
      <c r="G22" s="21" t="s">
        <v>492</v>
      </c>
      <c r="H22" s="22"/>
      <c r="I22" s="23" t="s">
        <v>72</v>
      </c>
      <c r="J22" s="3">
        <v>1</v>
      </c>
    </row>
    <row r="23" spans="1:10" ht="273.60000000000002">
      <c r="A23" s="18" t="s">
        <v>47</v>
      </c>
      <c r="B23" s="17" t="s">
        <v>482</v>
      </c>
      <c r="C23" s="18"/>
      <c r="D23" s="19" t="s">
        <v>493</v>
      </c>
      <c r="E23" s="18" t="s">
        <v>50</v>
      </c>
      <c r="F23" s="20"/>
      <c r="G23" s="21" t="s">
        <v>494</v>
      </c>
      <c r="H23" s="22"/>
      <c r="I23" s="23" t="s">
        <v>72</v>
      </c>
      <c r="J23" s="3">
        <v>2</v>
      </c>
    </row>
    <row r="24" spans="1:10" ht="187.2">
      <c r="A24" s="18" t="s">
        <v>47</v>
      </c>
      <c r="B24" s="17" t="s">
        <v>0</v>
      </c>
      <c r="C24" s="18"/>
      <c r="D24" s="19" t="s">
        <v>242</v>
      </c>
      <c r="E24" s="18" t="s">
        <v>50</v>
      </c>
      <c r="F24" s="22"/>
      <c r="G24" s="21" t="s">
        <v>243</v>
      </c>
      <c r="H24" s="22"/>
      <c r="I24" s="23" t="s">
        <v>72</v>
      </c>
      <c r="J24" s="3">
        <v>5</v>
      </c>
    </row>
    <row r="25" spans="1:10" ht="230.4">
      <c r="A25" s="18" t="s">
        <v>47</v>
      </c>
      <c r="B25" s="17" t="s">
        <v>0</v>
      </c>
      <c r="C25" s="18"/>
      <c r="D25" s="19" t="s">
        <v>250</v>
      </c>
      <c r="E25" s="18" t="s">
        <v>200</v>
      </c>
      <c r="F25" s="20"/>
      <c r="G25" s="45" t="s">
        <v>251</v>
      </c>
      <c r="H25" s="22"/>
      <c r="I25" s="23" t="s">
        <v>72</v>
      </c>
      <c r="J25" s="3">
        <v>2</v>
      </c>
    </row>
    <row r="26" spans="1:10" ht="187.2">
      <c r="A26" s="18" t="s">
        <v>47</v>
      </c>
      <c r="B26" s="17" t="s">
        <v>482</v>
      </c>
      <c r="C26" s="18"/>
      <c r="D26" s="19" t="s">
        <v>495</v>
      </c>
      <c r="E26" s="18" t="s">
        <v>50</v>
      </c>
      <c r="F26" s="20"/>
      <c r="G26" s="21" t="s">
        <v>496</v>
      </c>
      <c r="H26" s="22"/>
      <c r="I26" s="23" t="s">
        <v>72</v>
      </c>
      <c r="J26" s="3">
        <v>3</v>
      </c>
    </row>
    <row r="27" spans="1:10" ht="100.8">
      <c r="A27" s="18" t="s">
        <v>54</v>
      </c>
      <c r="B27" s="17" t="s">
        <v>0</v>
      </c>
      <c r="C27" s="18"/>
      <c r="D27" s="19" t="s">
        <v>254</v>
      </c>
      <c r="E27" s="18" t="s">
        <v>50</v>
      </c>
      <c r="F27" s="20"/>
      <c r="G27" s="21" t="s">
        <v>255</v>
      </c>
      <c r="H27" s="22" t="s">
        <v>52</v>
      </c>
      <c r="I27" s="23" t="s">
        <v>72</v>
      </c>
      <c r="J27" s="3"/>
    </row>
    <row r="28" spans="1:10" ht="115.2">
      <c r="A28" s="18" t="s">
        <v>54</v>
      </c>
      <c r="B28" s="17" t="s">
        <v>0</v>
      </c>
      <c r="C28" s="18"/>
      <c r="D28" s="19" t="s">
        <v>256</v>
      </c>
      <c r="E28" s="18" t="s">
        <v>50</v>
      </c>
      <c r="F28" s="20"/>
      <c r="G28" s="21" t="s">
        <v>257</v>
      </c>
      <c r="H28" s="22"/>
      <c r="I28" s="23" t="s">
        <v>72</v>
      </c>
      <c r="J28" s="3">
        <v>2</v>
      </c>
    </row>
    <row r="29" spans="1:10" ht="129.6">
      <c r="A29" s="18" t="s">
        <v>54</v>
      </c>
      <c r="B29" s="17" t="s">
        <v>0</v>
      </c>
      <c r="C29" s="18"/>
      <c r="D29" s="19" t="s">
        <v>258</v>
      </c>
      <c r="E29" s="18" t="s">
        <v>50</v>
      </c>
      <c r="F29" s="20"/>
      <c r="G29" s="21" t="s">
        <v>259</v>
      </c>
      <c r="H29" s="22"/>
      <c r="I29" s="23" t="s">
        <v>72</v>
      </c>
      <c r="J29" s="25">
        <v>2</v>
      </c>
    </row>
    <row r="30" spans="1:10" ht="115.2">
      <c r="A30" s="18" t="s">
        <v>54</v>
      </c>
      <c r="B30" s="17" t="s">
        <v>0</v>
      </c>
      <c r="C30" s="18"/>
      <c r="D30" s="19" t="s">
        <v>260</v>
      </c>
      <c r="E30" s="18" t="s">
        <v>50</v>
      </c>
      <c r="F30" s="20"/>
      <c r="G30" s="21" t="s">
        <v>261</v>
      </c>
      <c r="H30" s="22" t="s">
        <v>52</v>
      </c>
      <c r="I30" s="23" t="s">
        <v>72</v>
      </c>
      <c r="J30" s="17"/>
    </row>
    <row r="31" spans="1:10" ht="216">
      <c r="A31" s="18" t="s">
        <v>54</v>
      </c>
      <c r="B31" s="17" t="s">
        <v>467</v>
      </c>
      <c r="C31" s="18"/>
      <c r="D31" s="19" t="s">
        <v>497</v>
      </c>
      <c r="E31" s="18" t="s">
        <v>200</v>
      </c>
      <c r="F31" s="20"/>
      <c r="G31" s="21" t="s">
        <v>475</v>
      </c>
      <c r="H31" s="22"/>
      <c r="I31" s="23" t="s">
        <v>72</v>
      </c>
      <c r="J31" s="3">
        <v>2</v>
      </c>
    </row>
    <row r="32" spans="1:10" ht="158.4">
      <c r="A32" s="18" t="s">
        <v>54</v>
      </c>
      <c r="B32" s="17" t="s">
        <v>467</v>
      </c>
      <c r="C32" s="18"/>
      <c r="D32" s="19" t="s">
        <v>498</v>
      </c>
      <c r="E32" s="18" t="s">
        <v>200</v>
      </c>
      <c r="F32" s="20"/>
      <c r="G32" s="21" t="s">
        <v>499</v>
      </c>
      <c r="H32" s="22"/>
      <c r="I32" s="23" t="s">
        <v>72</v>
      </c>
      <c r="J32" s="3">
        <v>2</v>
      </c>
    </row>
    <row r="33" spans="1:10" ht="187.2">
      <c r="A33" s="18" t="s">
        <v>54</v>
      </c>
      <c r="B33" s="17" t="s">
        <v>467</v>
      </c>
      <c r="C33" s="18"/>
      <c r="D33" s="19" t="s">
        <v>500</v>
      </c>
      <c r="E33" s="18" t="s">
        <v>200</v>
      </c>
      <c r="F33" s="20"/>
      <c r="G33" s="21" t="s">
        <v>501</v>
      </c>
      <c r="H33" s="22"/>
      <c r="I33" s="23" t="s">
        <v>72</v>
      </c>
      <c r="J33" s="3">
        <v>2</v>
      </c>
    </row>
    <row r="34" spans="1:10" ht="144">
      <c r="A34" s="18" t="s">
        <v>54</v>
      </c>
      <c r="B34" s="17" t="s">
        <v>467</v>
      </c>
      <c r="C34" s="18"/>
      <c r="D34" s="19" t="s">
        <v>502</v>
      </c>
      <c r="E34" s="18" t="s">
        <v>200</v>
      </c>
      <c r="F34" s="20"/>
      <c r="G34" s="21" t="s">
        <v>503</v>
      </c>
      <c r="H34" s="22"/>
      <c r="I34" s="23" t="s">
        <v>72</v>
      </c>
      <c r="J34" s="3"/>
    </row>
    <row r="35" spans="1:10" ht="86.4">
      <c r="A35" s="18" t="s">
        <v>54</v>
      </c>
      <c r="B35" s="17" t="s">
        <v>467</v>
      </c>
      <c r="C35" s="18"/>
      <c r="D35" s="19" t="s">
        <v>504</v>
      </c>
      <c r="E35" s="18" t="s">
        <v>50</v>
      </c>
      <c r="F35" s="20"/>
      <c r="G35" s="21" t="s">
        <v>505</v>
      </c>
      <c r="H35" s="22" t="s">
        <v>52</v>
      </c>
      <c r="I35" s="23" t="s">
        <v>72</v>
      </c>
      <c r="J35" s="3">
        <v>2</v>
      </c>
    </row>
    <row r="36" spans="1:10" ht="129.6">
      <c r="A36" s="18" t="s">
        <v>54</v>
      </c>
      <c r="B36" s="17" t="s">
        <v>467</v>
      </c>
      <c r="C36" s="18"/>
      <c r="D36" s="19" t="s">
        <v>506</v>
      </c>
      <c r="E36" s="18" t="s">
        <v>200</v>
      </c>
      <c r="F36" s="20"/>
      <c r="G36" s="21" t="s">
        <v>507</v>
      </c>
      <c r="H36" s="22"/>
      <c r="I36" s="23" t="s">
        <v>72</v>
      </c>
      <c r="J36" s="3"/>
    </row>
    <row r="37" spans="1:10" ht="144">
      <c r="A37" s="18" t="s">
        <v>54</v>
      </c>
      <c r="B37" s="17" t="s">
        <v>467</v>
      </c>
      <c r="C37" s="18"/>
      <c r="D37" s="19" t="s">
        <v>508</v>
      </c>
      <c r="E37" s="18" t="s">
        <v>200</v>
      </c>
      <c r="F37" s="20"/>
      <c r="G37" s="21" t="s">
        <v>509</v>
      </c>
      <c r="H37" s="22"/>
      <c r="I37" s="23" t="s">
        <v>72</v>
      </c>
      <c r="J37" s="3">
        <v>2</v>
      </c>
    </row>
    <row r="38" spans="1:10" ht="72">
      <c r="A38" s="30" t="s">
        <v>54</v>
      </c>
      <c r="B38" s="17" t="s">
        <v>467</v>
      </c>
      <c r="C38" s="18"/>
      <c r="D38" s="19" t="s">
        <v>510</v>
      </c>
      <c r="E38" s="18" t="s">
        <v>200</v>
      </c>
      <c r="F38" s="20"/>
      <c r="G38" s="21" t="s">
        <v>511</v>
      </c>
      <c r="H38" s="22" t="s">
        <v>52</v>
      </c>
      <c r="I38" s="23" t="s">
        <v>72</v>
      </c>
      <c r="J38" s="25"/>
    </row>
    <row r="39" spans="1:10" ht="158.4">
      <c r="A39" s="30" t="s">
        <v>54</v>
      </c>
      <c r="B39" s="17" t="s">
        <v>467</v>
      </c>
      <c r="C39" s="18"/>
      <c r="D39" s="19" t="s">
        <v>512</v>
      </c>
      <c r="E39" s="18" t="s">
        <v>200</v>
      </c>
      <c r="F39" s="20"/>
      <c r="G39" s="21" t="s">
        <v>513</v>
      </c>
      <c r="H39" s="22"/>
      <c r="I39" s="23" t="s">
        <v>72</v>
      </c>
      <c r="J39" s="25">
        <v>2</v>
      </c>
    </row>
    <row r="40" spans="1:10" ht="259.2">
      <c r="A40" s="30" t="s">
        <v>54</v>
      </c>
      <c r="B40" s="17" t="s">
        <v>448</v>
      </c>
      <c r="C40" s="18"/>
      <c r="D40" s="19" t="s">
        <v>514</v>
      </c>
      <c r="E40" s="18" t="s">
        <v>50</v>
      </c>
      <c r="F40" s="20"/>
      <c r="G40" s="21" t="s">
        <v>515</v>
      </c>
      <c r="H40" s="23"/>
      <c r="I40" s="23" t="s">
        <v>72</v>
      </c>
      <c r="J40" s="46"/>
    </row>
    <row r="41" spans="1:10" ht="144">
      <c r="A41" s="30" t="s">
        <v>54</v>
      </c>
      <c r="B41" s="17" t="s">
        <v>467</v>
      </c>
      <c r="C41" s="18"/>
      <c r="D41" s="19" t="s">
        <v>516</v>
      </c>
      <c r="E41" s="18" t="s">
        <v>200</v>
      </c>
      <c r="F41" s="20"/>
      <c r="G41" s="21" t="s">
        <v>517</v>
      </c>
      <c r="H41" s="22"/>
      <c r="I41" s="23" t="s">
        <v>72</v>
      </c>
      <c r="J41" s="25">
        <v>2</v>
      </c>
    </row>
    <row r="42" spans="1:10" ht="115.2">
      <c r="A42" s="30" t="s">
        <v>54</v>
      </c>
      <c r="B42" s="17" t="s">
        <v>467</v>
      </c>
      <c r="C42" s="18"/>
      <c r="D42" s="19" t="s">
        <v>518</v>
      </c>
      <c r="E42" s="18" t="s">
        <v>200</v>
      </c>
      <c r="F42" s="20"/>
      <c r="G42" s="21" t="s">
        <v>519</v>
      </c>
      <c r="H42" s="23"/>
      <c r="I42" s="23" t="s">
        <v>72</v>
      </c>
      <c r="J42" s="46">
        <v>2</v>
      </c>
    </row>
    <row r="43" spans="1:10" ht="316.8">
      <c r="A43" s="17" t="s">
        <v>54</v>
      </c>
      <c r="B43" s="17" t="s">
        <v>467</v>
      </c>
      <c r="C43" s="18"/>
      <c r="D43" s="19" t="s">
        <v>520</v>
      </c>
      <c r="E43" s="18" t="s">
        <v>50</v>
      </c>
      <c r="F43" s="20"/>
      <c r="G43" s="21" t="s">
        <v>521</v>
      </c>
      <c r="H43" s="23"/>
      <c r="I43" s="23" t="s">
        <v>72</v>
      </c>
      <c r="J43" s="46">
        <v>9</v>
      </c>
    </row>
    <row r="44" spans="1:10" ht="100.8">
      <c r="A44" s="17" t="s">
        <v>54</v>
      </c>
      <c r="B44" s="17" t="s">
        <v>467</v>
      </c>
      <c r="C44" s="18"/>
      <c r="D44" s="19" t="s">
        <v>522</v>
      </c>
      <c r="E44" s="18" t="s">
        <v>200</v>
      </c>
      <c r="F44" s="20"/>
      <c r="G44" s="21" t="s">
        <v>523</v>
      </c>
      <c r="H44" s="22"/>
      <c r="I44" s="23" t="s">
        <v>72</v>
      </c>
      <c r="J44" s="25">
        <v>3</v>
      </c>
    </row>
    <row r="45" spans="1:10" ht="201.6">
      <c r="A45" s="17" t="s">
        <v>54</v>
      </c>
      <c r="B45" s="17" t="s">
        <v>448</v>
      </c>
      <c r="C45" s="18"/>
      <c r="D45" s="19" t="s">
        <v>524</v>
      </c>
      <c r="E45" s="28" t="s">
        <v>200</v>
      </c>
      <c r="F45" s="57"/>
      <c r="G45" s="21" t="s">
        <v>525</v>
      </c>
      <c r="H45" s="23"/>
      <c r="I45" s="23" t="s">
        <v>72</v>
      </c>
      <c r="J45" s="46"/>
    </row>
    <row r="46" spans="1:10" ht="360">
      <c r="A46" s="30" t="s">
        <v>54</v>
      </c>
      <c r="B46" s="17" t="s">
        <v>482</v>
      </c>
      <c r="C46" s="18"/>
      <c r="D46" s="19" t="s">
        <v>526</v>
      </c>
      <c r="E46" s="18" t="s">
        <v>50</v>
      </c>
      <c r="F46" s="20"/>
      <c r="G46" s="21" t="s">
        <v>527</v>
      </c>
      <c r="H46" s="23"/>
      <c r="I46" s="23" t="s">
        <v>528</v>
      </c>
      <c r="J46" s="46"/>
    </row>
    <row r="47" spans="1:10" ht="129.6">
      <c r="A47" s="30" t="s">
        <v>54</v>
      </c>
      <c r="B47" s="17" t="s">
        <v>448</v>
      </c>
      <c r="C47" s="18"/>
      <c r="D47" s="19" t="s">
        <v>529</v>
      </c>
      <c r="E47" s="18" t="s">
        <v>200</v>
      </c>
      <c r="F47" s="21"/>
      <c r="G47" s="21" t="s">
        <v>530</v>
      </c>
      <c r="H47" s="22"/>
      <c r="I47" s="23" t="s">
        <v>72</v>
      </c>
      <c r="J47" s="25"/>
    </row>
    <row r="48" spans="1:10" ht="187.2">
      <c r="A48" s="17" t="s">
        <v>54</v>
      </c>
      <c r="B48" s="17" t="s">
        <v>482</v>
      </c>
      <c r="C48" s="18"/>
      <c r="D48" s="19" t="s">
        <v>531</v>
      </c>
      <c r="E48" s="18" t="s">
        <v>50</v>
      </c>
      <c r="F48" s="48"/>
      <c r="G48" s="81" t="s">
        <v>532</v>
      </c>
      <c r="H48" s="22"/>
      <c r="I48" s="23" t="s">
        <v>72</v>
      </c>
      <c r="J48" s="25">
        <v>2</v>
      </c>
    </row>
    <row r="49" spans="1:10" ht="172.8">
      <c r="A49" s="17" t="s">
        <v>54</v>
      </c>
      <c r="B49" s="17" t="s">
        <v>0</v>
      </c>
      <c r="C49" s="28"/>
      <c r="D49" s="19" t="s">
        <v>272</v>
      </c>
      <c r="E49" s="18" t="s">
        <v>50</v>
      </c>
      <c r="F49" s="48"/>
      <c r="G49" s="49" t="s">
        <v>273</v>
      </c>
      <c r="H49" s="22"/>
      <c r="I49" s="23" t="s">
        <v>72</v>
      </c>
      <c r="J49" s="25">
        <v>2</v>
      </c>
    </row>
    <row r="50" spans="1:10" ht="144">
      <c r="A50" s="17" t="s">
        <v>54</v>
      </c>
      <c r="B50" s="17" t="s">
        <v>482</v>
      </c>
      <c r="C50" s="28"/>
      <c r="D50" s="19" t="s">
        <v>533</v>
      </c>
      <c r="E50" s="18" t="s">
        <v>50</v>
      </c>
      <c r="F50" s="48"/>
      <c r="G50" s="49" t="s">
        <v>534</v>
      </c>
      <c r="H50" s="22"/>
      <c r="I50" s="23" t="s">
        <v>72</v>
      </c>
      <c r="J50" s="25">
        <v>1</v>
      </c>
    </row>
    <row r="51" spans="1:10" ht="302.39999999999998">
      <c r="A51" s="17" t="s">
        <v>54</v>
      </c>
      <c r="B51" s="17" t="s">
        <v>482</v>
      </c>
      <c r="C51" s="28"/>
      <c r="D51" s="19" t="s">
        <v>535</v>
      </c>
      <c r="E51" s="18" t="s">
        <v>50</v>
      </c>
      <c r="F51" s="21"/>
      <c r="G51" s="82" t="s">
        <v>536</v>
      </c>
      <c r="H51" s="22"/>
      <c r="I51" s="23" t="s">
        <v>72</v>
      </c>
      <c r="J51" s="25">
        <v>3</v>
      </c>
    </row>
    <row r="52" spans="1:10" ht="187.2">
      <c r="A52" s="17" t="s">
        <v>54</v>
      </c>
      <c r="B52" s="17" t="s">
        <v>482</v>
      </c>
      <c r="C52" s="18"/>
      <c r="D52" s="51" t="s">
        <v>537</v>
      </c>
      <c r="E52" s="51" t="s">
        <v>50</v>
      </c>
      <c r="F52" s="47"/>
      <c r="G52" s="47" t="s">
        <v>538</v>
      </c>
      <c r="H52" s="23"/>
      <c r="I52" s="23" t="s">
        <v>72</v>
      </c>
      <c r="J52" s="50">
        <v>2</v>
      </c>
    </row>
    <row r="53" spans="1:10" ht="172.8">
      <c r="A53" s="17" t="s">
        <v>54</v>
      </c>
      <c r="B53" s="17" t="s">
        <v>482</v>
      </c>
      <c r="C53" s="18"/>
      <c r="D53" s="51" t="s">
        <v>539</v>
      </c>
      <c r="E53" s="51" t="s">
        <v>50</v>
      </c>
      <c r="F53" s="47"/>
      <c r="G53" s="47" t="s">
        <v>540</v>
      </c>
      <c r="H53" s="23"/>
      <c r="I53" s="23" t="s">
        <v>72</v>
      </c>
      <c r="J53" s="50">
        <v>2</v>
      </c>
    </row>
    <row r="54" spans="1:10" ht="201.6">
      <c r="A54" s="17" t="s">
        <v>54</v>
      </c>
      <c r="B54" s="17" t="s">
        <v>482</v>
      </c>
      <c r="C54" s="18"/>
      <c r="D54" s="51" t="s">
        <v>541</v>
      </c>
      <c r="E54" s="51" t="s">
        <v>50</v>
      </c>
      <c r="F54" s="47"/>
      <c r="G54" s="47" t="s">
        <v>542</v>
      </c>
      <c r="H54" s="23"/>
      <c r="I54" s="23" t="s">
        <v>72</v>
      </c>
      <c r="J54" s="50">
        <v>2</v>
      </c>
    </row>
    <row r="55" spans="1:10" ht="187.2">
      <c r="A55" s="17" t="s">
        <v>54</v>
      </c>
      <c r="B55" s="17" t="s">
        <v>482</v>
      </c>
      <c r="C55" s="18"/>
      <c r="D55" s="51" t="s">
        <v>543</v>
      </c>
      <c r="E55" s="51" t="s">
        <v>50</v>
      </c>
      <c r="F55" s="47"/>
      <c r="G55" s="47" t="s">
        <v>544</v>
      </c>
      <c r="H55" s="23"/>
      <c r="I55" s="23" t="s">
        <v>72</v>
      </c>
      <c r="J55" s="50">
        <v>1</v>
      </c>
    </row>
    <row r="56" spans="1:10" ht="129.6">
      <c r="A56" s="17" t="s">
        <v>54</v>
      </c>
      <c r="B56" s="17" t="s">
        <v>482</v>
      </c>
      <c r="C56" s="18"/>
      <c r="D56" s="51" t="s">
        <v>545</v>
      </c>
      <c r="E56" s="51" t="s">
        <v>50</v>
      </c>
      <c r="F56" s="57"/>
      <c r="G56" s="21" t="s">
        <v>546</v>
      </c>
      <c r="H56" s="23"/>
      <c r="I56" s="23" t="s">
        <v>72</v>
      </c>
      <c r="J56" s="66"/>
    </row>
    <row r="57" spans="1:10" ht="100.8">
      <c r="A57" s="17" t="s">
        <v>54</v>
      </c>
      <c r="B57" s="17" t="s">
        <v>482</v>
      </c>
      <c r="C57" s="18"/>
      <c r="D57" s="51" t="s">
        <v>547</v>
      </c>
      <c r="E57" s="51" t="s">
        <v>50</v>
      </c>
      <c r="F57" s="20"/>
      <c r="G57" s="47" t="s">
        <v>548</v>
      </c>
      <c r="H57" s="23"/>
      <c r="I57" s="23" t="s">
        <v>72</v>
      </c>
      <c r="J57" s="50">
        <v>1</v>
      </c>
    </row>
    <row r="58" spans="1:10" ht="86.4">
      <c r="A58" s="17" t="s">
        <v>54</v>
      </c>
      <c r="B58" s="17" t="s">
        <v>482</v>
      </c>
      <c r="C58" s="18"/>
      <c r="D58" s="51" t="s">
        <v>549</v>
      </c>
      <c r="E58" s="51" t="s">
        <v>50</v>
      </c>
      <c r="F58" s="20"/>
      <c r="G58" s="47" t="s">
        <v>550</v>
      </c>
      <c r="H58" s="23"/>
      <c r="I58" s="23" t="s">
        <v>72</v>
      </c>
      <c r="J58" s="50">
        <v>1</v>
      </c>
    </row>
    <row r="59" spans="1:10" ht="72">
      <c r="A59" s="17" t="s">
        <v>54</v>
      </c>
      <c r="B59" s="17" t="s">
        <v>482</v>
      </c>
      <c r="C59" s="18"/>
      <c r="D59" s="51" t="s">
        <v>551</v>
      </c>
      <c r="E59" s="51" t="s">
        <v>50</v>
      </c>
      <c r="F59" s="20"/>
      <c r="G59" s="47" t="s">
        <v>552</v>
      </c>
      <c r="H59" s="23"/>
      <c r="I59" s="23" t="s">
        <v>72</v>
      </c>
      <c r="J59" s="50"/>
    </row>
    <row r="60" spans="1:10" ht="72">
      <c r="A60" s="17" t="s">
        <v>54</v>
      </c>
      <c r="B60" s="17" t="s">
        <v>482</v>
      </c>
      <c r="C60" s="18"/>
      <c r="D60" s="51" t="s">
        <v>553</v>
      </c>
      <c r="E60" s="51" t="s">
        <v>50</v>
      </c>
      <c r="F60" s="57"/>
      <c r="G60" s="47" t="s">
        <v>554</v>
      </c>
      <c r="H60" s="23"/>
      <c r="I60" s="23" t="s">
        <v>72</v>
      </c>
      <c r="J60" s="50">
        <v>1</v>
      </c>
    </row>
    <row r="61" spans="1:10" ht="273.60000000000002">
      <c r="A61" s="17" t="s">
        <v>54</v>
      </c>
      <c r="B61" s="17" t="s">
        <v>482</v>
      </c>
      <c r="C61" s="18"/>
      <c r="D61" s="51" t="s">
        <v>555</v>
      </c>
      <c r="E61" s="51" t="s">
        <v>50</v>
      </c>
      <c r="F61" s="21"/>
      <c r="G61" s="47" t="s">
        <v>556</v>
      </c>
      <c r="H61" s="23"/>
      <c r="I61" s="23" t="s">
        <v>72</v>
      </c>
      <c r="J61" s="50">
        <v>3</v>
      </c>
    </row>
    <row r="62" spans="1:10" ht="201.6">
      <c r="A62" s="17" t="s">
        <v>54</v>
      </c>
      <c r="B62" s="17" t="s">
        <v>482</v>
      </c>
      <c r="C62" s="18"/>
      <c r="D62" s="51" t="s">
        <v>557</v>
      </c>
      <c r="E62" s="51" t="s">
        <v>50</v>
      </c>
      <c r="F62" s="47"/>
      <c r="G62" s="56" t="s">
        <v>558</v>
      </c>
      <c r="H62" s="23"/>
      <c r="I62" s="23" t="s">
        <v>72</v>
      </c>
      <c r="J62" s="50">
        <v>3</v>
      </c>
    </row>
    <row r="63" spans="1:10" ht="187.2">
      <c r="A63" s="17" t="s">
        <v>54</v>
      </c>
      <c r="B63" s="17" t="s">
        <v>482</v>
      </c>
      <c r="C63" s="18"/>
      <c r="D63" s="51" t="s">
        <v>559</v>
      </c>
      <c r="E63" s="51" t="s">
        <v>50</v>
      </c>
      <c r="F63" s="47"/>
      <c r="G63" s="56" t="s">
        <v>560</v>
      </c>
      <c r="H63" s="23"/>
      <c r="I63" s="23" t="s">
        <v>72</v>
      </c>
      <c r="J63" s="50">
        <v>1</v>
      </c>
    </row>
    <row r="64" spans="1:10" ht="187.2">
      <c r="A64" s="17" t="s">
        <v>54</v>
      </c>
      <c r="B64" s="17" t="s">
        <v>482</v>
      </c>
      <c r="C64" s="18"/>
      <c r="D64" s="51" t="s">
        <v>561</v>
      </c>
      <c r="E64" s="51" t="s">
        <v>50</v>
      </c>
      <c r="F64" s="47"/>
      <c r="G64" s="56" t="s">
        <v>562</v>
      </c>
      <c r="H64" s="23"/>
      <c r="I64" s="23" t="s">
        <v>72</v>
      </c>
      <c r="J64" s="50">
        <v>2</v>
      </c>
    </row>
    <row r="65" spans="1:10" ht="115.2">
      <c r="A65" s="17" t="s">
        <v>54</v>
      </c>
      <c r="B65" s="17" t="s">
        <v>482</v>
      </c>
      <c r="C65" s="18"/>
      <c r="D65" s="55" t="s">
        <v>563</v>
      </c>
      <c r="E65" s="51" t="s">
        <v>50</v>
      </c>
      <c r="F65" s="20"/>
      <c r="G65" s="21" t="s">
        <v>564</v>
      </c>
      <c r="H65" s="22"/>
      <c r="I65" s="23" t="s">
        <v>72</v>
      </c>
      <c r="J65" s="25">
        <v>2</v>
      </c>
    </row>
    <row r="66" spans="1:10" ht="316.8">
      <c r="A66" s="17" t="s">
        <v>54</v>
      </c>
      <c r="B66" s="17" t="s">
        <v>482</v>
      </c>
      <c r="C66" s="18"/>
      <c r="D66" s="55" t="s">
        <v>565</v>
      </c>
      <c r="E66" s="51" t="s">
        <v>50</v>
      </c>
      <c r="F66" s="21"/>
      <c r="G66" s="21" t="s">
        <v>566</v>
      </c>
      <c r="H66" s="22"/>
      <c r="I66" s="23" t="s">
        <v>72</v>
      </c>
      <c r="J66" s="25"/>
    </row>
    <row r="67" spans="1:10" ht="172.8">
      <c r="A67" s="17" t="s">
        <v>54</v>
      </c>
      <c r="B67" s="17" t="s">
        <v>482</v>
      </c>
      <c r="C67" s="18"/>
      <c r="D67" s="51" t="s">
        <v>567</v>
      </c>
      <c r="E67" s="51" t="s">
        <v>50</v>
      </c>
      <c r="F67" s="47"/>
      <c r="G67" s="83" t="s">
        <v>568</v>
      </c>
      <c r="H67" s="23"/>
      <c r="I67" s="23" t="s">
        <v>72</v>
      </c>
      <c r="J67" s="50">
        <v>1</v>
      </c>
    </row>
    <row r="68" spans="1:10" ht="86.4">
      <c r="A68" s="17" t="s">
        <v>54</v>
      </c>
      <c r="B68" s="17" t="s">
        <v>482</v>
      </c>
      <c r="C68" s="18"/>
      <c r="D68" s="51" t="s">
        <v>569</v>
      </c>
      <c r="E68" s="51" t="s">
        <v>50</v>
      </c>
      <c r="F68" s="47"/>
      <c r="G68" s="83" t="s">
        <v>570</v>
      </c>
      <c r="H68" s="23"/>
      <c r="I68" s="23" t="s">
        <v>72</v>
      </c>
      <c r="J68" s="50">
        <v>1</v>
      </c>
    </row>
    <row r="69" spans="1:10" ht="172.8">
      <c r="A69" s="17" t="s">
        <v>54</v>
      </c>
      <c r="B69" s="17" t="s">
        <v>482</v>
      </c>
      <c r="C69" s="18"/>
      <c r="D69" s="51" t="s">
        <v>571</v>
      </c>
      <c r="E69" s="51" t="s">
        <v>50</v>
      </c>
      <c r="F69" s="47"/>
      <c r="G69" s="83" t="s">
        <v>572</v>
      </c>
      <c r="H69" s="23"/>
      <c r="I69" s="23" t="s">
        <v>72</v>
      </c>
      <c r="J69" s="50">
        <v>1</v>
      </c>
    </row>
    <row r="70" spans="1:10" ht="409.6">
      <c r="A70" s="17" t="s">
        <v>133</v>
      </c>
      <c r="B70" s="17" t="s">
        <v>482</v>
      </c>
      <c r="C70" s="18"/>
      <c r="D70" s="51" t="s">
        <v>573</v>
      </c>
      <c r="E70" s="55"/>
      <c r="F70" s="84" t="s">
        <v>136</v>
      </c>
      <c r="G70" s="85" t="s">
        <v>574</v>
      </c>
      <c r="H70" s="23"/>
      <c r="I70" s="23" t="s">
        <v>72</v>
      </c>
      <c r="J70" s="86">
        <v>3</v>
      </c>
    </row>
    <row r="71" spans="1:10" ht="144">
      <c r="A71" s="17" t="s">
        <v>54</v>
      </c>
      <c r="B71" s="17" t="s">
        <v>482</v>
      </c>
      <c r="C71" s="18"/>
      <c r="D71" s="51" t="s">
        <v>575</v>
      </c>
      <c r="E71" s="51" t="s">
        <v>50</v>
      </c>
      <c r="F71" s="21"/>
      <c r="G71" s="47" t="s">
        <v>576</v>
      </c>
      <c r="H71" s="23"/>
      <c r="I71" s="23" t="s">
        <v>72</v>
      </c>
      <c r="J71" s="50">
        <v>2</v>
      </c>
    </row>
    <row r="72" spans="1:10" ht="216">
      <c r="A72" s="17" t="s">
        <v>54</v>
      </c>
      <c r="B72" s="17" t="s">
        <v>482</v>
      </c>
      <c r="C72" s="18"/>
      <c r="D72" s="51" t="s">
        <v>577</v>
      </c>
      <c r="E72" s="51" t="s">
        <v>50</v>
      </c>
      <c r="F72" s="21"/>
      <c r="G72" s="21" t="s">
        <v>578</v>
      </c>
      <c r="H72" s="23"/>
      <c r="I72" s="23" t="s">
        <v>72</v>
      </c>
      <c r="J72" s="50">
        <v>3</v>
      </c>
    </row>
    <row r="73" spans="1:10" ht="115.2">
      <c r="A73" s="17" t="s">
        <v>54</v>
      </c>
      <c r="B73" s="17" t="s">
        <v>482</v>
      </c>
      <c r="C73" s="18"/>
      <c r="D73" s="51"/>
      <c r="E73" s="51" t="s">
        <v>50</v>
      </c>
      <c r="F73" s="57"/>
      <c r="G73" s="47" t="s">
        <v>579</v>
      </c>
      <c r="H73" s="23"/>
      <c r="I73" s="23" t="s">
        <v>72</v>
      </c>
      <c r="J73" s="50">
        <v>3</v>
      </c>
    </row>
    <row r="74" spans="1:10" ht="316.8">
      <c r="A74" s="17" t="s">
        <v>54</v>
      </c>
      <c r="B74" s="17" t="s">
        <v>482</v>
      </c>
      <c r="C74" s="18"/>
      <c r="D74" s="51" t="s">
        <v>580</v>
      </c>
      <c r="E74" s="51" t="s">
        <v>50</v>
      </c>
      <c r="F74" s="47"/>
      <c r="G74" s="87" t="s">
        <v>581</v>
      </c>
      <c r="H74" s="23"/>
      <c r="I74" s="23" t="s">
        <v>72</v>
      </c>
      <c r="J74" s="50">
        <v>2</v>
      </c>
    </row>
    <row r="75" spans="1:10" ht="259.2">
      <c r="A75" s="17" t="s">
        <v>54</v>
      </c>
      <c r="B75" s="17" t="s">
        <v>482</v>
      </c>
      <c r="C75" s="18"/>
      <c r="D75" s="51" t="s">
        <v>582</v>
      </c>
      <c r="E75" s="51" t="s">
        <v>50</v>
      </c>
      <c r="F75" s="47"/>
      <c r="G75" s="21" t="s">
        <v>583</v>
      </c>
      <c r="H75" s="23"/>
      <c r="I75" s="23" t="s">
        <v>72</v>
      </c>
      <c r="J75" s="50">
        <v>2</v>
      </c>
    </row>
    <row r="76" spans="1:10" ht="201.6">
      <c r="A76" s="17" t="s">
        <v>54</v>
      </c>
      <c r="B76" s="17" t="s">
        <v>0</v>
      </c>
      <c r="C76" s="18"/>
      <c r="D76" s="59" t="s">
        <v>298</v>
      </c>
      <c r="E76" s="28" t="s">
        <v>50</v>
      </c>
      <c r="F76" s="20"/>
      <c r="G76" s="21" t="s">
        <v>299</v>
      </c>
      <c r="H76" s="23"/>
      <c r="I76" s="23" t="s">
        <v>72</v>
      </c>
      <c r="J76" s="50"/>
    </row>
    <row r="77" spans="1:10" ht="158.4">
      <c r="A77" s="17" t="s">
        <v>54</v>
      </c>
      <c r="B77" s="17" t="s">
        <v>4</v>
      </c>
      <c r="C77" s="60"/>
      <c r="D77" s="61" t="s">
        <v>339</v>
      </c>
      <c r="E77" s="18" t="s">
        <v>50</v>
      </c>
      <c r="F77" s="62"/>
      <c r="G77" s="64" t="s">
        <v>340</v>
      </c>
      <c r="H77" s="62"/>
      <c r="I77" s="23" t="s">
        <v>72</v>
      </c>
      <c r="J77" s="63">
        <v>2</v>
      </c>
    </row>
    <row r="78" spans="1:10" ht="129.6">
      <c r="A78" s="17" t="s">
        <v>54</v>
      </c>
      <c r="B78" s="17" t="s">
        <v>4</v>
      </c>
      <c r="C78" s="28"/>
      <c r="D78" s="61" t="s">
        <v>353</v>
      </c>
      <c r="E78" s="18" t="s">
        <v>50</v>
      </c>
      <c r="F78" s="22"/>
      <c r="G78" s="21" t="s">
        <v>354</v>
      </c>
      <c r="H78" s="22"/>
      <c r="I78" s="23" t="s">
        <v>72</v>
      </c>
      <c r="J78" s="65">
        <v>3</v>
      </c>
    </row>
    <row r="79" spans="1:10" ht="244.8">
      <c r="A79" s="17" t="s">
        <v>54</v>
      </c>
      <c r="B79" s="17" t="s">
        <v>8</v>
      </c>
      <c r="C79" s="28"/>
      <c r="D79" s="61" t="s">
        <v>584</v>
      </c>
      <c r="E79" s="18" t="s">
        <v>200</v>
      </c>
      <c r="F79" s="88"/>
      <c r="G79" s="48" t="s">
        <v>585</v>
      </c>
      <c r="H79" s="62"/>
      <c r="I79" s="23" t="s">
        <v>72</v>
      </c>
      <c r="J79" s="65">
        <v>2</v>
      </c>
    </row>
    <row r="80" spans="1:10" ht="158.4">
      <c r="A80" s="17" t="s">
        <v>54</v>
      </c>
      <c r="B80" s="17" t="s">
        <v>8</v>
      </c>
      <c r="C80" s="28"/>
      <c r="D80" s="61" t="s">
        <v>586</v>
      </c>
      <c r="E80" s="18" t="s">
        <v>200</v>
      </c>
      <c r="F80" s="88"/>
      <c r="G80" s="48" t="s">
        <v>587</v>
      </c>
      <c r="H80" s="62"/>
      <c r="I80" s="23" t="s">
        <v>72</v>
      </c>
      <c r="J80" s="65">
        <v>3</v>
      </c>
    </row>
  </sheetData>
  <autoFilter ref="A1:J80" xr:uid="{61FA77E8-5305-48F6-B20E-1CBCA8CC48EF}"/>
  <conditionalFormatting sqref="H2:I2 H4:I10 H12:I13 H15:I16 H18:I19 I20:I21 H22:I28 H30:I37 H40:I40 H42:I43 H45:I46 H67:I69 H71:I80">
    <cfRule type="cellIs" dxfId="15" priority="5" stopIfTrue="1" operator="equal">
      <formula>"Must"</formula>
    </cfRule>
  </conditionalFormatting>
  <conditionalFormatting sqref="H48:I64">
    <cfRule type="cellIs" dxfId="14" priority="4" stopIfTrue="1" operator="equal">
      <formula>"Must"</formula>
    </cfRule>
  </conditionalFormatting>
  <conditionalFormatting sqref="I1:I80">
    <cfRule type="cellIs" dxfId="13" priority="6" stopIfTrue="1" operator="equal">
      <formula>"Standard"</formula>
    </cfRule>
    <cfRule type="cellIs" dxfId="12" priority="7" stopIfTrue="1" operator="equal">
      <formula>"Configuration"</formula>
    </cfRule>
    <cfRule type="cellIs" dxfId="11" priority="8" stopIfTrue="1" operator="equal">
      <formula>"Extension"</formula>
    </cfRule>
  </conditionalFormatting>
  <conditionalFormatting sqref="J77">
    <cfRule type="cellIs" dxfId="10" priority="1" stopIfTrue="1" operator="equal">
      <formula>"Configuration"</formula>
    </cfRule>
    <cfRule type="cellIs" dxfId="9" priority="2" stopIfTrue="1" operator="equal">
      <formula>"Standard"</formula>
    </cfRule>
    <cfRule type="cellIs" dxfId="8" priority="3" stopIfTrue="1" operator="equal">
      <formula>"Customisation/Extension"</formula>
    </cfRule>
  </conditionalFormatting>
  <dataValidations count="6">
    <dataValidation type="list" allowBlank="1" showInputMessage="1" showErrorMessage="1" sqref="B2:B17" xr:uid="{853F9186-EF15-4013-BE93-7D4AD829D4DD}">
      <formula1>"Sample, Stock, Instrument, Retain, Report&amp;Label, Security, Training, Dashboard, Notification,  Assignment, Interface, IM Integartion"</formula1>
    </dataValidation>
    <dataValidation type="list" allowBlank="1" showInputMessage="1" showErrorMessage="1" sqref="I2:I80" xr:uid="{1BE53B53-7A11-47A8-BA9A-3DFBBEE17FD5}">
      <formula1>"Standard,Configuration,Extension,Customisation,Interface,Later Phase,Link,Out Of Scope,Business Proc Only"</formula1>
    </dataValidation>
    <dataValidation type="list" allowBlank="1" showErrorMessage="1" sqref="I2:I80" xr:uid="{ECB0246E-3D75-43C2-9708-34B406CABD41}">
      <formula1>"Standard,Configuration,Extension,Customisation,Interface,Later Phase,Link,Out Of Scope,Business Proc Only"</formula1>
    </dataValidation>
    <dataValidation type="list" allowBlank="1" showInputMessage="1" showErrorMessage="1" sqref="E2 E4:E10 E12:E13 E18 E20:E21 E24:E26 E28 E30:E38 E40 E44 E70" xr:uid="{533021CB-594A-4770-8740-DD79C90D5738}">
      <formula1>"Phase A, Phase B"</formula1>
    </dataValidation>
    <dataValidation type="list" allowBlank="1" showInputMessage="1" showErrorMessage="1" sqref="H2:H77" xr:uid="{68C243B3-EA9C-4057-B531-38038007A16F}">
      <formula1>"Must,Should, Could, Wont"</formula1>
    </dataValidation>
    <dataValidation type="list" allowBlank="1" showInputMessage="1" showErrorMessage="1" sqref="B18:B80" xr:uid="{4D2B5637-44B5-4353-9C67-0175C43E2C99}">
      <formula1>"Sample, Stock, Instrument, Retain, Report&amp;Label, Security, Training, Dashboard, Notification,  Assignment, Interface, IM Integartion, LES"</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CDAF-877B-4E08-9877-EE02E12027D3}">
  <dimension ref="A1:L23"/>
  <sheetViews>
    <sheetView topLeftCell="A12" workbookViewId="0">
      <selection activeCell="N4" sqref="N4"/>
    </sheetView>
  </sheetViews>
  <sheetFormatPr defaultRowHeight="14.4"/>
  <sheetData>
    <row r="1" spans="1:12" ht="57.6">
      <c r="A1" s="14" t="s">
        <v>37</v>
      </c>
      <c r="B1" s="14" t="s">
        <v>38</v>
      </c>
      <c r="C1" s="14" t="s">
        <v>39</v>
      </c>
      <c r="D1" s="15" t="s">
        <v>40</v>
      </c>
      <c r="E1" s="15" t="s">
        <v>41</v>
      </c>
      <c r="F1" s="16" t="s">
        <v>42</v>
      </c>
      <c r="G1" s="16" t="s">
        <v>43</v>
      </c>
      <c r="H1" s="16" t="s">
        <v>44</v>
      </c>
      <c r="I1" s="14" t="s">
        <v>45</v>
      </c>
      <c r="J1" s="14" t="s">
        <v>46</v>
      </c>
    </row>
    <row r="2" spans="1:12" ht="100.8">
      <c r="A2" s="17" t="s">
        <v>54</v>
      </c>
      <c r="B2" s="17" t="s">
        <v>588</v>
      </c>
      <c r="C2" s="18"/>
      <c r="D2" s="19" t="s">
        <v>589</v>
      </c>
      <c r="E2" s="28" t="s">
        <v>50</v>
      </c>
      <c r="F2" s="47"/>
      <c r="G2" s="21" t="s">
        <v>590</v>
      </c>
      <c r="H2" s="23"/>
      <c r="I2" s="23" t="s">
        <v>448</v>
      </c>
      <c r="J2" s="46"/>
      <c r="L2">
        <f>SUM(J1:J119)</f>
        <v>97</v>
      </c>
    </row>
    <row r="3" spans="1:12" ht="100.8">
      <c r="A3" s="17" t="s">
        <v>54</v>
      </c>
      <c r="B3" s="17" t="s">
        <v>588</v>
      </c>
      <c r="C3" s="18"/>
      <c r="D3" s="19" t="s">
        <v>591</v>
      </c>
      <c r="E3" s="28" t="s">
        <v>50</v>
      </c>
      <c r="F3" s="21"/>
      <c r="G3" s="21" t="s">
        <v>592</v>
      </c>
      <c r="H3" s="22"/>
      <c r="I3" s="23" t="s">
        <v>448</v>
      </c>
      <c r="J3" s="25"/>
    </row>
    <row r="4" spans="1:12" ht="115.2">
      <c r="A4" s="17" t="s">
        <v>54</v>
      </c>
      <c r="B4" s="17" t="s">
        <v>448</v>
      </c>
      <c r="C4" s="18"/>
      <c r="D4" s="51" t="s">
        <v>593</v>
      </c>
      <c r="E4" s="89" t="s">
        <v>50</v>
      </c>
      <c r="F4" s="47"/>
      <c r="G4" s="47" t="s">
        <v>594</v>
      </c>
      <c r="H4" s="23"/>
      <c r="I4" s="23" t="s">
        <v>448</v>
      </c>
      <c r="J4" s="50">
        <v>5</v>
      </c>
    </row>
    <row r="5" spans="1:12" ht="115.2">
      <c r="A5" s="17" t="s">
        <v>54</v>
      </c>
      <c r="B5" s="17" t="s">
        <v>448</v>
      </c>
      <c r="C5" s="18"/>
      <c r="D5" s="51" t="s">
        <v>595</v>
      </c>
      <c r="E5" s="89" t="s">
        <v>50</v>
      </c>
      <c r="F5" s="90" t="s">
        <v>136</v>
      </c>
      <c r="G5" s="90" t="s">
        <v>596</v>
      </c>
      <c r="H5" s="23"/>
      <c r="I5" s="23" t="s">
        <v>448</v>
      </c>
      <c r="J5" s="50">
        <v>5</v>
      </c>
    </row>
    <row r="6" spans="1:12" ht="100.8">
      <c r="A6" s="17" t="s">
        <v>54</v>
      </c>
      <c r="B6" s="17" t="s">
        <v>448</v>
      </c>
      <c r="C6" s="18"/>
      <c r="D6" s="51" t="s">
        <v>597</v>
      </c>
      <c r="E6" s="89" t="s">
        <v>50</v>
      </c>
      <c r="F6" s="90"/>
      <c r="G6" s="90" t="s">
        <v>598</v>
      </c>
      <c r="H6" s="23"/>
      <c r="I6" s="23" t="s">
        <v>448</v>
      </c>
      <c r="J6" s="50">
        <v>5</v>
      </c>
    </row>
    <row r="7" spans="1:12" ht="115.2">
      <c r="A7" s="17" t="s">
        <v>54</v>
      </c>
      <c r="B7" s="17" t="s">
        <v>448</v>
      </c>
      <c r="C7" s="18"/>
      <c r="D7" s="51" t="s">
        <v>599</v>
      </c>
      <c r="E7" s="89" t="s">
        <v>50</v>
      </c>
      <c r="F7" s="90"/>
      <c r="G7" s="90" t="s">
        <v>600</v>
      </c>
      <c r="H7" s="23"/>
      <c r="I7" s="23" t="s">
        <v>448</v>
      </c>
      <c r="J7" s="50">
        <v>5</v>
      </c>
    </row>
    <row r="8" spans="1:12" ht="129.6">
      <c r="A8" s="17" t="s">
        <v>54</v>
      </c>
      <c r="B8" s="17" t="s">
        <v>448</v>
      </c>
      <c r="C8" s="18"/>
      <c r="D8" s="51" t="s">
        <v>601</v>
      </c>
      <c r="E8" s="89" t="s">
        <v>50</v>
      </c>
      <c r="F8" s="90"/>
      <c r="G8" s="90" t="s">
        <v>602</v>
      </c>
      <c r="H8" s="23"/>
      <c r="I8" s="23" t="s">
        <v>448</v>
      </c>
      <c r="J8" s="50">
        <v>5</v>
      </c>
    </row>
    <row r="9" spans="1:12" ht="129.6">
      <c r="A9" s="17" t="s">
        <v>54</v>
      </c>
      <c r="B9" s="17" t="s">
        <v>448</v>
      </c>
      <c r="C9" s="18"/>
      <c r="D9" s="51" t="s">
        <v>603</v>
      </c>
      <c r="E9" s="89" t="s">
        <v>50</v>
      </c>
      <c r="F9" s="90"/>
      <c r="G9" s="90" t="s">
        <v>604</v>
      </c>
      <c r="H9" s="23"/>
      <c r="I9" s="23" t="s">
        <v>448</v>
      </c>
      <c r="J9" s="50">
        <v>5</v>
      </c>
    </row>
    <row r="10" spans="1:12" ht="129.6">
      <c r="A10" s="17" t="s">
        <v>54</v>
      </c>
      <c r="B10" s="17" t="s">
        <v>448</v>
      </c>
      <c r="C10" s="18"/>
      <c r="D10" s="51" t="s">
        <v>605</v>
      </c>
      <c r="E10" s="89" t="s">
        <v>50</v>
      </c>
      <c r="F10" s="47"/>
      <c r="G10" s="47" t="s">
        <v>606</v>
      </c>
      <c r="H10" s="23"/>
      <c r="I10" s="23" t="s">
        <v>448</v>
      </c>
      <c r="J10" s="50">
        <v>5</v>
      </c>
    </row>
    <row r="11" spans="1:12" ht="129.6">
      <c r="A11" s="17" t="s">
        <v>54</v>
      </c>
      <c r="B11" s="17" t="s">
        <v>448</v>
      </c>
      <c r="C11" s="18"/>
      <c r="D11" s="51" t="s">
        <v>607</v>
      </c>
      <c r="E11" s="89" t="s">
        <v>50</v>
      </c>
      <c r="F11" s="90" t="s">
        <v>136</v>
      </c>
      <c r="G11" s="90" t="s">
        <v>608</v>
      </c>
      <c r="H11" s="23"/>
      <c r="I11" s="23" t="s">
        <v>448</v>
      </c>
      <c r="J11" s="50">
        <v>5</v>
      </c>
    </row>
    <row r="12" spans="1:12" ht="187.2">
      <c r="A12" s="17" t="s">
        <v>54</v>
      </c>
      <c r="B12" s="17" t="s">
        <v>448</v>
      </c>
      <c r="C12" s="18"/>
      <c r="D12" s="51" t="s">
        <v>609</v>
      </c>
      <c r="E12" s="18" t="s">
        <v>200</v>
      </c>
      <c r="F12" s="47"/>
      <c r="G12" s="47" t="s">
        <v>610</v>
      </c>
      <c r="H12" s="23"/>
      <c r="I12" s="23" t="s">
        <v>448</v>
      </c>
      <c r="J12" s="50">
        <v>14</v>
      </c>
    </row>
    <row r="13" spans="1:12" ht="115.2">
      <c r="A13" s="17" t="s">
        <v>54</v>
      </c>
      <c r="B13" s="17" t="s">
        <v>448</v>
      </c>
      <c r="C13" s="18"/>
      <c r="D13" s="51" t="s">
        <v>611</v>
      </c>
      <c r="E13" s="18" t="s">
        <v>200</v>
      </c>
      <c r="F13" s="47"/>
      <c r="G13" s="47" t="s">
        <v>612</v>
      </c>
      <c r="H13" s="23"/>
      <c r="I13" s="23" t="s">
        <v>448</v>
      </c>
      <c r="J13" s="50">
        <v>7</v>
      </c>
    </row>
    <row r="14" spans="1:12" ht="158.4">
      <c r="A14" s="17" t="s">
        <v>54</v>
      </c>
      <c r="B14" s="17" t="s">
        <v>448</v>
      </c>
      <c r="C14" s="18"/>
      <c r="D14" s="51" t="s">
        <v>613</v>
      </c>
      <c r="E14" s="18" t="s">
        <v>200</v>
      </c>
      <c r="F14" s="47"/>
      <c r="G14" s="47" t="s">
        <v>614</v>
      </c>
      <c r="H14" s="23"/>
      <c r="I14" s="23" t="s">
        <v>448</v>
      </c>
      <c r="J14" s="50">
        <v>7</v>
      </c>
    </row>
    <row r="15" spans="1:12" ht="158.4">
      <c r="A15" s="17" t="s">
        <v>54</v>
      </c>
      <c r="B15" s="17" t="s">
        <v>448</v>
      </c>
      <c r="C15" s="18"/>
      <c r="D15" s="51" t="s">
        <v>615</v>
      </c>
      <c r="E15" s="18" t="s">
        <v>200</v>
      </c>
      <c r="F15" s="47"/>
      <c r="G15" s="47" t="s">
        <v>616</v>
      </c>
      <c r="H15" s="23"/>
      <c r="I15" s="23" t="s">
        <v>448</v>
      </c>
      <c r="J15" s="50">
        <v>7</v>
      </c>
    </row>
    <row r="16" spans="1:12" ht="172.8">
      <c r="A16" s="17" t="s">
        <v>54</v>
      </c>
      <c r="B16" s="17" t="s">
        <v>448</v>
      </c>
      <c r="C16" s="18"/>
      <c r="D16" s="51" t="s">
        <v>617</v>
      </c>
      <c r="E16" s="18" t="s">
        <v>200</v>
      </c>
      <c r="F16" s="47"/>
      <c r="G16" s="47" t="s">
        <v>618</v>
      </c>
      <c r="H16" s="23"/>
      <c r="I16" s="23" t="s">
        <v>448</v>
      </c>
      <c r="J16" s="50">
        <v>14</v>
      </c>
    </row>
    <row r="17" spans="1:10" ht="129.6">
      <c r="A17" s="17" t="s">
        <v>54</v>
      </c>
      <c r="B17" s="17" t="s">
        <v>448</v>
      </c>
      <c r="C17" s="18"/>
      <c r="D17" s="51" t="s">
        <v>619</v>
      </c>
      <c r="E17" s="18" t="s">
        <v>200</v>
      </c>
      <c r="F17" s="47"/>
      <c r="G17" s="47" t="s">
        <v>620</v>
      </c>
      <c r="H17" s="23"/>
      <c r="I17" s="23" t="s">
        <v>448</v>
      </c>
      <c r="J17" s="50">
        <v>8</v>
      </c>
    </row>
    <row r="18" spans="1:10" ht="72">
      <c r="A18" s="17" t="s">
        <v>54</v>
      </c>
      <c r="B18" s="17" t="s">
        <v>448</v>
      </c>
      <c r="C18" s="18"/>
      <c r="D18" s="51" t="s">
        <v>621</v>
      </c>
      <c r="E18" s="51" t="s">
        <v>50</v>
      </c>
      <c r="F18" s="47"/>
      <c r="G18" s="47" t="s">
        <v>622</v>
      </c>
      <c r="H18" s="23"/>
      <c r="I18" s="23" t="s">
        <v>448</v>
      </c>
      <c r="J18" s="50"/>
    </row>
    <row r="19" spans="1:10" ht="72">
      <c r="A19" s="17" t="s">
        <v>54</v>
      </c>
      <c r="B19" s="17" t="s">
        <v>448</v>
      </c>
      <c r="C19" s="18"/>
      <c r="D19" s="51" t="s">
        <v>623</v>
      </c>
      <c r="E19" s="51"/>
      <c r="F19" s="57"/>
      <c r="G19" s="47" t="s">
        <v>622</v>
      </c>
      <c r="H19" s="23"/>
      <c r="I19" s="23" t="s">
        <v>448</v>
      </c>
      <c r="J19" s="50"/>
    </row>
    <row r="20" spans="1:10" ht="129.6">
      <c r="A20" s="17" t="s">
        <v>54</v>
      </c>
      <c r="B20" s="17" t="s">
        <v>448</v>
      </c>
      <c r="C20" s="60"/>
      <c r="D20" s="51" t="s">
        <v>624</v>
      </c>
      <c r="E20" s="18" t="s">
        <v>200</v>
      </c>
      <c r="F20" s="20"/>
      <c r="G20" s="20" t="s">
        <v>625</v>
      </c>
      <c r="H20" s="68"/>
      <c r="I20" s="23" t="s">
        <v>448</v>
      </c>
      <c r="J20" s="69"/>
    </row>
    <row r="21" spans="1:10" ht="129.6">
      <c r="A21" s="17" t="s">
        <v>54</v>
      </c>
      <c r="B21" s="17" t="s">
        <v>448</v>
      </c>
      <c r="C21" s="18"/>
      <c r="D21" s="29" t="s">
        <v>626</v>
      </c>
      <c r="E21" s="28" t="s">
        <v>200</v>
      </c>
      <c r="F21" s="20"/>
      <c r="G21" s="21" t="s">
        <v>627</v>
      </c>
      <c r="H21" s="22"/>
      <c r="I21" s="23" t="s">
        <v>448</v>
      </c>
      <c r="J21" s="25"/>
    </row>
    <row r="22" spans="1:10" ht="57.6">
      <c r="A22" s="17" t="s">
        <v>54</v>
      </c>
      <c r="B22" s="17" t="s">
        <v>448</v>
      </c>
      <c r="C22" s="60"/>
      <c r="D22" s="61" t="s">
        <v>628</v>
      </c>
      <c r="E22" s="18" t="s">
        <v>50</v>
      </c>
      <c r="F22" s="20"/>
      <c r="G22" s="21" t="s">
        <v>629</v>
      </c>
      <c r="H22" s="62"/>
      <c r="I22" s="23" t="s">
        <v>448</v>
      </c>
      <c r="J22" s="63"/>
    </row>
    <row r="23" spans="1:10" ht="158.4">
      <c r="A23" s="17" t="s">
        <v>54</v>
      </c>
      <c r="B23" s="17" t="s">
        <v>448</v>
      </c>
      <c r="C23" s="28"/>
      <c r="D23" s="61" t="s">
        <v>630</v>
      </c>
      <c r="E23" s="18" t="s">
        <v>50</v>
      </c>
      <c r="F23" s="22"/>
      <c r="G23" s="21" t="s">
        <v>631</v>
      </c>
      <c r="H23" s="22"/>
      <c r="I23" s="23" t="s">
        <v>448</v>
      </c>
      <c r="J23" s="66"/>
    </row>
  </sheetData>
  <conditionalFormatting sqref="D22:E22">
    <cfRule type="cellIs" dxfId="7" priority="1" stopIfTrue="1" operator="equal">
      <formula>"Configuration"</formula>
    </cfRule>
    <cfRule type="cellIs" dxfId="6" priority="2" stopIfTrue="1" operator="equal">
      <formula>"Standard"</formula>
    </cfRule>
    <cfRule type="cellIs" dxfId="5" priority="3" stopIfTrue="1" operator="equal">
      <formula>"Customisation/Extension"</formula>
    </cfRule>
  </conditionalFormatting>
  <conditionalFormatting sqref="H2:I2 I3">
    <cfRule type="cellIs" dxfId="4" priority="5" stopIfTrue="1" operator="equal">
      <formula>"Must"</formula>
    </cfRule>
  </conditionalFormatting>
  <conditionalFormatting sqref="H4:I23">
    <cfRule type="cellIs" dxfId="3" priority="4" stopIfTrue="1" operator="equal">
      <formula>"Must"</formula>
    </cfRule>
  </conditionalFormatting>
  <conditionalFormatting sqref="I1:I23">
    <cfRule type="cellIs" dxfId="2" priority="6" stopIfTrue="1" operator="equal">
      <formula>"Standard"</formula>
    </cfRule>
    <cfRule type="cellIs" dxfId="1" priority="7" stopIfTrue="1" operator="equal">
      <formula>"Configuration"</formula>
    </cfRule>
    <cfRule type="cellIs" dxfId="0" priority="8" stopIfTrue="1" operator="equal">
      <formula>"Extension"</formula>
    </cfRule>
  </conditionalFormatting>
  <dataValidations count="4">
    <dataValidation type="list" allowBlank="1" showInputMessage="1" showErrorMessage="1" sqref="B2:B23" xr:uid="{F66660B6-CDDF-409F-8043-EA16FBC4133C}">
      <formula1>"Sample, Stock, Instrument, Retain, Report&amp;Label, Security, Training, Dashboard, Notification,  Assignment, Interface, IM Integartion, LES"</formula1>
    </dataValidation>
    <dataValidation type="list" allowBlank="1" showInputMessage="1" showErrorMessage="1" sqref="I2:I23" xr:uid="{0A677EDD-3248-4447-BF1C-F90EAFCEF870}">
      <formula1>"Standard,Configuration,Extension,Customisation,Interface,Later Phase,Link,Out Of Scope,Business Proc Only"</formula1>
    </dataValidation>
    <dataValidation type="list" allowBlank="1" showErrorMessage="1" sqref="I2:I23" xr:uid="{662C1EE7-F148-412D-84F0-728DAB73AC7F}">
      <formula1>"Standard,Configuration,Extension,Customisation,Interface,Later Phase,Link,Out Of Scope,Business Proc Only"</formula1>
    </dataValidation>
    <dataValidation type="list" allowBlank="1" showInputMessage="1" showErrorMessage="1" sqref="H2:H22" xr:uid="{EF52E14E-4725-42FE-A4AF-1CEF0E13D74C}">
      <formula1>"Must,Should, Could, Wont"</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5bd5ffd0d7f68b13ec4f6f677be58787">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7510b1d9a5ba5c9f55a6b194411e8c2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B37125C9-F626-428A-A2D6-0E0A23419DE2}"/>
</file>

<file path=customXml/itemProps2.xml><?xml version="1.0" encoding="utf-8"?>
<ds:datastoreItem xmlns:ds="http://schemas.openxmlformats.org/officeDocument/2006/customXml" ds:itemID="{36EFA0A4-0D6B-41A0-BBB0-E73668E0E601}">
  <ds:schemaRefs>
    <ds:schemaRef ds:uri="http://schemas.microsoft.com/sharepoint/v3/contenttype/forms"/>
  </ds:schemaRefs>
</ds:datastoreItem>
</file>

<file path=customXml/itemProps3.xml><?xml version="1.0" encoding="utf-8"?>
<ds:datastoreItem xmlns:ds="http://schemas.openxmlformats.org/officeDocument/2006/customXml" ds:itemID="{4B4E7F98-9D65-48B3-871B-05BDA208AD77}">
  <ds:schemaRefs>
    <ds:schemaRef ds:uri="http://schemas.microsoft.com/office/2006/documentManagement/types"/>
    <ds:schemaRef ds:uri="http://purl.org/dc/elements/1.1/"/>
    <ds:schemaRef ds:uri="http://schemas.microsoft.com/office/2006/metadata/properties"/>
    <ds:schemaRef ds:uri="http://purl.org/dc/dcmitype/"/>
    <ds:schemaRef ds:uri="http://www.w3.org/XML/1998/namespace"/>
    <ds:schemaRef ds:uri="http://schemas.openxmlformats.org/package/2006/metadata/core-properties"/>
    <ds:schemaRef ds:uri="http://schemas.microsoft.com/office/infopath/2007/PartnerControls"/>
    <ds:schemaRef ds:uri="afd156ce-c20c-4333-9016-100ff8d3ce5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word</vt:lpstr>
      <vt:lpstr>Sample</vt:lpstr>
      <vt:lpstr>Stock</vt:lpstr>
      <vt:lpstr>Instrument</vt:lpstr>
      <vt:lpstr>Retain</vt:lpstr>
      <vt:lpstr>Security</vt:lpstr>
      <vt:lpstr>Workflow</vt:lpstr>
      <vt:lpstr>Customization</vt:lpstr>
      <vt:lpstr>Interface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Mengran Xiao</dc:creator>
  <cp:lastModifiedBy>Mengran Xiao</cp:lastModifiedBy>
  <dcterms:created xsi:type="dcterms:W3CDTF">2015-06-05T18:17:20Z</dcterms:created>
  <dcterms:modified xsi:type="dcterms:W3CDTF">2024-07-15T05:12:08Z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