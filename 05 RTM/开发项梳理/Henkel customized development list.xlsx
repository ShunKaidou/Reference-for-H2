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2.xml" ContentType="application/vnd.openxmlformats-officedocument.drawing+xml"/>
  <Override PartName="/xl/drawings/drawing1.xml" ContentType="application/vnd.openxmlformats-officedocument.drawing+xml"/>
  <Override PartName="/xl/worksheets/sheet6.xml" ContentType="application/vnd.openxmlformats-officedocument.spreadsheetml.worksheet+xml"/>
  <Override PartName="/xl/externalLinks/externalLink1.xml" ContentType="application/vnd.openxmlformats-officedocument.spreadsheetml.externalLink+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https://thermofisher.sharepoint.com/sites/HenkelProjectInternalTeam/Shared Documents/General/05 RTM/开发项梳理/"/>
    </mc:Choice>
  </mc:AlternateContent>
  <xr:revisionPtr revIDLastSave="36" documentId="13_ncr:1_{A1C7039C-5E29-4D0A-A460-33B18FE29F15}" xr6:coauthVersionLast="47" xr6:coauthVersionMax="47" xr10:uidLastSave="{97D2B41F-8D01-49E9-9217-FB8AF73FA400}"/>
  <bookViews>
    <workbookView minimized="1" xWindow="588" yWindow="588" windowWidth="23256" windowHeight="12576" activeTab="1" xr2:uid="{00000000-000D-0000-FFFF-FFFF00000000}"/>
  </bookViews>
  <sheets>
    <sheet name="Requirements Trace Matrix" sheetId="5" r:id="rId1"/>
    <sheet name="Sheet1" sheetId="1" r:id="rId2"/>
    <sheet name="Sheet2" sheetId="4" r:id="rId3"/>
    <sheet name="Henkel Interface List" sheetId="2" r:id="rId4"/>
    <sheet name="排程" sheetId="3" r:id="rId5"/>
    <sheet name="Sheet3" sheetId="6" r:id="rId6"/>
    <sheet name="Sheet4" sheetId="7" r:id="rId7"/>
  </sheets>
  <externalReferences>
    <externalReference r:id="rId8"/>
  </externalReferences>
  <definedNames>
    <definedName name="_xlnm._FilterDatabase" localSheetId="0" hidden="1">'Requirements Trace Matrix'!$A$7:$AI$598</definedName>
    <definedName name="_xlnm._FilterDatabase" localSheetId="1" hidden="1">Sheet1!$A$1:$L$104</definedName>
    <definedName name="Configuration">'Requirements Trace Matrix'!#REF!</definedName>
    <definedName name="cross">"ý"</definedName>
    <definedName name="Include_exclude">[1]Categories!$C$3:$C$4</definedName>
    <definedName name="_xlnm.Print_Area" localSheetId="0">'Requirements Trace Matrix'!$C$1:$AL$536</definedName>
    <definedName name="_xlnm.Print_Titles" localSheetId="0">'Requirements Trace Matrix'!$1:$7</definedName>
    <definedName name="tick">"þ"</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4" l="1"/>
  <c r="C9" i="4"/>
  <c r="B4" i="2"/>
  <c r="B5" i="2"/>
  <c r="B6" i="2"/>
  <c r="A100" i="1"/>
  <c r="A101" i="1"/>
  <c r="A104" i="1"/>
  <c r="A86" i="1"/>
  <c r="A87" i="1"/>
  <c r="A88" i="1"/>
  <c r="A90" i="1"/>
  <c r="A92" i="1"/>
  <c r="A94" i="1"/>
  <c r="A96" i="1"/>
  <c r="A97" i="1"/>
  <c r="A98" i="1"/>
  <c r="A99" i="1"/>
  <c r="B16" i="2"/>
  <c r="B15" i="2"/>
  <c r="B14" i="2"/>
  <c r="B13" i="2"/>
  <c r="B12" i="2"/>
  <c r="B11" i="2"/>
  <c r="B10" i="2"/>
  <c r="B9" i="2"/>
  <c r="B8" i="2"/>
  <c r="B7" i="2"/>
  <c r="B3" i="2"/>
  <c r="B2" i="2"/>
  <c r="A44" i="1"/>
  <c r="A45" i="1"/>
  <c r="A46" i="1"/>
  <c r="A47" i="1"/>
  <c r="A48" i="1"/>
  <c r="A49" i="1"/>
  <c r="A50" i="1"/>
  <c r="A51" i="1"/>
  <c r="A54" i="1"/>
  <c r="A55" i="1"/>
  <c r="A56" i="1"/>
  <c r="A57" i="1"/>
  <c r="A58" i="1"/>
  <c r="A60" i="1"/>
  <c r="A61" i="1"/>
  <c r="A62" i="1"/>
  <c r="A63" i="1"/>
  <c r="A64" i="1"/>
  <c r="A65" i="1"/>
  <c r="A66" i="1"/>
  <c r="A67" i="1"/>
  <c r="A68" i="1"/>
  <c r="A69" i="1"/>
  <c r="A71" i="1"/>
  <c r="A72" i="1"/>
  <c r="A73" i="1"/>
  <c r="A74" i="1"/>
  <c r="A75" i="1"/>
  <c r="A76" i="1"/>
  <c r="A77" i="1"/>
  <c r="A78" i="1"/>
  <c r="A79" i="1"/>
  <c r="A80" i="1"/>
  <c r="A81" i="1"/>
  <c r="A82" i="1"/>
  <c r="A83" i="1"/>
  <c r="A84" i="1"/>
  <c r="A85" i="1"/>
  <c r="A7" i="1"/>
  <c r="A8" i="1"/>
  <c r="A9" i="1"/>
  <c r="A10" i="1"/>
  <c r="A11" i="1"/>
  <c r="A12" i="1"/>
  <c r="A13" i="1"/>
  <c r="A14" i="1"/>
  <c r="A15" i="1"/>
  <c r="A16" i="1"/>
  <c r="A17" i="1"/>
  <c r="A18" i="1"/>
  <c r="A20" i="1"/>
  <c r="A21" i="1"/>
  <c r="A22" i="1"/>
  <c r="A23" i="1"/>
  <c r="A24" i="1"/>
  <c r="A25" i="1"/>
  <c r="A26" i="1"/>
  <c r="A27" i="1"/>
  <c r="A28" i="1"/>
  <c r="A29" i="1"/>
  <c r="A31" i="1"/>
  <c r="A32" i="1"/>
  <c r="A33" i="1"/>
  <c r="A34" i="1"/>
  <c r="A35" i="1"/>
  <c r="A38" i="1"/>
  <c r="A40" i="1"/>
  <c r="A41" i="1"/>
  <c r="A42" i="1"/>
  <c r="A43" i="1"/>
  <c r="A5" i="1"/>
  <c r="A6" i="1"/>
  <c r="A3" i="1"/>
  <c r="A4" i="1"/>
  <c r="A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Dr Barry Pearce</author>
    <author>tc={3D0E20A8-DACE-48A1-850F-11783F4B57A6}</author>
    <author>tc={F6A7690A-6C8F-42CB-8E83-26C0064E9417}</author>
    <author>tc={E4CA2AAF-C0CF-4C51-8BE7-E60243FE23C9}</author>
    <author>tc={1E9FB461-81AC-4662-A565-71EF63D61952}</author>
    <author>tc={3DD9F0AB-D1BF-4428-9445-6AD0FBA4F1D3}</author>
    <author>tc={D843472F-0943-42C5-9122-86C37D702691}</author>
    <author>tc={F1561533-9886-4323-A6B6-4232871D7C0F}</author>
    <author>tc={441CAA9B-A2A4-4371-8F35-5371537DA636}</author>
    <author>tc={A52C04AE-DFEE-4251-98FB-5950E453CE69}</author>
    <author>tc={9B543679-9A75-4879-8D6D-AE14F3C68CF8}</author>
    <author>tc={F987E196-E39A-4248-BC50-952AE60A11E8}</author>
    <author>tc={454C5E7F-6ACB-4AAF-8D49-29290FBCA969}</author>
    <author>tc={21D27FC2-E002-4173-9D89-D64C1598790D}</author>
    <author>tc={3C3578A1-351B-4D6F-8606-E6DBCD8D8FCA}</author>
    <author>tc={44F8609C-84EB-4D74-9CC4-195D37F3CFC3}</author>
    <author>tc={2F0A6179-68FC-4911-A21A-330AB00AE4BE}</author>
    <author>tc={1D75A36D-ABC3-4CDB-A66F-14DBAEB21B1A}</author>
    <author>tc={057A52C6-A81D-4544-9E36-380DBF049584}</author>
    <author>tc={6A2527A8-7259-4056-8665-7150124F8ECB}</author>
    <author>tc={827BED32-B981-48B6-AE58-EE81BFDF7067}</author>
    <author>tc={FFBB8566-0018-49BD-A435-FD8FED7EA301}</author>
    <author>tc={0F5775C7-CF62-45DA-9B62-84BAA9D87A4C}</author>
    <author>tc={E1F845A8-974B-4346-8E1E-7D483ECBEE9A}</author>
    <author>tc={6FFA18C1-7B68-4153-98B2-EFFA775AB7B9}</author>
    <author>tc={C8927CF8-7421-452E-9BA5-96C026975E3A}</author>
    <author>tc={DBCDC110-107F-4B62-B13B-7BB0FCEC8955}</author>
    <author>tc={3750931A-1C88-4D84-82DB-34DB886D84C9}</author>
    <author>tc={784A5EC9-B7BD-487D-A99E-12D37BE254D6}</author>
    <author>tc={B16A1CC2-27A5-4A82-ADDE-87C22D7492C6}</author>
    <author>tc={C69D83CB-F088-4A67-AA64-C30B4B4D11C7}</author>
    <author>tc={56E7EAF8-7DEB-4DF3-8BD8-135512400FF2}</author>
    <author>tc={2FED1468-254D-4FCC-A837-A431A356DC55}</author>
    <author>tc={3EF0B6A9-8E51-4F85-8BC0-D5F2928D4256}</author>
    <author>tc={258ABBAB-8F9A-4E86-B9FB-0D79A0275BAA}</author>
    <author>tc={3F19113F-7CD6-4B0F-BBD6-ABDB5EF00E54}</author>
    <author>tc={8AD3B62E-7515-48EF-B890-9B6B00B11800}</author>
    <author>tc={7AE60D78-B66F-481C-9092-BA7FCF1D650E}</author>
    <author>tc={10651365-38E8-4813-BDC9-8BC0B66587FD}</author>
    <author>tc={5FF0988F-D630-4927-8610-3C5ADE36ABA6}</author>
    <author>tc={D70F3C17-7737-4723-862D-42D87C80A996}</author>
    <author>tc={C826A44B-B959-40BA-9A46-151DD9C298E1}</author>
    <author>tc={079D2EE5-4A2A-4EB6-9565-AF54C8767BF2}</author>
    <author>tc={A21B35D1-586D-4A9F-88E1-52FEB94B8B66}</author>
    <author>tc={8B207976-54FF-4C47-87E5-ACF908435DEA}</author>
  </authors>
  <commentList>
    <comment ref="D7" authorId="0" shapeId="0" xr:uid="{169CFBA6-A442-4A77-AD13-350707543233}">
      <text>
        <r>
          <rPr>
            <sz val="9"/>
            <color indexed="81"/>
            <rFont val="Tahoma"/>
            <family val="2"/>
          </rPr>
          <t xml:space="preserve">This is colmun is typically used to refer to the URS or RFP requirement number
</t>
        </r>
      </text>
    </comment>
    <comment ref="G11" authorId="1" shapeId="0" xr:uid="{3D0E20A8-DACE-48A1-850F-11783F4B57A6}">
      <text>
        <t>[Threaded comment]
Your version of Excel allows you to read this threaded comment; however, any edits to it will get removed if the file is opened in a newer version of Excel. Learn more: https://go.microsoft.com/fwlink/?linkid=870924
Comment:
    It should be used also for standard testing. Ex: Truck RM, 903 - IPQC, non MES plants. Need a configuration to identify these scenarios</t>
      </text>
    </comment>
    <comment ref="G13" authorId="2" shapeId="0" xr:uid="{F6A7690A-6C8F-42CB-8E83-26C0064E9417}">
      <text>
        <t>[Threaded comment]
Your version of Excel allows you to read this threaded comment; however, any edits to it will get removed if the file is opened in a newer version of Excel. Learn more: https://go.microsoft.com/fwlink/?linkid=870924
Comment:
    System shall be able to create sample based on events scheduled within QCLAD</t>
      </text>
    </comment>
    <comment ref="G14" authorId="3" shapeId="0" xr:uid="{E4CA2AAF-C0CF-4C51-8BE7-E60243FE23C9}">
      <text>
        <t>[Threaded comment]
Your version of Excel allows you to read this threaded comment; however, any edits to it will get removed if the file is opened in a newer version of Excel. Learn more: https://go.microsoft.com/fwlink/?linkid=870924
Comment:
    Which has an inspection lot(automatic)</t>
      </text>
    </comment>
    <comment ref="G24" authorId="4" shapeId="0" xr:uid="{1E9FB461-81AC-4662-A565-71EF63D61952}">
      <text>
        <t>[Threaded comment]
Your version of Excel allows you to read this threaded comment; however, any edits to it will get removed if the file is opened in a newer version of Excel. Learn more: https://go.microsoft.com/fwlink/?linkid=870924
Comment:
    Date and time</t>
      </text>
    </comment>
    <comment ref="G26" authorId="5" shapeId="0" xr:uid="{3DD9F0AB-D1BF-4428-9445-6AD0FBA4F1D3}">
      <text>
        <t>[Threaded comment]
Your version of Excel allows you to read this threaded comment; however, any edits to it will get removed if the file is opened in a newer version of Excel. Learn more: https://go.microsoft.com/fwlink/?linkid=870924
Comment:
    Need to add a mandatory comment for the cancellation.</t>
      </text>
    </comment>
    <comment ref="G29" authorId="6" shapeId="0" xr:uid="{D843472F-0943-42C5-9122-86C37D702691}">
      <text>
        <t>[Threaded comment]
Your version of Excel allows you to read this threaded comment; however, any edits to it will get removed if the file is opened in a newer version of Excel. Learn more: https://go.microsoft.com/fwlink/?linkid=870924
Comment:
    Do we need to mention some examples of configurable attributes  to ensure both teams are on same page?
Reply:
    Thermofisher will provide the details for henkel to choose</t>
      </text>
    </comment>
    <comment ref="G37" authorId="7" shapeId="0" xr:uid="{F1561533-9886-4323-A6B6-4232871D7C0F}">
      <text>
        <t>[Threaded comment]
Your version of Excel allows you to read this threaded comment; however, any edits to it will get removed if the file is opened in a newer version of Excel. Learn more: https://go.microsoft.com/fwlink/?linkid=870924
Comment:
    Provision for traceability of split samples with a parent sample should be available</t>
      </text>
    </comment>
    <comment ref="G41" authorId="8" shapeId="0" xr:uid="{441CAA9B-A2A4-4371-8F35-5371537DA636}">
      <text>
        <t>[Threaded comment]
Your version of Excel allows you to read this threaded comment; however, any edits to it will get removed if the file is opened in a newer version of Excel. Learn more: https://go.microsoft.com/fwlink/?linkid=870924
Comment:
    Should be access driven, only specific users with right roles can create or modify</t>
      </text>
    </comment>
    <comment ref="G43" authorId="9" shapeId="0" xr:uid="{A52C04AE-DFEE-4251-98FB-5950E453CE69}">
      <text>
        <t>[Threaded comment]
Your version of Excel allows you to read this threaded comment; however, any edits to it will get removed if the file is opened in a newer version of Excel. Learn more: https://go.microsoft.com/fwlink/?linkid=870924
Comment:
    If the test is failed and need to retest - Based on the sample number, multiple inspection points to be created in SAP for all standard testing flows. This is to record all failure as well as success of parameters in SAP.</t>
      </text>
    </comment>
    <comment ref="I45" authorId="10" shapeId="0" xr:uid="{9B543679-9A75-4879-8D6D-AE14F3C68CF8}">
      <text>
        <t>[Threaded comment]
Your version of Excel allows you to read this threaded comment; however, any edits to it will get removed if the file is opened in a newer version of Excel. Learn more: https://go.microsoft.com/fwlink/?linkid=870924
Comment:
    Why is this item customisation as it is standard functionality
Reply:
    All with interface is customisation for us</t>
      </text>
    </comment>
    <comment ref="G49" authorId="11" shapeId="0" xr:uid="{F987E196-E39A-4248-BC50-952AE60A11E8}">
      <text>
        <t>[Threaded comment]
Your version of Excel allows you to read this threaded comment; however, any edits to it will get removed if the file is opened in a newer version of Excel. Learn more: https://go.microsoft.com/fwlink/?linkid=870924
Comment:
    Specification limit to be pulled from SAP inspection plan</t>
      </text>
    </comment>
    <comment ref="G57" authorId="12" shapeId="0" xr:uid="{454C5E7F-6ACB-4AAF-8D49-29290FBCA969}">
      <text>
        <t>[Threaded comment]
Your version of Excel allows you to read this threaded comment; however, any edits to it will get removed if the file is opened in a newer version of Excel. Learn more: https://go.microsoft.com/fwlink/?linkid=870924
Comment:
    It can be barcode or QRCode</t>
      </text>
    </comment>
    <comment ref="G70" authorId="13" shapeId="0" xr:uid="{21D27FC2-E002-4173-9D89-D64C1598790D}">
      <text>
        <t>[Threaded comment]
Your version of Excel allows you to read this threaded comment; however, any edits to it will get removed if the file is opened in a newer version of Excel. Learn more: https://go.microsoft.com/fwlink/?linkid=870924
Comment:
    What all attributes can be modified should be configurable and access driven.</t>
      </text>
    </comment>
    <comment ref="G77" authorId="14" shapeId="0" xr:uid="{3C3578A1-351B-4D6F-8606-E6DBCD8D8FCA}">
      <text>
        <t>[Threaded comment]
Your version of Excel allows you to read this threaded comment; however, any edits to it will get removed if the file is opened in a newer version of Excel. Learn more: https://go.microsoft.com/fwlink/?linkid=870924
Comment:
    For RM, in case CoA data already available in SAP inspection lot, the details should be displayed even if the data entry is not required in QCLAD
Reply:
    Details: Data recorded within inspection lot, MIC, Spec, Test result</t>
      </text>
    </comment>
    <comment ref="G81" authorId="15" shapeId="0" xr:uid="{44F8609C-84EB-4D74-9CC4-195D37F3CFC3}">
      <text>
        <t>[Threaded comment]
Your version of Excel allows you to read this threaded comment; however, any edits to it will get removed if the file is opened in a newer version of Excel. Learn more: https://go.microsoft.com/fwlink/?linkid=870924
Comment:
    The instructions of calculations, lab instruments to be pulled from SOP.
Reply:
    Approved by Thermofisher 2024/06/18</t>
      </text>
    </comment>
    <comment ref="G92" authorId="16" shapeId="0" xr:uid="{2F0A6179-68FC-4911-A21A-330AB00AE4BE}">
      <text>
        <t>[Threaded comment]
Your version of Excel allows you to read this threaded comment; however, any edits to it will get removed if the file is opened in a newer version of Excel. Learn more: https://go.microsoft.com/fwlink/?linkid=870924
Comment:
    Multiple test, samples can be from different materials, material types(Raw material, Semi finished goods, finished goods)
Reply:
    Approved by Thermofisher 2024/06/18</t>
      </text>
    </comment>
    <comment ref="G96" authorId="17" shapeId="0" xr:uid="{1D75A36D-ABC3-4CDB-A66F-14DBAEB21B1A}">
      <text>
        <t xml:space="preserve">[Threaded comment]
Your version of Excel allows you to read this threaded comment; however, any edits to it will get removed if the file is opened in a newer version of Excel. Learn more: https://go.microsoft.com/fwlink/?linkid=870924
Comment:
    Only for active samples. </t>
      </text>
    </comment>
    <comment ref="G99" authorId="18" shapeId="0" xr:uid="{057A52C6-A81D-4544-9E36-380DBF049584}">
      <text>
        <t>[Threaded comment]
Your version of Excel allows you to read this threaded comment; however, any edits to it will get removed if the file is opened in a newer version of Excel. Learn more: https://go.microsoft.com/fwlink/?linkid=870924
Comment:
    What data to be captured need to be aligned with Henkel team
Reply:
    Need more discussion</t>
      </text>
    </comment>
    <comment ref="G115" authorId="19" shapeId="0" xr:uid="{6A2527A8-7259-4056-8665-7150124F8ECB}">
      <text>
        <t>[Threaded comment]
Your version of Excel allows you to read this threaded comment; however, any edits to it will get removed if the file is opened in a newer version of Excel. Learn more: https://go.microsoft.com/fwlink/?linkid=870924
Comment:
    Test method</t>
      </text>
    </comment>
    <comment ref="G118" authorId="20" shapeId="0" xr:uid="{827BED32-B981-48B6-AE58-EE81BFDF7067}">
      <text>
        <t>[Threaded comment]
Your version of Excel allows you to read this threaded comment; however, any edits to it will get removed if the file is opened in a newer version of Excel. Learn more: https://go.microsoft.com/fwlink/?linkid=870924
Comment:
    Need to record the information who/what/when changed for audit purpose</t>
      </text>
    </comment>
    <comment ref="G123" authorId="21" shapeId="0" xr:uid="{FFBB8566-0018-49BD-A435-FD8FED7EA301}">
      <text>
        <t>[Threaded comment]
Your version of Excel allows you to read this threaded comment; however, any edits to it will get removed if the file is opened in a newer version of Excel. Learn more: https://go.microsoft.com/fwlink/?linkid=870924
Comment:
    Recording one result should be 1 user responsibility but test can be started by one person and continued by another person.
Reply:
    Confimed with Thermofisher 2024/06/18</t>
      </text>
    </comment>
    <comment ref="G132" authorId="22" shapeId="0" xr:uid="{0F5775C7-CF62-45DA-9B62-84BAA9D87A4C}">
      <text>
        <t>[Threaded comment]
Your version of Excel allows you to read this threaded comment; however, any edits to it will get removed if the file is opened in a newer version of Excel. Learn more: https://go.microsoft.com/fwlink/?linkid=870924
Comment:
    Peer review should be configurable at material group level
Reply:
    There should be configurable option.</t>
      </text>
    </comment>
    <comment ref="G148" authorId="23" shapeId="0" xr:uid="{E1F845A8-974B-4346-8E1E-7D483ECBEE9A}">
      <text>
        <t>[Threaded comment]
Your version of Excel allows you to read this threaded comment; however, any edits to it will get removed if the file is opened in a newer version of Excel. Learn more: https://go.microsoft.com/fwlink/?linkid=870924
Comment:
    Return to tester - reviewer should be able to select the operator and sample status have to be changed back to test status</t>
      </text>
    </comment>
    <comment ref="G173" authorId="24" shapeId="0" xr:uid="{6FFA18C1-7B68-4153-98B2-EFFA775AB7B9}">
      <text>
        <t>[Threaded comment]
Your version of Excel allows you to read this threaded comment; however, any edits to it will get removed if the file is opened in a newer version of Excel. Learn more: https://go.microsoft.com/fwlink/?linkid=870924
Comment:
    Loading of reports should be in seconds. If user selects a range which will take time system should give warning of response time so that user can change the date range or wait for the delay</t>
      </text>
    </comment>
    <comment ref="G181" authorId="25" shapeId="0" xr:uid="{C8927CF8-7421-452E-9BA5-96C026975E3A}">
      <text>
        <t>[Threaded comment]
Your version of Excel allows you to read this threaded comment; however, any edits to it will get removed if the file is opened in a newer version of Excel. Learn more: https://go.microsoft.com/fwlink/?linkid=870924
Comment:
    Or store the file in a configurable shared drive
Reply:
    Manually or automatically
Reply:
    Automatically to a sharefolder</t>
      </text>
    </comment>
    <comment ref="G300" authorId="26" shapeId="0" xr:uid="{DBCDC110-107F-4B62-B13B-7BB0FCEC8955}">
      <text>
        <t>[Threaded comment]
Your version of Excel allows you to read this threaded comment; however, any edits to it will get removed if the file is opened in a newer version of Excel. Learn more: https://go.microsoft.com/fwlink/?linkid=870924
Comment:
    For Type C and type D only manual entry. It should also override the results recorded from Type A and Type B in case there are any issues in data capture.</t>
      </text>
    </comment>
    <comment ref="G303" authorId="27" shapeId="0" xr:uid="{3750931A-1C88-4D84-82DB-34DB886D84C9}">
      <text>
        <t xml:space="preserve">[Threaded comment]
Your version of Excel allows you to read this threaded comment; however, any edits to it will get removed if the file is opened in a newer version of Excel. Learn more: https://go.microsoft.com/fwlink/?linkid=870924
Comment:
    what is export readable file?
Reply:
    That means readable files generated by Type B instrument software should be exported to QCLaD for test result
Reply:
    If Type B instrument can generate a file, the integration should be possible. For Type A, there wont be any file
</t>
      </text>
    </comment>
    <comment ref="G315" authorId="28" shapeId="0" xr:uid="{784A5EC9-B7BD-487D-A99E-12D37BE254D6}">
      <text>
        <t>[Threaded comment]
Your version of Excel allows you to read this threaded comment; however, any edits to it will get removed if the file is opened in a newer version of Excel. Learn more: https://go.microsoft.com/fwlink/?linkid=870924
Comment:
    System shall display standard cycle time, operator id who is performing the task, items consumed in the test process and its quantity. We also need to check whether it is possible to get actual cycle time of sample testing.
Reply:
    For cycle time of test under MIC level, the system should be able to compare standard cycle time to actual cycle time.
Reply:
    Update</t>
      </text>
    </comment>
    <comment ref="G325" authorId="29" shapeId="0" xr:uid="{B16A1CC2-27A5-4A82-ADDE-87C22D7492C6}">
      <text>
        <t>[Threaded comment]
Your version of Excel allows you to read this threaded comment; however, any edits to it will get removed if the file is opened in a newer version of Excel. Learn more: https://go.microsoft.com/fwlink/?linkid=870924
Comment:
    Should be "click and view" the hyperlink as hyperlink url to be added in master data as part of SOP/workflow.
Reply:
    Updated</t>
      </text>
    </comment>
    <comment ref="G328" authorId="30" shapeId="0" xr:uid="{C69D83CB-F088-4A67-AA64-C30B4B4D11C7}">
      <text>
        <t>[Threaded comment]
Your version of Excel allows you to read this threaded comment; however, any edits to it will get removed if the file is opened in a newer version of Excel. Learn more: https://go.microsoft.com/fwlink/?linkid=870924
Comment:
    System should allow scanning of labels or QR code from iPAD or tablet. 
Reply:
    Ipad cannot scan label or QR directly, need a tablet with a scanning camera.
Reply:
    What they mention tablet is a Ipad slightly bigger than the normal one for better handling and it has the scanning function. Henkel need to understand whether we can utilize the existing Ipads and scanning guns to realize the operation of QCLaD.</t>
      </text>
    </comment>
    <comment ref="G338" authorId="31" shapeId="0" xr:uid="{56E7EAF8-7DEB-4DF3-8BD8-135512400FF2}">
      <text>
        <t>[Threaded comment]
Your version of Excel allows you to read this threaded comment; however, any edits to it will get removed if the file is opened in a newer version of Excel. Learn more: https://go.microsoft.com/fwlink/?linkid=870924
Comment:
    what does remote location means?
Reply:
    Maybe refer to client?
Reply:
    This is what we want to confirm with you . Our understanding is system support remote operation
Reply:
    Confirmed, the sample entry and test instrument  may not be in the same room.</t>
      </text>
    </comment>
    <comment ref="G480" authorId="32" shapeId="0" xr:uid="{2FED1468-254D-4FCC-A837-A431A356DC55}">
      <text>
        <t>[Threaded comment]
Your version of Excel allows you to read this threaded comment; however, any edits to it will get removed if the file is opened in a newer version of Excel. Learn more: https://go.microsoft.com/fwlink/?linkid=870924
Comment:
    Specification and parameters have to be maintained in equipment master data whereas the details of spare parts, calibration and maintenance requirements to be available in their respective SOPs. 
Reply:
    Update</t>
      </text>
    </comment>
    <comment ref="G489" authorId="33" shapeId="0" xr:uid="{3EF0B6A9-8E51-4F85-8BC0-D5F2928D4256}">
      <text>
        <t>[Threaded comment]
Your version of Excel allows you to read this threaded comment; however, any edits to it will get removed if the file is opened in a newer version of Excel. Learn more: https://go.microsoft.com/fwlink/?linkid=870924
Comment:
    Instrument is out of scope in alerting users of expiry
Reply:
    Yes，update</t>
      </text>
    </comment>
    <comment ref="G491" authorId="34" shapeId="0" xr:uid="{258ABBAB-8F9A-4E86-B9FB-0D79A0275BAA}">
      <text>
        <t xml:space="preserve">[Threaded comment]
Your version of Excel allows you to read this threaded comment; however, any edits to it will get removed if the file is opened in a newer version of Excel. Learn more: https://go.microsoft.com/fwlink/?linkid=870924
Comment:
    System should not allow the user to take a testing task if the operator is not qualified
Reply:
    Agreed.
Reply:
    Update
</t>
      </text>
    </comment>
    <comment ref="G498" authorId="35" shapeId="0" xr:uid="{3F19113F-7CD6-4B0F-BBD6-ABDB5EF00E54}">
      <text>
        <t>[Threaded comment]
Your version of Excel allows you to read this threaded comment; however, any edits to it will get removed if the file is opened in a newer version of Excel. Learn more: https://go.microsoft.com/fwlink/?linkid=870924
Comment:
    The fields for master data to be agreed by both teams
Reply:
    Agree</t>
      </text>
    </comment>
    <comment ref="G506" authorId="36" shapeId="0" xr:uid="{8AD3B62E-7515-48EF-B890-9B6B00B11800}">
      <text>
        <t>[Threaded comment]
Your version of Excel allows you to read this threaded comment; however, any edits to it will get removed if the file is opened in a newer version of Excel. Learn more: https://go.microsoft.com/fwlink/?linkid=870924
Comment:
    User's training module should be a part of OSDP. It is out of scope based on our pre-alignment with Anson</t>
      </text>
    </comment>
    <comment ref="G514" authorId="37" shapeId="0" xr:uid="{7AE60D78-B66F-481C-9092-BA7FCF1D650E}">
      <text>
        <t>[Threaded comment]
Your version of Excel allows you to read this threaded comment; however, any edits to it will get removed if the file is opened in a newer version of Excel. Learn more: https://go.microsoft.com/fwlink/?linkid=870924
Comment:
    do we need to mention where all the custom calculations are required?
Reply:
    Custom calculations means there are some intermediate result for some tests. The final result should be calculated according to the intermediate results and a configurable formula.
Reply:
    We will reach an agreement during implementation.</t>
      </text>
    </comment>
    <comment ref="G518" authorId="38" shapeId="0" xr:uid="{10651365-38E8-4813-BDC9-8BC0B66587FD}">
      <text>
        <t>[Threaded comment]
Your version of Excel allows you to read this threaded comment; however, any edits to it will get removed if the file is opened in a newer version of Excel. Learn more: https://go.microsoft.com/fwlink/?linkid=870924
Comment:
    what is multi level product specification? Do we need to mention the details?
Reply:
    Like internal spec for Summer and spec for winter.
Reply:
    We can omit multi-level product specification part.</t>
      </text>
    </comment>
    <comment ref="G527" authorId="39" shapeId="0" xr:uid="{5FF0988F-D630-4927-8610-3C5ADE36ABA6}">
      <text>
        <t>[Threaded comment]
Your version of Excel allows you to read this threaded comment; however, any edits to it will get removed if the file is opened in a newer version of Excel. Learn more: https://go.microsoft.com/fwlink/?linkid=870924
Comment:
    do we also need maximum quantity?
Reply:
    Yes, for flammable and explosive reagents 
Reply:
    TF need to add maximum part also
Reply:
    update</t>
      </text>
    </comment>
    <comment ref="G534" authorId="40" shapeId="0" xr:uid="{D70F3C17-7737-4723-862D-42D87C80A996}">
      <text>
        <t>[Threaded comment]
Your version of Excel allows you to read this threaded comment; however, any edits to it will get removed if the file is opened in a newer version of Excel. Learn more: https://go.microsoft.com/fwlink/?linkid=870924
Comment:
    The understanding, by giving the material and batch, we should be able to retrieve the storage location for consumables, retain sample
Reply:
    Exactly
Reply:
    update</t>
      </text>
    </comment>
    <comment ref="G538" authorId="41" shapeId="0" xr:uid="{C826A44B-B959-40BA-9A46-151DD9C298E1}">
      <text>
        <t>[Threaded comment]
Your version of Excel allows you to read this threaded comment; however, any edits to it will get removed if the file is opened in a newer version of Excel. Learn more: https://go.microsoft.com/fwlink/?linkid=870924
Comment:
    Stock solution is an intermediate solution created from two or more consumables
Reply:
    Yes</t>
      </text>
    </comment>
    <comment ref="G551" authorId="42" shapeId="0" xr:uid="{079D2EE5-4A2A-4EB6-9565-AF54C8767BF2}">
      <text>
        <t xml:space="preserve">[Threaded comment]
Your version of Excel allows you to read this threaded comment; however, any edits to it will get removed if the file is opened in a newer version of Excel. Learn more: https://go.microsoft.com/fwlink/?linkid=870924
Comment:
    what is the basis of automatic assignment?
Reply:
    Can be found in task list
Reply:
    Solution preparation will also be maintained in skill matrix. </t>
      </text>
    </comment>
    <comment ref="G552" authorId="43" shapeId="0" xr:uid="{A21B35D1-586D-4A9F-88E1-52FEB94B8B66}">
      <text>
        <t>[Threaded comment]
Your version of Excel allows you to read this threaded comment; however, any edits to it will get removed if the file is opened in a newer version of Excel. Learn more: https://go.microsoft.com/fwlink/?linkid=870924
Comment:
    need to add the maintenance of instruments in OSDP as one skill. This should be available for each equipment</t>
      </text>
    </comment>
    <comment ref="G555" authorId="44" shapeId="0" xr:uid="{8B207976-54FF-4C47-87E5-ACF908435DEA}">
      <text>
        <t>[Threaded comment]
Your version of Excel allows you to read this threaded comment; however, any edits to it will get removed if the file is opened in a newer version of Excel. Learn more: https://go.microsoft.com/fwlink/?linkid=870924
Comment:
    GHS information to be pulled from SAP system
Reply:
    update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tc={A5C94EE2-B369-4018-BACC-0C733790F83F}</author>
    <author>tc={77B1EAB3-D656-41B0-A9E9-D9D2DF563897}</author>
    <author>tc={955DA227-A5C8-4025-8802-80C1B1E71DBA}</author>
    <author>tc={047121DE-2100-4E40-AC42-6E7D073C36A0}</author>
  </authors>
  <commentList>
    <comment ref="H2" authorId="0" shapeId="0" xr:uid="{A5C94EE2-B369-4018-BACC-0C733790F83F}">
      <text>
        <t>[Threaded comment]
Your version of Excel allows you to read this threaded comment; however, any edits to it will get removed if the file is opened in a newer version of Excel. Learn more: https://go.microsoft.com/fwlink/?linkid=870924
Comment:
    Which has an inspection lot(automatic)</t>
      </text>
    </comment>
    <comment ref="K5" authorId="1" shapeId="0" xr:uid="{77B1EAB3-D656-41B0-A9E9-D9D2DF563897}">
      <text>
        <t>[Threaded comment]
Your version of Excel allows you to read this threaded comment; however, any edits to it will get removed if the file is opened in a newer version of Excel. Learn more: https://go.microsoft.com/fwlink/?linkid=870924
Comment:
    Why is this item customisation as it is standard functionality
Reply:
    All with interface is customisation for us</t>
      </text>
    </comment>
    <comment ref="H7" authorId="2" shapeId="0" xr:uid="{955DA227-A5C8-4025-8802-80C1B1E71DBA}">
      <text>
        <t>[Threaded comment]
Your version of Excel allows you to read this threaded comment; however, any edits to it will get removed if the file is opened in a newer version of Excel. Learn more: https://go.microsoft.com/fwlink/?linkid=870924
Comment:
    It can be barcode or QRCode</t>
      </text>
    </comment>
    <comment ref="H103" authorId="3" shapeId="0" xr:uid="{047121DE-2100-4E40-AC42-6E7D073C36A0}">
      <text>
        <t xml:space="preserve">[Threaded comment]
Your version of Excel allows you to read this threaded comment; however, any edits to it will get removed if the file is opened in a newer version of Excel. Learn more: https://go.microsoft.com/fwlink/?linkid=870924
Comment:
    what is the basis of automatic assignment?
Reply:
    Can be found in task list
Reply:
    Solution preparation will also be maintained in skill matrix. </t>
      </text>
    </comment>
  </commentList>
</comments>
</file>

<file path=xl/sharedStrings.xml><?xml version="1.0" encoding="utf-8"?>
<sst xmlns="http://schemas.openxmlformats.org/spreadsheetml/2006/main" count="4544" uniqueCount="1723">
  <si>
    <t>序号</t>
    <phoneticPr fontId="2" type="noConversion"/>
  </si>
  <si>
    <t>Functional Area / Workshop</t>
    <phoneticPr fontId="2" type="noConversion"/>
  </si>
  <si>
    <t>URS Ref.</t>
    <phoneticPr fontId="2" type="noConversion"/>
  </si>
  <si>
    <t xml:space="preserve">Delivery Phase </t>
    <phoneticPr fontId="2" type="noConversion"/>
  </si>
  <si>
    <t>Requirement - English</t>
    <phoneticPr fontId="2" type="noConversion"/>
  </si>
  <si>
    <t>Requirement - Chinese</t>
    <phoneticPr fontId="2" type="noConversion"/>
  </si>
  <si>
    <t>Priority</t>
  </si>
  <si>
    <t>type</t>
    <phoneticPr fontId="2" type="noConversion"/>
  </si>
  <si>
    <t>Desing Idea</t>
    <phoneticPr fontId="2" type="noConversion"/>
  </si>
  <si>
    <t>Sample Login/Sample Receipt</t>
    <phoneticPr fontId="2" type="noConversion"/>
  </si>
  <si>
    <t>4.1.1.2.1</t>
  </si>
  <si>
    <t>Phase A</t>
  </si>
  <si>
    <t>System shall be able to receive inspection lot  from SAP and create sample and test.
Refer to 4.5.1.1 above</t>
    <phoneticPr fontId="2" type="noConversion"/>
  </si>
  <si>
    <r>
      <rPr>
        <sz val="11"/>
        <color rgb="FF000000"/>
        <rFont val="Microsoft YaHei UI"/>
        <family val="1"/>
        <charset val="134"/>
      </rPr>
      <t>系统应能从</t>
    </r>
    <r>
      <rPr>
        <sz val="11"/>
        <color rgb="FF000000"/>
        <rFont val="Cambria"/>
        <family val="1"/>
      </rPr>
      <t xml:space="preserve"> SAP </t>
    </r>
    <r>
      <rPr>
        <sz val="11"/>
        <color rgb="FF000000"/>
        <rFont val="Microsoft YaHei UI"/>
        <family val="1"/>
        <charset val="134"/>
      </rPr>
      <t>接收检验批次，并创建样品和进行检验。</t>
    </r>
    <phoneticPr fontId="2" type="noConversion"/>
  </si>
  <si>
    <t>Customisation</t>
  </si>
  <si>
    <t>接口</t>
    <phoneticPr fontId="2" type="noConversion"/>
  </si>
  <si>
    <t>4.1.1.2.2</t>
  </si>
  <si>
    <t>Phase B</t>
  </si>
  <si>
    <t>System shall be able to trigger a resample from MES.</t>
  </si>
  <si>
    <r>
      <rPr>
        <sz val="11"/>
        <rFont val="Microsoft YaHei UI"/>
        <family val="1"/>
        <charset val="134"/>
      </rPr>
      <t>系统应能触发</t>
    </r>
    <r>
      <rPr>
        <sz val="11"/>
        <rFont val="Cambria"/>
        <family val="1"/>
      </rPr>
      <t xml:space="preserve"> MES </t>
    </r>
    <r>
      <rPr>
        <sz val="11"/>
        <rFont val="Microsoft YaHei UI"/>
        <family val="1"/>
        <charset val="134"/>
      </rPr>
      <t>的重新采样。</t>
    </r>
    <phoneticPr fontId="2" type="noConversion"/>
  </si>
  <si>
    <t>4.1.1.3.2</t>
  </si>
  <si>
    <t>System shall be able to scan the Labels from MES system and fetch unique ID.</t>
  </si>
  <si>
    <r>
      <rPr>
        <sz val="11"/>
        <rFont val="Microsoft YaHei UI"/>
        <family val="1"/>
        <charset val="134"/>
      </rPr>
      <t>系统应能从</t>
    </r>
    <r>
      <rPr>
        <sz val="11"/>
        <rFont val="Cambria"/>
        <family val="1"/>
      </rPr>
      <t xml:space="preserve"> MES </t>
    </r>
    <r>
      <rPr>
        <sz val="11"/>
        <rFont val="Microsoft YaHei UI"/>
        <family val="1"/>
        <charset val="134"/>
      </rPr>
      <t>系统中扫描标签并获取唯一</t>
    </r>
    <r>
      <rPr>
        <sz val="11"/>
        <rFont val="Cambria"/>
        <family val="1"/>
      </rPr>
      <t xml:space="preserve"> ID</t>
    </r>
    <r>
      <rPr>
        <sz val="11"/>
        <rFont val="Microsoft YaHei UI"/>
        <family val="1"/>
        <charset val="134"/>
      </rPr>
      <t>。</t>
    </r>
    <phoneticPr fontId="2" type="noConversion"/>
  </si>
  <si>
    <t>定制开发，样品在接收的时候，将MES的标签上的ID存在sample表中，与sample中的id对应</t>
    <phoneticPr fontId="2" type="noConversion"/>
  </si>
  <si>
    <t>4.1.1.11.3</t>
  </si>
  <si>
    <t>System shall be push all failure as well as success of parameters to SAP.
Refer to 4.5.1.7 above</t>
    <phoneticPr fontId="2" type="noConversion"/>
  </si>
  <si>
    <r>
      <rPr>
        <sz val="11"/>
        <color rgb="FF000000"/>
        <rFont val="Microsoft YaHei UI"/>
        <family val="1"/>
        <charset val="134"/>
      </rPr>
      <t>系统应将所有失败和成功的参数推送至</t>
    </r>
    <r>
      <rPr>
        <sz val="11"/>
        <color rgb="FF000000"/>
        <rFont val="Cambria"/>
        <family val="1"/>
      </rPr>
      <t xml:space="preserve"> SAP</t>
    </r>
    <r>
      <rPr>
        <sz val="11"/>
        <color rgb="FF000000"/>
        <rFont val="Microsoft YaHei UI"/>
        <family val="1"/>
        <charset val="134"/>
      </rPr>
      <t>。</t>
    </r>
    <phoneticPr fontId="2" type="noConversion"/>
  </si>
  <si>
    <t>4.1.1.13.2</t>
  </si>
  <si>
    <t>System shall be receive specification limit to be pulled from SAP.</t>
  </si>
  <si>
    <r>
      <rPr>
        <sz val="11"/>
        <color rgb="FF000000"/>
        <rFont val="Microsoft YaHei UI"/>
        <family val="1"/>
        <charset val="134"/>
      </rPr>
      <t>系统应接收从</t>
    </r>
    <r>
      <rPr>
        <sz val="11"/>
        <color rgb="FF000000"/>
        <rFont val="Cambria"/>
        <family val="1"/>
      </rPr>
      <t xml:space="preserve"> SAP </t>
    </r>
    <r>
      <rPr>
        <sz val="11"/>
        <color rgb="FF000000"/>
        <rFont val="Microsoft YaHei UI"/>
        <family val="1"/>
        <charset val="134"/>
      </rPr>
      <t>提取的规格限制。</t>
    </r>
    <phoneticPr fontId="2" type="noConversion"/>
  </si>
  <si>
    <t>4.1.1.16.1</t>
  </si>
  <si>
    <t>System shall be able to scan barcode or QRCode and match barcode or QRCode sample in QCLAD system.</t>
  </si>
  <si>
    <r>
      <rPr>
        <sz val="11"/>
        <rFont val="Microsoft YaHei UI"/>
        <family val="1"/>
        <charset val="134"/>
      </rPr>
      <t>系统应能扫描条形码或</t>
    </r>
    <r>
      <rPr>
        <sz val="11"/>
        <rFont val="Cambria"/>
        <family val="1"/>
      </rPr>
      <t xml:space="preserve"> QRC </t>
    </r>
    <r>
      <rPr>
        <sz val="11"/>
        <rFont val="Microsoft YaHei UI"/>
        <family val="1"/>
        <charset val="134"/>
      </rPr>
      <t>码，并与</t>
    </r>
    <r>
      <rPr>
        <sz val="11"/>
        <rFont val="Cambria"/>
        <family val="1"/>
      </rPr>
      <t xml:space="preserve"> QCLAD </t>
    </r>
    <r>
      <rPr>
        <sz val="11"/>
        <rFont val="Microsoft YaHei UI"/>
        <family val="1"/>
        <charset val="134"/>
      </rPr>
      <t>系统中的条形码或</t>
    </r>
    <r>
      <rPr>
        <sz val="11"/>
        <rFont val="Cambria"/>
        <family val="1"/>
      </rPr>
      <t xml:space="preserve"> QRC </t>
    </r>
    <r>
      <rPr>
        <sz val="11"/>
        <rFont val="Microsoft YaHei UI"/>
        <family val="1"/>
        <charset val="134"/>
      </rPr>
      <t>码样本相匹配。</t>
    </r>
    <phoneticPr fontId="2" type="noConversion"/>
  </si>
  <si>
    <t>标准样品是MES标签，非标准样品是QCLaD标签</t>
    <phoneticPr fontId="2" type="noConversion"/>
  </si>
  <si>
    <t>4.1.1.17.2</t>
  </si>
  <si>
    <t>System shall be automatically login samples from SAP.</t>
    <phoneticPr fontId="2" type="noConversion"/>
  </si>
  <si>
    <r>
      <t>系统将自动从</t>
    </r>
    <r>
      <rPr>
        <sz val="11"/>
        <rFont val="Cambria"/>
        <family val="1"/>
      </rPr>
      <t xml:space="preserve"> SAP </t>
    </r>
    <r>
      <rPr>
        <sz val="11"/>
        <rFont val="NSimSun"/>
        <family val="3"/>
        <charset val="134"/>
      </rPr>
      <t>中登录样本。</t>
    </r>
    <phoneticPr fontId="2" type="noConversion"/>
  </si>
  <si>
    <t>4.1.1.17.3</t>
  </si>
  <si>
    <t>System shall be automatically login samples from MES.</t>
  </si>
  <si>
    <r>
      <rPr>
        <sz val="11"/>
        <rFont val="Microsoft YaHei UI"/>
        <family val="1"/>
        <charset val="134"/>
      </rPr>
      <t>系统将自动从</t>
    </r>
    <r>
      <rPr>
        <sz val="11"/>
        <rFont val="Cambria"/>
        <family val="1"/>
      </rPr>
      <t xml:space="preserve"> MES </t>
    </r>
    <r>
      <rPr>
        <sz val="11"/>
        <rFont val="Microsoft YaHei UI"/>
        <family val="1"/>
        <charset val="134"/>
      </rPr>
      <t>中登录样品。</t>
    </r>
    <phoneticPr fontId="2" type="noConversion"/>
  </si>
  <si>
    <t>4.1.1.18.1</t>
  </si>
  <si>
    <t>Must</t>
  </si>
  <si>
    <t>4.1.1.18.2</t>
  </si>
  <si>
    <t>System shall be able to receive sample by scanning MES label</t>
  </si>
  <si>
    <r>
      <rPr>
        <sz val="11"/>
        <rFont val="Microsoft YaHei UI"/>
        <family val="1"/>
        <charset val="134"/>
      </rPr>
      <t>系统应能通过扫描</t>
    </r>
    <r>
      <rPr>
        <sz val="11"/>
        <rFont val="Cambria"/>
        <family val="1"/>
      </rPr>
      <t xml:space="preserve"> MES </t>
    </r>
    <r>
      <rPr>
        <sz val="11"/>
        <rFont val="Microsoft YaHei UI"/>
        <family val="1"/>
        <charset val="134"/>
      </rPr>
      <t>标签接收样品</t>
    </r>
    <phoneticPr fontId="2" type="noConversion"/>
  </si>
  <si>
    <t>Sample Testing/Results Entry</t>
    <phoneticPr fontId="2" type="noConversion"/>
  </si>
  <si>
    <t>4.1.2.1.1</t>
  </si>
  <si>
    <t>System shall be able to assign tests to an operator manually or automatically.</t>
  </si>
  <si>
    <t>系统应能手动或自动为操作员分配测试任务。</t>
    <phoneticPr fontId="2" type="noConversion"/>
  </si>
  <si>
    <t>定制开发，手动分配参考PT功能</t>
    <phoneticPr fontId="20" type="noConversion"/>
  </si>
  <si>
    <t>4.1.2.1.2</t>
  </si>
  <si>
    <t>Automatically assigning details refer to 4.2.1.1 part.</t>
  </si>
  <si>
    <r>
      <t>自动分配详情请参阅</t>
    </r>
    <r>
      <rPr>
        <sz val="11"/>
        <rFont val="Cambria"/>
        <family val="1"/>
      </rPr>
      <t xml:space="preserve"> 4.2.1.1 </t>
    </r>
    <r>
      <rPr>
        <sz val="11"/>
        <rFont val="NSimSun"/>
        <family val="3"/>
        <charset val="134"/>
      </rPr>
      <t>部分。</t>
    </r>
  </si>
  <si>
    <t>4.1.2.1.3</t>
  </si>
  <si>
    <t>System shall support to stop or modify auto assign task.</t>
  </si>
  <si>
    <t>系统应支持停止或修改自动分配任务。</t>
    <phoneticPr fontId="2" type="noConversion"/>
  </si>
  <si>
    <t>定制开发，修改任务的分配，手动分配</t>
    <phoneticPr fontId="2" type="noConversion"/>
  </si>
  <si>
    <t>4.1.2.1.4</t>
  </si>
  <si>
    <t>System shall be able to assign test based on the versatility matrix from OSDP system once integrated.</t>
  </si>
  <si>
    <r>
      <rPr>
        <sz val="11"/>
        <rFont val="Microsoft YaHei UI"/>
        <family val="1"/>
        <charset val="134"/>
      </rPr>
      <t>系统整合后，应能根据</t>
    </r>
    <r>
      <rPr>
        <sz val="11"/>
        <rFont val="Cambria"/>
        <family val="1"/>
      </rPr>
      <t xml:space="preserve"> OSDP </t>
    </r>
    <r>
      <rPr>
        <sz val="11"/>
        <rFont val="Microsoft YaHei UI"/>
        <family val="1"/>
        <charset val="134"/>
      </rPr>
      <t>系统的多功能矩阵分配测试。</t>
    </r>
    <phoneticPr fontId="2" type="noConversion"/>
  </si>
  <si>
    <t>4.1.2.3.2</t>
  </si>
  <si>
    <t>System shall be able to retrive the result data in CoA data already available in SAP inspection lot.</t>
  </si>
  <si>
    <r>
      <rPr>
        <sz val="11"/>
        <rFont val="Microsoft YaHei UI"/>
        <family val="1"/>
        <charset val="134"/>
      </rPr>
      <t>系统应能检索</t>
    </r>
    <r>
      <rPr>
        <sz val="11"/>
        <rFont val="Cambria"/>
        <family val="1"/>
      </rPr>
      <t xml:space="preserve"> SAP </t>
    </r>
    <r>
      <rPr>
        <sz val="11"/>
        <rFont val="Microsoft YaHei UI"/>
        <family val="1"/>
        <charset val="134"/>
      </rPr>
      <t>检验批次中已有的</t>
    </r>
    <r>
      <rPr>
        <sz val="11"/>
        <rFont val="Cambria"/>
        <family val="1"/>
      </rPr>
      <t xml:space="preserve"> CoA </t>
    </r>
    <r>
      <rPr>
        <sz val="11"/>
        <rFont val="Microsoft YaHei UI"/>
        <family val="1"/>
        <charset val="134"/>
      </rPr>
      <t>数据中的结果数据。</t>
    </r>
    <phoneticPr fontId="2" type="noConversion"/>
  </si>
  <si>
    <t>4.1.2.3.3</t>
  </si>
  <si>
    <t>mark</t>
  </si>
  <si>
    <t>System shall be able to display the Data recorded within inspection lot, MIC, Spec, Test result from the CoA in SAP even if the data entry is not required in QCLAD. ( What's the detail, need to check with Neelima)</t>
  </si>
  <si>
    <r>
      <rPr>
        <sz val="11"/>
        <rFont val="Microsoft YaHei UI"/>
        <family val="1"/>
        <charset val="134"/>
      </rPr>
      <t>即使不需要在</t>
    </r>
    <r>
      <rPr>
        <sz val="11"/>
        <rFont val="Cambria"/>
        <family val="1"/>
      </rPr>
      <t xml:space="preserve"> QCLAD </t>
    </r>
    <r>
      <rPr>
        <sz val="11"/>
        <rFont val="Microsoft YaHei UI"/>
        <family val="1"/>
        <charset val="134"/>
      </rPr>
      <t>中输入数据，系统也应能够显示</t>
    </r>
    <r>
      <rPr>
        <sz val="11"/>
        <rFont val="Cambria"/>
        <family val="1"/>
      </rPr>
      <t xml:space="preserve"> SAP </t>
    </r>
    <r>
      <rPr>
        <sz val="11"/>
        <rFont val="Microsoft YaHei UI"/>
        <family val="1"/>
        <charset val="134"/>
      </rPr>
      <t>中</t>
    </r>
    <r>
      <rPr>
        <sz val="11"/>
        <rFont val="Cambria"/>
        <family val="1"/>
      </rPr>
      <t xml:space="preserve"> CoA </t>
    </r>
    <r>
      <rPr>
        <sz val="11"/>
        <rFont val="Microsoft YaHei UI"/>
        <family val="1"/>
        <charset val="134"/>
      </rPr>
      <t>的检验批次、</t>
    </r>
    <r>
      <rPr>
        <sz val="11"/>
        <rFont val="Cambria"/>
        <family val="1"/>
      </rPr>
      <t>MIC</t>
    </r>
    <r>
      <rPr>
        <sz val="11"/>
        <rFont val="Microsoft YaHei UI"/>
        <family val="1"/>
        <charset val="134"/>
      </rPr>
      <t>、规格和检验结果中记录的数据。</t>
    </r>
    <r>
      <rPr>
        <sz val="11"/>
        <rFont val="Cambria"/>
        <family val="1"/>
      </rPr>
      <t>(</t>
    </r>
    <r>
      <rPr>
        <sz val="11"/>
        <rFont val="Microsoft YaHei UI"/>
        <family val="1"/>
        <charset val="134"/>
      </rPr>
      <t>详细情况如何，需要与</t>
    </r>
    <r>
      <rPr>
        <sz val="11"/>
        <rFont val="Cambria"/>
        <family val="1"/>
      </rPr>
      <t xml:space="preserve"> Neelima </t>
    </r>
    <r>
      <rPr>
        <sz val="11"/>
        <rFont val="Microsoft YaHei UI"/>
        <family val="1"/>
        <charset val="134"/>
      </rPr>
      <t>核实）</t>
    </r>
    <phoneticPr fontId="2" type="noConversion"/>
  </si>
  <si>
    <t>4.1.2.5.1</t>
  </si>
  <si>
    <t>System shall be able to record all data in whole testing process, including raw data captured from instrument, entry data, data calculated by formular, reported data, data which push to SAP.</t>
  </si>
  <si>
    <r>
      <rPr>
        <sz val="11"/>
        <rFont val="Microsoft YaHei UI"/>
        <family val="1"/>
        <charset val="134"/>
      </rPr>
      <t>系统应能记录整个测试过程中的所有数据，包括从仪器获取的原始数据、输入数据、</t>
    </r>
    <r>
      <rPr>
        <sz val="11"/>
        <rFont val="Cambria"/>
        <family val="1"/>
      </rPr>
      <t xml:space="preserve"> </t>
    </r>
    <r>
      <rPr>
        <sz val="11"/>
        <rFont val="Microsoft YaHei UI"/>
        <family val="1"/>
        <charset val="134"/>
      </rPr>
      <t>按表格计算的数据、报告数据、推送到</t>
    </r>
    <r>
      <rPr>
        <sz val="11"/>
        <rFont val="Cambria"/>
        <family val="1"/>
      </rPr>
      <t xml:space="preserve"> SAP </t>
    </r>
    <r>
      <rPr>
        <sz val="11"/>
        <rFont val="Microsoft YaHei UI"/>
        <family val="1"/>
        <charset val="134"/>
      </rPr>
      <t>的数据。</t>
    </r>
    <phoneticPr fontId="2" type="noConversion"/>
  </si>
  <si>
    <t>涉及需要定制开发的功能，如推送SAP的数据登录，定制开发是会有日志记录，但其他的数据记录应该是系统标准功能</t>
    <phoneticPr fontId="2" type="noConversion"/>
  </si>
  <si>
    <t>4.1.2.6.1</t>
  </si>
  <si>
    <t>System shall be able to support to manage repeat testing.(e.g. entry multiple  results and then get max or min or average value)</t>
  </si>
  <si>
    <t>系统应能支持管理重复测试（例如，输入多个结果，然后获取最大值、最小值或平均值）。</t>
    <phoneticPr fontId="2" type="noConversion"/>
  </si>
  <si>
    <t>是需要在什么时候获取这些最大值最小值平均值？--结果中需要计算
求平均值时有需要去掉最大值最小值后求平均值；定制化公式</t>
    <phoneticPr fontId="2" type="noConversion"/>
  </si>
  <si>
    <t>4.1.2.14.2</t>
  </si>
  <si>
    <t>System shall be able to entry result data via instrument automatically.</t>
  </si>
  <si>
    <t>仪器集成</t>
    <phoneticPr fontId="2" type="noConversion"/>
  </si>
  <si>
    <t>System shall be able to interface with the Henkel type A and B instruments.</t>
  </si>
  <si>
    <t>System shall be able to automatically capture results from the Henkel type A and B instruments.</t>
  </si>
  <si>
    <t>Authorization</t>
    <phoneticPr fontId="2" type="noConversion"/>
  </si>
  <si>
    <t>4.1.3.3.3</t>
  </si>
  <si>
    <t>System shall be able to support return test to another operator.</t>
  </si>
  <si>
    <t>系统应能支持向另一操作员返回测试。</t>
  </si>
  <si>
    <r>
      <t xml:space="preserve">新增退回人员字段，或者是更改分配人员字段
</t>
    </r>
    <r>
      <rPr>
        <sz val="11"/>
        <color theme="1"/>
        <rFont val="Calibri Light"/>
        <family val="3"/>
        <charset val="134"/>
        <scheme val="major"/>
      </rPr>
      <t>分配人员是否涉及统计任务量？</t>
    </r>
    <phoneticPr fontId="2" type="noConversion"/>
  </si>
  <si>
    <t>Reporting</t>
    <phoneticPr fontId="2" type="noConversion"/>
  </si>
  <si>
    <t>4.1.4.13.2</t>
  </si>
  <si>
    <t>System shall be able to give warning of response if user selects a range which will take time.</t>
  </si>
  <si>
    <t>如果用户选择的范围需要时间，系统应能发出响应警告。</t>
    <phoneticPr fontId="2" type="noConversion"/>
  </si>
  <si>
    <t>4.1.4.15.4</t>
  </si>
  <si>
    <t>System shall be able to send email with attachment to dedicate E-mail address based on master data configuration or store the file in a configurable shared drive automatically.</t>
  </si>
  <si>
    <t>系统应能根据主数据配置向专用电子邮件地址发送带附件的电子邮件，或自动将文件存储在可配置的共享驱动器中。</t>
    <phoneticPr fontId="2" type="noConversion"/>
  </si>
  <si>
    <t>Non-testing work requirements</t>
  </si>
  <si>
    <t>4.1.6.1.5</t>
  </si>
  <si>
    <t>System shall support dashboard to display and mark in color once the sample near expiration date based on configurable rule.</t>
  </si>
  <si>
    <r>
      <t>系统应支持仪表盘，一旦样品接近有效期，仪表盘就会根据可配置的规则以彩色显</t>
    </r>
    <r>
      <rPr>
        <sz val="11"/>
        <color theme="1"/>
        <rFont val="Cambria"/>
        <family val="1"/>
      </rPr>
      <t xml:space="preserve"> </t>
    </r>
    <r>
      <rPr>
        <sz val="11"/>
        <color theme="1"/>
        <rFont val="DengXian"/>
        <charset val="134"/>
      </rPr>
      <t>示和标记。</t>
    </r>
  </si>
  <si>
    <t>Standard；客户想要更多展示效果的dashboard，非系统自带</t>
    <phoneticPr fontId="2" type="noConversion"/>
  </si>
  <si>
    <t>4.1.6.1.6</t>
  </si>
  <si>
    <t>System shall support dashboard to display and mark in color once it’s below safety stock of consumables and spare parts based on configurable rule.</t>
  </si>
  <si>
    <t>系统应支持仪表板，一旦消耗品和备件低于安全库存，就会根据可配置的规则显示并用颜色标记。</t>
    <phoneticPr fontId="2" type="noConversion"/>
  </si>
  <si>
    <t>Special testing requirement management</t>
  </si>
  <si>
    <t>4.1.7.1.1</t>
  </si>
  <si>
    <t>Mark</t>
  </si>
  <si>
    <t>System shall be able to manage external test request using non-standard testing workflow.(4.1.5.1.4-4.1.5.13)</t>
  </si>
  <si>
    <r>
      <t>系统应能使用非标准测试工作流程管理外部测试请求（</t>
    </r>
    <r>
      <rPr>
        <sz val="11"/>
        <color theme="1"/>
        <rFont val="Cambria"/>
        <family val="1"/>
      </rPr>
      <t>4.1.5.1.4-4.1.5.13</t>
    </r>
    <r>
      <rPr>
        <sz val="11"/>
        <color theme="1"/>
        <rFont val="DengXian"/>
        <charset val="134"/>
      </rPr>
      <t>）。</t>
    </r>
  </si>
  <si>
    <t>固定文件格式，用户将文件从邮件中下载并上传到固定的文件路径中，系统抓取文件创建检验任务</t>
    <phoneticPr fontId="2" type="noConversion"/>
  </si>
  <si>
    <t>4.1.7.1.7</t>
  </si>
  <si>
    <t>System shall be able to enter results, report results, generate test report and send test report to requestor’s E-mail address.</t>
  </si>
  <si>
    <t>系统应能输入结果、报告结果、生成测试报告并将测试报告发送到请求者的电子邮件地址。</t>
  </si>
  <si>
    <t>4.1.7.1.8</t>
  </si>
  <si>
    <t xml:space="preserve">System shall be able to track the test status, analysis test workload and show it on Dashboard. </t>
  </si>
  <si>
    <r>
      <t>系统应能跟踪测试状态、分析测试工作量并在仪表板上显示。</t>
    </r>
    <r>
      <rPr>
        <sz val="11"/>
        <color theme="1"/>
        <rFont val="Cambria"/>
        <family val="1"/>
      </rPr>
      <t xml:space="preserve"> </t>
    </r>
  </si>
  <si>
    <t>定制开发Dashboard界面，</t>
    <phoneticPr fontId="2" type="noConversion"/>
  </si>
  <si>
    <t>Schedular</t>
  </si>
  <si>
    <t>4.2.1.1.3</t>
  </si>
  <si>
    <t xml:space="preserve">System shall be able to have multiple preparaiton for a analysis </t>
  </si>
  <si>
    <r>
      <t>系统应能为一次分析进行多次准备</t>
    </r>
    <r>
      <rPr>
        <sz val="11"/>
        <color theme="1"/>
        <rFont val="Cambria"/>
        <family val="1"/>
      </rPr>
      <t xml:space="preserve"> </t>
    </r>
  </si>
  <si>
    <t>定制开发，新增Test准备记录表，包含仪器字段</t>
    <phoneticPr fontId="2" type="noConversion"/>
  </si>
  <si>
    <t>4.2.1.1.4</t>
  </si>
  <si>
    <t>System shall be able to assign multiple instruments for preparation.</t>
  </si>
  <si>
    <t>系统应能分配多台仪器进行制备。</t>
  </si>
  <si>
    <t>4.2.1.1.12</t>
  </si>
  <si>
    <t>自动分配任务规则</t>
    <phoneticPr fontId="2" type="noConversion"/>
  </si>
  <si>
    <t>4.2.1.1.13</t>
  </si>
  <si>
    <t>System shall be able to assign test based on the sample status (Waiting to start).</t>
  </si>
  <si>
    <t>4.2.1.1.14</t>
  </si>
  <si>
    <t>System shall be able to auto assign for the current date based on the schedule configured.</t>
  </si>
  <si>
    <t>系统应能根据配置的时间表自动分配当前日期。</t>
  </si>
  <si>
    <t>4.2.1.1.15</t>
  </si>
  <si>
    <t>System shall be able to monitor samples on a certain interval basis and assign it.</t>
  </si>
  <si>
    <t>系统应能按一定的间隔监测样本并进行分配。</t>
  </si>
  <si>
    <t>4.2.1.1.17</t>
  </si>
  <si>
    <t>System shall be able to assign samples based on SAP test skip lot rules.</t>
  </si>
  <si>
    <r>
      <t>系统应能根据</t>
    </r>
    <r>
      <rPr>
        <sz val="11"/>
        <color theme="1"/>
        <rFont val="Cambria"/>
        <family val="1"/>
      </rPr>
      <t xml:space="preserve"> SAP </t>
    </r>
    <r>
      <rPr>
        <sz val="11"/>
        <color theme="1"/>
        <rFont val="DengXian"/>
        <charset val="134"/>
      </rPr>
      <t>检验跳批规则分配样品。</t>
    </r>
  </si>
  <si>
    <t>4.2.1.1.18</t>
  </si>
  <si>
    <t>System shall be able to assign samples based on other pending QC works.</t>
  </si>
  <si>
    <t>系统应能根据其他待进行的质量控制工作分配样品。</t>
  </si>
  <si>
    <t>4.2.1.4.1</t>
  </si>
  <si>
    <t>4.2.1.4.2</t>
  </si>
  <si>
    <t>system shall be follow FIFO rules based on sample receiving date when assigning tasks.</t>
  </si>
  <si>
    <t>在分配任务时，系统应根据样品接收日期遵循先进先出规则。</t>
  </si>
  <si>
    <t>4.2.1.4.3</t>
  </si>
  <si>
    <t>System shall assign tasks before the inspection lot only for JIT materials. And the results shall be pushed to sap if inspection lot is created.</t>
  </si>
  <si>
    <r>
      <t>系统应在检验批之前为</t>
    </r>
    <r>
      <rPr>
        <sz val="11"/>
        <color theme="1"/>
        <rFont val="Cambria"/>
        <family val="1"/>
      </rPr>
      <t xml:space="preserve"> JIT </t>
    </r>
    <r>
      <rPr>
        <sz val="11"/>
        <color theme="1"/>
        <rFont val="DengXian"/>
        <charset val="134"/>
      </rPr>
      <t>材料分配任务。如果创建了检验批，则应将结果推送到</t>
    </r>
    <r>
      <rPr>
        <sz val="11"/>
        <color theme="1"/>
        <rFont val="Cambria"/>
        <family val="1"/>
      </rPr>
      <t xml:space="preserve"> sap </t>
    </r>
    <r>
      <rPr>
        <sz val="11"/>
        <color theme="1"/>
        <rFont val="DengXian"/>
        <charset val="134"/>
      </rPr>
      <t>系统。</t>
    </r>
    <phoneticPr fontId="2" type="noConversion"/>
  </si>
  <si>
    <t>4.2.1.5.1</t>
  </si>
  <si>
    <t>system shall assign task based on priority rules once sample arrives.</t>
  </si>
  <si>
    <t>样本到达后，系统将根据优先级规则分配任务。</t>
  </si>
  <si>
    <t>4.2.1.6.1</t>
  </si>
  <si>
    <t>system shall allow to create tasks based on calendar schedule.</t>
  </si>
  <si>
    <t>系统应允许根据日历时间表创建任务。</t>
  </si>
  <si>
    <t>4.2.1.8.1</t>
  </si>
  <si>
    <t>system shall allow user maintain master data for shift schedule by week. Number of shift and shift hour of each shift shall be configurable in the master data at plant level.</t>
  </si>
  <si>
    <t>系统应允许用户维护按周排班的主数据。每个班次的班数和班次时间应可在工厂一级的主数据中进行配置。</t>
  </si>
  <si>
    <t>定制开发，人员排班信息表，维护人员的每天的上下班时间</t>
    <phoneticPr fontId="2" type="noConversion"/>
  </si>
  <si>
    <t>4.2.1.9.1</t>
  </si>
  <si>
    <t>system shall check skill when assigning tasks to operator.</t>
  </si>
  <si>
    <t>在向操作员分配任务时，系统应检查技能。</t>
  </si>
  <si>
    <t>4.2.1.9.2</t>
  </si>
  <si>
    <t>system shall be able to support skill shall be sync with OSDP system if there is OSDP in plant.</t>
    <phoneticPr fontId="2" type="noConversion"/>
  </si>
  <si>
    <r>
      <t>如果工厂有</t>
    </r>
    <r>
      <rPr>
        <sz val="11"/>
        <color theme="1"/>
        <rFont val="Cambria"/>
        <family val="1"/>
      </rPr>
      <t xml:space="preserve"> OSDP </t>
    </r>
    <r>
      <rPr>
        <sz val="11"/>
        <color theme="1"/>
        <rFont val="DengXian"/>
        <charset val="134"/>
      </rPr>
      <t>系统，该系统应能支持与</t>
    </r>
    <r>
      <rPr>
        <sz val="11"/>
        <color theme="1"/>
        <rFont val="Cambria"/>
        <family val="1"/>
      </rPr>
      <t xml:space="preserve"> OSDP </t>
    </r>
    <r>
      <rPr>
        <sz val="11"/>
        <color theme="1"/>
        <rFont val="DengXian"/>
        <charset val="134"/>
      </rPr>
      <t>系统同步的技能。</t>
    </r>
  </si>
  <si>
    <t>接口，OSDP推送人员技能信息到QCLAD</t>
    <phoneticPr fontId="2" type="noConversion"/>
  </si>
  <si>
    <t>4.2.1.10.1</t>
  </si>
  <si>
    <t>system shall have dashboard which display tests, test status, product number, product name,  batch number, user ID. inspection lot, inspection lot(standard test), test request#(non-standard test)</t>
  </si>
  <si>
    <r>
      <t>系统应有仪表板，显示测试、测试状态、产品编号、产品名称、批号、用户</t>
    </r>
    <r>
      <rPr>
        <sz val="11"/>
        <color theme="1"/>
        <rFont val="Cambria"/>
        <family val="1"/>
      </rPr>
      <t xml:space="preserve"> ID</t>
    </r>
    <r>
      <rPr>
        <sz val="11"/>
        <color theme="1"/>
        <rFont val="DengXian"/>
        <charset val="134"/>
      </rPr>
      <t>、检验批、检验批（标准测试）、测试请求</t>
    </r>
    <r>
      <rPr>
        <sz val="11"/>
        <color theme="1"/>
        <rFont val="Cambria"/>
        <family val="1"/>
      </rPr>
      <t>#</t>
    </r>
    <r>
      <rPr>
        <sz val="11"/>
        <color theme="1"/>
        <rFont val="DengXian"/>
        <charset val="134"/>
      </rPr>
      <t>（非标准测试）。</t>
    </r>
  </si>
  <si>
    <t>标准功能即可实现</t>
    <phoneticPr fontId="20" type="noConversion"/>
  </si>
  <si>
    <t>4.2.1.11.1</t>
  </si>
  <si>
    <t>system shall create tasks for samples based on specific frequency.</t>
  </si>
  <si>
    <t>系统应根据特定频率为样本创建任务。</t>
  </si>
  <si>
    <t>Data Capture of Testing Instrument</t>
  </si>
  <si>
    <t>4.3.2.1.1</t>
  </si>
  <si>
    <t>System shall be able to capture data from Henkel type A.</t>
  </si>
  <si>
    <r>
      <t>系统应能从汉高</t>
    </r>
    <r>
      <rPr>
        <sz val="11"/>
        <color theme="1"/>
        <rFont val="Cambria"/>
        <family val="1"/>
      </rPr>
      <t xml:space="preserve"> A </t>
    </r>
    <r>
      <rPr>
        <sz val="11"/>
        <color theme="1"/>
        <rFont val="DengXian"/>
        <charset val="134"/>
      </rPr>
      <t>型采集数据。</t>
    </r>
  </si>
  <si>
    <t>Interface</t>
  </si>
  <si>
    <t>4.3.2.1.2</t>
  </si>
  <si>
    <t>System shall be able to capture data from Henkel type B.</t>
  </si>
  <si>
    <r>
      <t>系统应能从汉高</t>
    </r>
    <r>
      <rPr>
        <sz val="11"/>
        <color theme="1"/>
        <rFont val="Cambria"/>
        <family val="1"/>
      </rPr>
      <t xml:space="preserve"> B </t>
    </r>
    <r>
      <rPr>
        <sz val="11"/>
        <color theme="1"/>
        <rFont val="DengXian"/>
        <charset val="134"/>
      </rPr>
      <t>型采集数据。</t>
    </r>
  </si>
  <si>
    <t>Laboratory Execution</t>
  </si>
  <si>
    <t>4.4.1.1.1</t>
  </si>
  <si>
    <t>system shall support dashboard display overview of inspection lot on daily, weekly, monthly views.</t>
  </si>
  <si>
    <t>系统应支持每日、每周、每月检查批次的仪表盘显示概览。</t>
  </si>
  <si>
    <t>dashboard</t>
    <phoneticPr fontId="2" type="noConversion"/>
  </si>
  <si>
    <t>4.4.1.1.6</t>
  </si>
  <si>
    <t>System shall support dashboard showing lab equipment availability.  Equipment usage can  be tracked trhough scanning before and after the usage.</t>
  </si>
  <si>
    <r>
      <t>系统应支持显示实验室设备可用性的仪表板。</t>
    </r>
    <r>
      <rPr>
        <sz val="11"/>
        <color rgb="FF000000"/>
        <rFont val="Cambria"/>
        <family val="1"/>
      </rPr>
      <t xml:space="preserve">  </t>
    </r>
    <r>
      <rPr>
        <sz val="11"/>
        <color rgb="FF000000"/>
        <rFont val="DengXian"/>
        <charset val="134"/>
      </rPr>
      <t>可通过使用前后的扫描跟踪设备使用情况。</t>
    </r>
  </si>
  <si>
    <t>Interface to Smart factory, MES and SKill matrix</t>
  </si>
  <si>
    <t>4.5.1.1</t>
  </si>
  <si>
    <t>System shall support download inspection lot from SAP to QCLAD.</t>
    <phoneticPr fontId="2" type="noConversion"/>
  </si>
  <si>
    <r>
      <t>系统应支持从</t>
    </r>
    <r>
      <rPr>
        <sz val="11"/>
        <color theme="1"/>
        <rFont val="Cambria"/>
        <family val="1"/>
      </rPr>
      <t xml:space="preserve"> SAP </t>
    </r>
    <r>
      <rPr>
        <sz val="11"/>
        <color theme="1"/>
        <rFont val="DengXian"/>
        <charset val="134"/>
      </rPr>
      <t>向</t>
    </r>
    <r>
      <rPr>
        <sz val="11"/>
        <color theme="1"/>
        <rFont val="Cambria"/>
        <family val="1"/>
      </rPr>
      <t xml:space="preserve"> QCLAD </t>
    </r>
    <r>
      <rPr>
        <sz val="11"/>
        <color theme="1"/>
        <rFont val="DengXian"/>
        <charset val="134"/>
      </rPr>
      <t>下载检验批次。</t>
    </r>
    <phoneticPr fontId="2" type="noConversion"/>
  </si>
  <si>
    <t>接口，SAP推送检验批</t>
    <phoneticPr fontId="2" type="noConversion"/>
  </si>
  <si>
    <t>4.5.1.2</t>
  </si>
  <si>
    <r>
      <t xml:space="preserve">System shall support download </t>
    </r>
    <r>
      <rPr>
        <sz val="11"/>
        <color rgb="FFFF0000"/>
        <rFont val="Cambria"/>
        <family val="1"/>
      </rPr>
      <t xml:space="preserve">Analysis </t>
    </r>
    <r>
      <rPr>
        <sz val="11"/>
        <color rgb="FF000000"/>
        <rFont val="Cambria"/>
        <family val="1"/>
      </rPr>
      <t xml:space="preserve">from SAP to QCLAD. </t>
    </r>
    <r>
      <rPr>
        <sz val="11"/>
        <color rgb="FFFF0000"/>
        <rFont val="Cambria"/>
        <family val="1"/>
      </rPr>
      <t>Need henkel to add master data in here.</t>
    </r>
    <phoneticPr fontId="2" type="noConversion"/>
  </si>
  <si>
    <r>
      <t>系统应支持从</t>
    </r>
    <r>
      <rPr>
        <sz val="11"/>
        <color rgb="FF000000"/>
        <rFont val="Cambria"/>
        <family val="1"/>
      </rPr>
      <t xml:space="preserve"> SAP </t>
    </r>
    <r>
      <rPr>
        <sz val="11"/>
        <color rgb="FF000000"/>
        <rFont val="DengXian"/>
        <charset val="134"/>
      </rPr>
      <t>下载</t>
    </r>
    <r>
      <rPr>
        <sz val="11"/>
        <color rgb="FFFF0000"/>
        <rFont val="DengXian"/>
        <charset val="134"/>
      </rPr>
      <t>分析</t>
    </r>
    <r>
      <rPr>
        <sz val="11"/>
        <color rgb="FF000000"/>
        <rFont val="DengXian"/>
        <charset val="134"/>
      </rPr>
      <t>到</t>
    </r>
    <r>
      <rPr>
        <sz val="11"/>
        <color rgb="FF000000"/>
        <rFont val="Cambria"/>
        <family val="1"/>
      </rPr>
      <t xml:space="preserve"> QCLAD</t>
    </r>
    <r>
      <rPr>
        <sz val="11"/>
        <color rgb="FF000000"/>
        <rFont val="DengXian"/>
        <charset val="134"/>
      </rPr>
      <t>。</t>
    </r>
    <r>
      <rPr>
        <sz val="11"/>
        <color rgb="FFFF0000"/>
        <rFont val="DengXian"/>
        <charset val="134"/>
      </rPr>
      <t>需要</t>
    </r>
    <r>
      <rPr>
        <sz val="11"/>
        <color rgb="FFFF0000"/>
        <rFont val="Cambria"/>
        <family val="1"/>
      </rPr>
      <t xml:space="preserve"> Henkel </t>
    </r>
    <r>
      <rPr>
        <sz val="11"/>
        <color rgb="FFFF0000"/>
        <rFont val="DengXian"/>
        <charset val="134"/>
      </rPr>
      <t>在这里添加主数据。</t>
    </r>
  </si>
  <si>
    <t>接口，SAP主数据同步</t>
    <phoneticPr fontId="2" type="noConversion"/>
  </si>
  <si>
    <t>4.5.1.3</t>
  </si>
  <si>
    <r>
      <t>System shall support download</t>
    </r>
    <r>
      <rPr>
        <sz val="11"/>
        <color rgb="FFFF0000"/>
        <rFont val="Cambria"/>
        <family val="1"/>
      </rPr>
      <t xml:space="preserve"> MLP</t>
    </r>
    <r>
      <rPr>
        <sz val="11"/>
        <color rgb="FF000000"/>
        <rFont val="Cambria"/>
        <family val="1"/>
      </rPr>
      <t xml:space="preserve"> from SAP to QCLAD. </t>
    </r>
    <r>
      <rPr>
        <sz val="11"/>
        <color rgb="FFFF0000"/>
        <rFont val="Cambria"/>
        <family val="1"/>
      </rPr>
      <t>Need henkel to add master data in here.</t>
    </r>
    <phoneticPr fontId="2" type="noConversion"/>
  </si>
  <si>
    <r>
      <t>系统应支持从</t>
    </r>
    <r>
      <rPr>
        <sz val="11"/>
        <color rgb="FF000000"/>
        <rFont val="Cambria"/>
        <family val="1"/>
      </rPr>
      <t xml:space="preserve"> SAP </t>
    </r>
    <r>
      <rPr>
        <sz val="11"/>
        <color rgb="FF000000"/>
        <rFont val="DengXian"/>
        <charset val="134"/>
      </rPr>
      <t>下载</t>
    </r>
    <r>
      <rPr>
        <sz val="11"/>
        <color rgb="FF000000"/>
        <rFont val="Cambria"/>
        <family val="1"/>
      </rPr>
      <t xml:space="preserve"> </t>
    </r>
    <r>
      <rPr>
        <sz val="11"/>
        <color rgb="FFFF0000"/>
        <rFont val="Cambria"/>
        <family val="1"/>
      </rPr>
      <t xml:space="preserve">MLP </t>
    </r>
    <r>
      <rPr>
        <sz val="11"/>
        <color rgb="FF000000"/>
        <rFont val="DengXian"/>
        <charset val="134"/>
      </rPr>
      <t>到</t>
    </r>
    <r>
      <rPr>
        <sz val="11"/>
        <color rgb="FF000000"/>
        <rFont val="Cambria"/>
        <family val="1"/>
      </rPr>
      <t xml:space="preserve"> QCLAD</t>
    </r>
    <r>
      <rPr>
        <sz val="11"/>
        <color rgb="FF000000"/>
        <rFont val="DengXian"/>
        <charset val="134"/>
      </rPr>
      <t>。</t>
    </r>
    <r>
      <rPr>
        <sz val="11"/>
        <color rgb="FFFF0000"/>
        <rFont val="DengXian"/>
        <charset val="134"/>
      </rPr>
      <t>需要</t>
    </r>
    <r>
      <rPr>
        <sz val="11"/>
        <color rgb="FFFF0000"/>
        <rFont val="Cambria"/>
        <family val="1"/>
      </rPr>
      <t xml:space="preserve"> Henkel </t>
    </r>
    <r>
      <rPr>
        <sz val="11"/>
        <color rgb="FFFF0000"/>
        <rFont val="DengXian"/>
        <charset val="134"/>
      </rPr>
      <t>在这里添加主数据。</t>
    </r>
  </si>
  <si>
    <t>4.5.1.4</t>
  </si>
  <si>
    <r>
      <t xml:space="preserve">System shall support download </t>
    </r>
    <r>
      <rPr>
        <sz val="11"/>
        <color rgb="FFFF0000"/>
        <rFont val="Cambria"/>
        <family val="1"/>
      </rPr>
      <t>Substance</t>
    </r>
    <r>
      <rPr>
        <sz val="11"/>
        <color rgb="FF000000"/>
        <rFont val="Cambria"/>
        <family val="1"/>
      </rPr>
      <t xml:space="preserve"> from SAP to QCLAD. </t>
    </r>
    <r>
      <rPr>
        <sz val="11"/>
        <color rgb="FFFF0000"/>
        <rFont val="Cambria"/>
        <family val="1"/>
      </rPr>
      <t>Need henkel to add master data in here.</t>
    </r>
  </si>
  <si>
    <r>
      <t>系统应支持从</t>
    </r>
    <r>
      <rPr>
        <sz val="11"/>
        <color rgb="FF000000"/>
        <rFont val="Cambria"/>
        <family val="1"/>
      </rPr>
      <t xml:space="preserve"> SAP </t>
    </r>
    <r>
      <rPr>
        <sz val="11"/>
        <color rgb="FF000000"/>
        <rFont val="DengXian"/>
        <charset val="134"/>
      </rPr>
      <t>向</t>
    </r>
    <r>
      <rPr>
        <sz val="11"/>
        <color rgb="FF000000"/>
        <rFont val="Cambria"/>
        <family val="1"/>
      </rPr>
      <t xml:space="preserve"> QCLAD </t>
    </r>
    <r>
      <rPr>
        <sz val="11"/>
        <color rgb="FF000000"/>
        <rFont val="DengXian"/>
        <charset val="134"/>
      </rPr>
      <t>下载</t>
    </r>
    <r>
      <rPr>
        <sz val="11"/>
        <color rgb="FFFF0000"/>
        <rFont val="DengXian"/>
        <charset val="134"/>
      </rPr>
      <t>实质内容</t>
    </r>
    <r>
      <rPr>
        <sz val="11"/>
        <color rgb="FF000000"/>
        <rFont val="DengXian"/>
        <charset val="134"/>
      </rPr>
      <t>。</t>
    </r>
    <r>
      <rPr>
        <sz val="11"/>
        <color rgb="FFFF0000"/>
        <rFont val="DengXian"/>
        <charset val="134"/>
      </rPr>
      <t>需要</t>
    </r>
    <r>
      <rPr>
        <sz val="11"/>
        <color rgb="FFFF0000"/>
        <rFont val="Cambria"/>
        <family val="1"/>
      </rPr>
      <t xml:space="preserve"> Henkel </t>
    </r>
    <r>
      <rPr>
        <sz val="11"/>
        <color rgb="FFFF0000"/>
        <rFont val="DengXian"/>
        <charset val="134"/>
      </rPr>
      <t>在此添加主数据。</t>
    </r>
  </si>
  <si>
    <t>4.5.1.5</t>
  </si>
  <si>
    <t>System shall support download GHS from SAP to QCLAD. 
Refer to 4.8.5.8.2 above</t>
    <phoneticPr fontId="2" type="noConversion"/>
  </si>
  <si>
    <t>4.5.1.6</t>
  </si>
  <si>
    <r>
      <t xml:space="preserve">System shall support download </t>
    </r>
    <r>
      <rPr>
        <sz val="11"/>
        <color rgb="FFFF0000"/>
        <rFont val="Cambria"/>
        <family val="1"/>
      </rPr>
      <t>Plant Code</t>
    </r>
    <r>
      <rPr>
        <sz val="11"/>
        <color rgb="FF000000"/>
        <rFont val="Cambria"/>
        <family val="1"/>
      </rPr>
      <t xml:space="preserve"> from SAP to QCLAD. </t>
    </r>
    <r>
      <rPr>
        <sz val="11"/>
        <color rgb="FFFF0000"/>
        <rFont val="Cambria"/>
        <family val="1"/>
      </rPr>
      <t>Need henkel to add master data in here.</t>
    </r>
    <phoneticPr fontId="2" type="noConversion"/>
  </si>
  <si>
    <r>
      <t>系统应支持从</t>
    </r>
    <r>
      <rPr>
        <sz val="11"/>
        <color rgb="FF000000"/>
        <rFont val="Cambria"/>
        <family val="1"/>
      </rPr>
      <t xml:space="preserve"> SAP </t>
    </r>
    <r>
      <rPr>
        <sz val="11"/>
        <color rgb="FF000000"/>
        <rFont val="DengXian"/>
        <charset val="134"/>
      </rPr>
      <t>下载</t>
    </r>
    <r>
      <rPr>
        <sz val="11"/>
        <color rgb="FFFF0000"/>
        <rFont val="DengXian"/>
        <charset val="134"/>
      </rPr>
      <t>工厂代码</t>
    </r>
    <r>
      <rPr>
        <sz val="11"/>
        <color rgb="FF000000"/>
        <rFont val="DengXian"/>
        <charset val="134"/>
      </rPr>
      <t>到</t>
    </r>
    <r>
      <rPr>
        <sz val="11"/>
        <color rgb="FF000000"/>
        <rFont val="Cambria"/>
        <family val="1"/>
      </rPr>
      <t xml:space="preserve"> QCLAD</t>
    </r>
    <r>
      <rPr>
        <sz val="11"/>
        <color rgb="FF000000"/>
        <rFont val="DengXian"/>
        <charset val="134"/>
      </rPr>
      <t>。</t>
    </r>
    <r>
      <rPr>
        <sz val="11"/>
        <color rgb="FFFF0000"/>
        <rFont val="DengXian"/>
        <charset val="134"/>
      </rPr>
      <t>需要亨克尔在此添加主数据。</t>
    </r>
  </si>
  <si>
    <t>4.5.1.7</t>
  </si>
  <si>
    <t>System shall support to upload result value from QCLAD to SAP.</t>
  </si>
  <si>
    <r>
      <t>系统应支持将结果值从</t>
    </r>
    <r>
      <rPr>
        <sz val="11"/>
        <color theme="1"/>
        <rFont val="Cambria"/>
        <family val="1"/>
      </rPr>
      <t xml:space="preserve"> QCLAD </t>
    </r>
    <r>
      <rPr>
        <sz val="11"/>
        <color theme="1"/>
        <rFont val="DengXian"/>
        <charset val="134"/>
      </rPr>
      <t>上传到</t>
    </r>
    <r>
      <rPr>
        <sz val="11"/>
        <color theme="1"/>
        <rFont val="Cambria"/>
        <family val="1"/>
      </rPr>
      <t xml:space="preserve"> SAP</t>
    </r>
    <r>
      <rPr>
        <sz val="11"/>
        <color theme="1"/>
        <rFont val="DengXian"/>
        <charset val="134"/>
      </rPr>
      <t>。</t>
    </r>
  </si>
  <si>
    <t>接口，回传结果到SAP</t>
    <phoneticPr fontId="2" type="noConversion"/>
  </si>
  <si>
    <t>4.5.1.8</t>
  </si>
  <si>
    <t>System shall support to upload result value from eCOA to QCLAD.</t>
  </si>
  <si>
    <r>
      <t>系统应支持将结果值从</t>
    </r>
    <r>
      <rPr>
        <sz val="11"/>
        <color rgb="FF000000"/>
        <rFont val="Cambria"/>
        <family val="1"/>
      </rPr>
      <t xml:space="preserve"> eCOA </t>
    </r>
    <r>
      <rPr>
        <sz val="11"/>
        <color rgb="FF000000"/>
        <rFont val="DengXian"/>
        <charset val="134"/>
      </rPr>
      <t>上传到</t>
    </r>
    <r>
      <rPr>
        <sz val="11"/>
        <color rgb="FF000000"/>
        <rFont val="Cambria"/>
        <family val="1"/>
      </rPr>
      <t xml:space="preserve"> QCLAD</t>
    </r>
    <r>
      <rPr>
        <sz val="11"/>
        <color rgb="FF000000"/>
        <rFont val="DengXian"/>
        <charset val="134"/>
      </rPr>
      <t>。</t>
    </r>
  </si>
  <si>
    <t>接口，SAP推送结果</t>
    <phoneticPr fontId="2" type="noConversion"/>
  </si>
  <si>
    <t>4.5.1.9</t>
  </si>
  <si>
    <t>System shall push notify information(including resample and adjustment) to Henkel smart factory.</t>
  </si>
  <si>
    <t>系统应向汉高智能工厂推送通知信息（包括重新取样和调整）。</t>
  </si>
  <si>
    <t>4.5.1.10</t>
  </si>
  <si>
    <t>System shall pull result information from Henkel smart factory.</t>
  </si>
  <si>
    <t>系统应从汉高智能工厂获取结果信息。</t>
  </si>
  <si>
    <t>4.5.1.11</t>
  </si>
  <si>
    <t>System shall support to upload result value from QCLAD to Henkel smart factory.</t>
  </si>
  <si>
    <r>
      <t>系统应支持将结果值从</t>
    </r>
    <r>
      <rPr>
        <sz val="11"/>
        <color theme="1"/>
        <rFont val="Cambria"/>
        <family val="1"/>
      </rPr>
      <t xml:space="preserve"> QCLAD </t>
    </r>
    <r>
      <rPr>
        <sz val="11"/>
        <color theme="1"/>
        <rFont val="DengXian"/>
        <charset val="134"/>
      </rPr>
      <t>上传到汉高智能工厂。</t>
    </r>
  </si>
  <si>
    <t>4.5.1.12</t>
  </si>
  <si>
    <t>System shall support to upload sample states from QCLAD to Henkel smart factory.</t>
  </si>
  <si>
    <r>
      <t>系统应支持将样品状态从</t>
    </r>
    <r>
      <rPr>
        <sz val="11"/>
        <color theme="1"/>
        <rFont val="Cambria"/>
        <family val="1"/>
      </rPr>
      <t xml:space="preserve"> QCLAD </t>
    </r>
    <r>
      <rPr>
        <sz val="11"/>
        <color theme="1"/>
        <rFont val="DengXian"/>
        <charset val="134"/>
      </rPr>
      <t>上传到汉高智能工厂。</t>
    </r>
  </si>
  <si>
    <t>4.5.1.13</t>
  </si>
  <si>
    <t>System shall push/pull adjustment quantity information from/to Henkel smart factory.</t>
  </si>
  <si>
    <r>
      <t>系统应向汉高智能工厂推</t>
    </r>
    <r>
      <rPr>
        <sz val="11"/>
        <color theme="1"/>
        <rFont val="Cambria"/>
        <family val="1"/>
      </rPr>
      <t>/</t>
    </r>
    <r>
      <rPr>
        <sz val="11"/>
        <color theme="1"/>
        <rFont val="DengXian"/>
        <charset val="134"/>
      </rPr>
      <t>拉调整数量信息。</t>
    </r>
  </si>
  <si>
    <t>4.5.1.14</t>
  </si>
  <si>
    <t>System shall pull operator skill information from Henkel Skill Matrix.</t>
  </si>
  <si>
    <t>系统应从汉高技能矩阵中提取操作员技能信息。</t>
  </si>
  <si>
    <t>4.5.2.1</t>
  </si>
  <si>
    <t>Refer to 4.5.1.1 &amp; 4.5.1.2 &amp; 4.5.1.3 above.</t>
  </si>
  <si>
    <r>
      <t>参见上文</t>
    </r>
    <r>
      <rPr>
        <sz val="11"/>
        <color theme="1"/>
        <rFont val="Cambria"/>
        <family val="1"/>
      </rPr>
      <t xml:space="preserve"> 4.5.1.1</t>
    </r>
    <r>
      <rPr>
        <sz val="11"/>
        <color theme="1"/>
        <rFont val="DengXian"/>
        <charset val="134"/>
      </rPr>
      <t>、</t>
    </r>
    <r>
      <rPr>
        <sz val="11"/>
        <color theme="1"/>
        <rFont val="Cambria"/>
        <family val="1"/>
      </rPr>
      <t xml:space="preserve">4.5.1.2 </t>
    </r>
    <r>
      <rPr>
        <sz val="11"/>
        <color theme="1"/>
        <rFont val="DengXian"/>
        <charset val="134"/>
      </rPr>
      <t>和</t>
    </r>
    <r>
      <rPr>
        <sz val="11"/>
        <color theme="1"/>
        <rFont val="Cambria"/>
        <family val="1"/>
      </rPr>
      <t xml:space="preserve"> 4.5.1.3</t>
    </r>
    <r>
      <rPr>
        <sz val="11"/>
        <color theme="1"/>
        <rFont val="DengXian"/>
        <charset val="134"/>
      </rPr>
      <t>。</t>
    </r>
  </si>
  <si>
    <t>Dashboard / Report (downloadable)</t>
  </si>
  <si>
    <t>4.6.1.1.1</t>
  </si>
  <si>
    <t>System shall be able to display sample status by lab/plant/country/henkel network/global in dashboard.</t>
  </si>
  <si>
    <r>
      <t>系统应能在仪表板上按实验室</t>
    </r>
    <r>
      <rPr>
        <sz val="11"/>
        <color theme="1"/>
        <rFont val="Cambria"/>
        <family val="1"/>
      </rPr>
      <t>/</t>
    </r>
    <r>
      <rPr>
        <sz val="11"/>
        <color theme="1"/>
        <rFont val="DengXian"/>
        <charset val="134"/>
      </rPr>
      <t>工厂</t>
    </r>
    <r>
      <rPr>
        <sz val="11"/>
        <color theme="1"/>
        <rFont val="Cambria"/>
        <family val="1"/>
      </rPr>
      <t>/</t>
    </r>
    <r>
      <rPr>
        <sz val="11"/>
        <color theme="1"/>
        <rFont val="DengXian"/>
        <charset val="134"/>
      </rPr>
      <t>国家</t>
    </r>
    <r>
      <rPr>
        <sz val="11"/>
        <color theme="1"/>
        <rFont val="Cambria"/>
        <family val="1"/>
      </rPr>
      <t>/</t>
    </r>
    <r>
      <rPr>
        <sz val="11"/>
        <color theme="1"/>
        <rFont val="DengXian"/>
        <charset val="134"/>
      </rPr>
      <t>亨克尔网络</t>
    </r>
    <r>
      <rPr>
        <sz val="11"/>
        <color theme="1"/>
        <rFont val="Cambria"/>
        <family val="1"/>
      </rPr>
      <t>/</t>
    </r>
    <r>
      <rPr>
        <sz val="11"/>
        <color theme="1"/>
        <rFont val="DengXian"/>
        <charset val="134"/>
      </rPr>
      <t>全球显示样品状态。</t>
    </r>
  </si>
  <si>
    <t>4.6.1.1.2</t>
  </si>
  <si>
    <t>System shall be able to display sample status by daily/weekly/monthly/yearly in dashboard.</t>
  </si>
  <si>
    <r>
      <t>系统应能在仪表板中按日</t>
    </r>
    <r>
      <rPr>
        <sz val="11"/>
        <color theme="1"/>
        <rFont val="Cambria"/>
        <family val="1"/>
      </rPr>
      <t>/</t>
    </r>
    <r>
      <rPr>
        <sz val="11"/>
        <color theme="1"/>
        <rFont val="DengXian"/>
        <charset val="134"/>
      </rPr>
      <t>周</t>
    </r>
    <r>
      <rPr>
        <sz val="11"/>
        <color theme="1"/>
        <rFont val="Cambria"/>
        <family val="1"/>
      </rPr>
      <t>/</t>
    </r>
    <r>
      <rPr>
        <sz val="11"/>
        <color theme="1"/>
        <rFont val="DengXian"/>
        <charset val="134"/>
      </rPr>
      <t>月</t>
    </r>
    <r>
      <rPr>
        <sz val="11"/>
        <color theme="1"/>
        <rFont val="Cambria"/>
        <family val="1"/>
      </rPr>
      <t>/</t>
    </r>
    <r>
      <rPr>
        <sz val="11"/>
        <color theme="1"/>
        <rFont val="DengXian"/>
        <charset val="134"/>
      </rPr>
      <t>年显示样本状态。</t>
    </r>
  </si>
  <si>
    <t>4.6.1.1.3</t>
  </si>
  <si>
    <r>
      <t xml:space="preserve">System shall support different sample status, including completed, in progress, received, cancelled, </t>
    </r>
    <r>
      <rPr>
        <sz val="11"/>
        <color rgb="FFFF0000"/>
        <rFont val="Cambria"/>
        <family val="1"/>
      </rPr>
      <t>retained</t>
    </r>
    <r>
      <rPr>
        <sz val="11"/>
        <rFont val="Cambria"/>
        <family val="1"/>
      </rPr>
      <t>.</t>
    </r>
  </si>
  <si>
    <r>
      <t>系统应支持不同的样本状态，包括已完成、进行中、收到、取消、</t>
    </r>
    <r>
      <rPr>
        <sz val="11"/>
        <color rgb="FFFF0000"/>
        <rFont val="DengXian"/>
        <charset val="134"/>
      </rPr>
      <t>保留</t>
    </r>
    <r>
      <rPr>
        <sz val="11"/>
        <color theme="1"/>
        <rFont val="DengXian"/>
        <charset val="134"/>
      </rPr>
      <t>。</t>
    </r>
  </si>
  <si>
    <t>4.6.1.1.4</t>
  </si>
  <si>
    <t>System shall include sample type in report, detailed sample type refers to RTM 4.5.1 items.</t>
  </si>
  <si>
    <t>4.6.1.1.5</t>
  </si>
  <si>
    <t>4.6.1.2.1</t>
  </si>
  <si>
    <t>System shall support to display dashboard with sample status in real time.</t>
  </si>
  <si>
    <t>系统应支持实时显示样本状态的仪表板。</t>
  </si>
  <si>
    <t>dashboard,大屏展示？</t>
    <phoneticPr fontId="2" type="noConversion"/>
  </si>
  <si>
    <t>4.6.1.3.1</t>
  </si>
  <si>
    <t>System shall display task list in specific time period.</t>
  </si>
  <si>
    <t>系统应在特定时间段内显示任务列表。</t>
  </si>
  <si>
    <t>4.6.1.3.2</t>
  </si>
  <si>
    <t>System shall display task list related to work.</t>
  </si>
  <si>
    <t>系统应显示与工作相关的任务列表。</t>
  </si>
  <si>
    <t>4.6.1.3.3</t>
  </si>
  <si>
    <t>System shall display task list in real time.</t>
  </si>
  <si>
    <t>系统应实时显示任务列表。</t>
  </si>
  <si>
    <t>4.6.1.4.1</t>
  </si>
  <si>
    <r>
      <t xml:space="preserve">System shall display overdue </t>
    </r>
    <r>
      <rPr>
        <sz val="11"/>
        <color rgb="FFFF0000"/>
        <rFont val="Cambria"/>
        <family val="1"/>
      </rPr>
      <t>task list</t>
    </r>
    <r>
      <rPr>
        <sz val="11"/>
        <rFont val="Cambria"/>
        <family val="1"/>
      </rPr>
      <t>.</t>
    </r>
  </si>
  <si>
    <r>
      <t>系统应显示逾期</t>
    </r>
    <r>
      <rPr>
        <sz val="11"/>
        <color rgb="FFFF0000"/>
        <rFont val="DengXian"/>
        <charset val="134"/>
      </rPr>
      <t>任务列表</t>
    </r>
    <r>
      <rPr>
        <sz val="11"/>
        <color theme="1"/>
        <rFont val="DengXian"/>
        <charset val="134"/>
      </rPr>
      <t>。</t>
    </r>
  </si>
  <si>
    <t>System shall display instrument list with status(Unaviable, Available, Maintance Due, Retired, Require Calibration, In Calibration).</t>
  </si>
  <si>
    <t>4.6.1.5.2</t>
  </si>
  <si>
    <r>
      <t xml:space="preserve">System shall support dashbord to display instrument list including (instrument ID, instrument Type, instrument Status, </t>
    </r>
    <r>
      <rPr>
        <sz val="11"/>
        <color rgb="FFFF0000"/>
        <rFont val="Cambria"/>
        <family val="1"/>
      </rPr>
      <t>days</t>
    </r>
    <r>
      <rPr>
        <sz val="11"/>
        <rFont val="Cambria"/>
        <family val="1"/>
      </rPr>
      <t xml:space="preserve"> in available, </t>
    </r>
    <r>
      <rPr>
        <sz val="11"/>
        <color rgb="FFFF0000"/>
        <rFont val="Cambria"/>
        <family val="1"/>
      </rPr>
      <t xml:space="preserve">days </t>
    </r>
    <r>
      <rPr>
        <sz val="11"/>
        <rFont val="Cambria"/>
        <family val="1"/>
      </rPr>
      <t>out of service)</t>
    </r>
  </si>
  <si>
    <r>
      <t>系统应支持仪表盘，以显示仪器列表，包括（仪器</t>
    </r>
    <r>
      <rPr>
        <sz val="11"/>
        <color theme="1"/>
        <rFont val="Cambria"/>
        <family val="1"/>
      </rPr>
      <t xml:space="preserve"> ID</t>
    </r>
    <r>
      <rPr>
        <sz val="11"/>
        <color theme="1"/>
        <rFont val="DengXian"/>
        <charset val="134"/>
      </rPr>
      <t>、仪器类型、仪器状态、可用</t>
    </r>
    <r>
      <rPr>
        <sz val="11"/>
        <color rgb="FFFF0000"/>
        <rFont val="DengXian"/>
        <charset val="134"/>
      </rPr>
      <t>天数、</t>
    </r>
    <r>
      <rPr>
        <sz val="11"/>
        <color theme="1"/>
        <rFont val="DengXian"/>
        <charset val="134"/>
      </rPr>
      <t>停用</t>
    </r>
    <r>
      <rPr>
        <sz val="11"/>
        <color rgb="FFFF0000"/>
        <rFont val="DengXian"/>
        <charset val="134"/>
      </rPr>
      <t>天数</t>
    </r>
    <r>
      <rPr>
        <sz val="11"/>
        <color theme="1"/>
        <rFont val="DengXian"/>
        <charset val="134"/>
      </rPr>
      <t>）。</t>
    </r>
  </si>
  <si>
    <t>4.6.1.6.1</t>
  </si>
  <si>
    <t>System shall support display instrument utilization by daily/weekly/monthly/yearly in dashboard.</t>
  </si>
  <si>
    <t>系统应支持在仪表板上按日、周、月、年显示仪器的使用情况。</t>
  </si>
  <si>
    <t>4.6.1.6.2</t>
  </si>
  <si>
    <t>Total Actual Instrument working Hours= End time by scanning minus Start time by scanning</t>
  </si>
  <si>
    <r>
      <t>仪器实际总工作时间</t>
    </r>
    <r>
      <rPr>
        <sz val="11"/>
        <color rgb="FF000000"/>
        <rFont val="Cambria"/>
        <family val="1"/>
      </rPr>
      <t>=</t>
    </r>
    <r>
      <rPr>
        <sz val="11"/>
        <color rgb="FF000000"/>
        <rFont val="DengXian"/>
        <charset val="134"/>
      </rPr>
      <t>扫描结束时间减去扫描开始时间</t>
    </r>
  </si>
  <si>
    <t>4.6.1.6.3</t>
  </si>
  <si>
    <t>Total working hours is related to shift arrangement,calculated as off-duty time minus on-duty time.</t>
  </si>
  <si>
    <t>总工时与轮班安排有关，计算方法是下班时间减去当班时间。</t>
  </si>
  <si>
    <t>4.6.1.7.1</t>
  </si>
  <si>
    <t>System shall support display work load by plant/duration.</t>
  </si>
  <si>
    <r>
      <t>系统应支持按工厂</t>
    </r>
    <r>
      <rPr>
        <sz val="11"/>
        <color theme="1"/>
        <rFont val="Cambria"/>
        <family val="1"/>
      </rPr>
      <t>/</t>
    </r>
    <r>
      <rPr>
        <sz val="11"/>
        <color theme="1"/>
        <rFont val="DengXian"/>
        <charset val="134"/>
      </rPr>
      <t>工期显示工作量。</t>
    </r>
  </si>
  <si>
    <t>4.6.1.8.1</t>
  </si>
  <si>
    <t>System shall support display work load with number of inspection lot, number of sample, number of test, number of skip lot, number of skip test in folder.</t>
  </si>
  <si>
    <t>系统应支持在文件夹中显示工作量，包括检验批数量、样品数量、测试数量、跳批数量、跳测数量。</t>
  </si>
  <si>
    <t>4.6.1.10.1</t>
  </si>
  <si>
    <t>System shall be able to automatically calculate QC release time for individual batch/test request.</t>
  </si>
  <si>
    <r>
      <t>系统应能自动计算单个批次</t>
    </r>
    <r>
      <rPr>
        <sz val="11"/>
        <color rgb="FF000000"/>
        <rFont val="Cambria"/>
        <family val="1"/>
      </rPr>
      <t>/</t>
    </r>
    <r>
      <rPr>
        <sz val="11"/>
        <color rgb="FF000000"/>
        <rFont val="DengXian"/>
        <charset val="134"/>
      </rPr>
      <t>测试请求的质控释放时间。</t>
    </r>
  </si>
  <si>
    <t>4.6.1.10.2</t>
  </si>
  <si>
    <r>
      <t>Sample Release Time=</t>
    </r>
    <r>
      <rPr>
        <sz val="11"/>
        <color rgb="FFFF0000"/>
        <rFont val="Cambria"/>
        <family val="1"/>
      </rPr>
      <t>∑</t>
    </r>
    <r>
      <rPr>
        <sz val="11"/>
        <color rgb="FF000000"/>
        <rFont val="Cambria"/>
        <family val="1"/>
      </rPr>
      <t>(Time End-Time Start)</t>
    </r>
  </si>
  <si>
    <r>
      <t>样本释放时间</t>
    </r>
    <r>
      <rPr>
        <sz val="11"/>
        <color rgb="FFFF0000"/>
        <rFont val="Cambria Math"/>
        <family val="1"/>
      </rPr>
      <t>=</t>
    </r>
    <r>
      <rPr>
        <sz val="11"/>
        <color rgb="FF000000"/>
        <rFont val="Cambria"/>
        <family val="1"/>
      </rPr>
      <t>∑</t>
    </r>
    <r>
      <rPr>
        <sz val="11"/>
        <color rgb="FF000000"/>
        <rFont val="DengXian"/>
        <charset val="134"/>
      </rPr>
      <t>（结束时间</t>
    </r>
    <r>
      <rPr>
        <sz val="11"/>
        <color rgb="FF000000"/>
        <rFont val="Cambria"/>
        <family val="1"/>
      </rPr>
      <t>-</t>
    </r>
    <r>
      <rPr>
        <sz val="11"/>
        <color rgb="FF000000"/>
        <rFont val="DengXian"/>
        <charset val="134"/>
      </rPr>
      <t>开始时间）</t>
    </r>
  </si>
  <si>
    <t>4.6.1.10.5</t>
  </si>
  <si>
    <t>Time Start: sample received time (actual time barcode scan in QC) of inspection lot</t>
  </si>
  <si>
    <r>
      <t>开始时间：检验批收到样品的时间（</t>
    </r>
    <r>
      <rPr>
        <sz val="11"/>
        <color rgb="FF000000"/>
        <rFont val="Cambria"/>
        <family val="1"/>
      </rPr>
      <t xml:space="preserve">QC </t>
    </r>
    <r>
      <rPr>
        <sz val="11"/>
        <color rgb="FF000000"/>
        <rFont val="DengXian"/>
        <charset val="134"/>
      </rPr>
      <t>条形码扫描的实际时间）。</t>
    </r>
  </si>
  <si>
    <t>4.6.1.12.2</t>
  </si>
  <si>
    <t>System shall display on time proportion for PM for each instrument by report.</t>
  </si>
  <si>
    <r>
      <t>系统应按报告显示每台仪器的</t>
    </r>
    <r>
      <rPr>
        <sz val="11"/>
        <color theme="1"/>
        <rFont val="Cambria"/>
        <family val="1"/>
      </rPr>
      <t xml:space="preserve"> PM </t>
    </r>
    <r>
      <rPr>
        <sz val="11"/>
        <color theme="1"/>
        <rFont val="DengXian"/>
        <charset val="134"/>
      </rPr>
      <t>时间比例。</t>
    </r>
  </si>
  <si>
    <t>系统应通过报告显示校准记录的数量和按时进行维护的情况。</t>
  </si>
  <si>
    <t>System shall display on time proportion for MSA task by report.</t>
  </si>
  <si>
    <t>系统应按报告显示管理事务协议任务的准时比例。</t>
  </si>
  <si>
    <t>4.6.1.16.1</t>
  </si>
  <si>
    <t>system shall display retain sample in dashboard by storage location, retain status , number of expired retains, disposed retains by date.</t>
  </si>
  <si>
    <t>系统应在仪表板中按储存位置、保留状态、过期保留数量、按日期处理的保留样品显示。</t>
  </si>
  <si>
    <t>Laboratory equipment</t>
  </si>
  <si>
    <t>4.8.1.5.2</t>
  </si>
  <si>
    <t>System shall sync user’s testing skill from Henkel skill matrix tool.</t>
  </si>
  <si>
    <t>系统应同步汉高技能矩阵工具中的用户测试技能。</t>
  </si>
  <si>
    <t>Personnel</t>
  </si>
  <si>
    <t>4.8.2.3.2</t>
  </si>
  <si>
    <t>Specification management</t>
  </si>
  <si>
    <t>4.8.4.1.2</t>
  </si>
  <si>
    <t>System shall align MLP data with SAP.</t>
  </si>
  <si>
    <r>
      <t>系统应使</t>
    </r>
    <r>
      <rPr>
        <sz val="11"/>
        <color theme="1"/>
        <rFont val="Cambria"/>
        <family val="1"/>
      </rPr>
      <t xml:space="preserve"> MLP </t>
    </r>
    <r>
      <rPr>
        <sz val="11"/>
        <color theme="1"/>
        <rFont val="DengXian"/>
        <charset val="134"/>
      </rPr>
      <t>数据与</t>
    </r>
    <r>
      <rPr>
        <sz val="11"/>
        <color theme="1"/>
        <rFont val="Cambria"/>
        <family val="1"/>
      </rPr>
      <t xml:space="preserve"> SAP </t>
    </r>
    <r>
      <rPr>
        <sz val="11"/>
        <color theme="1"/>
        <rFont val="DengXian"/>
        <charset val="134"/>
      </rPr>
      <t>保持一致。</t>
    </r>
  </si>
  <si>
    <t>接口，SAP主数据mlp同步，SMIDI或定制开发接口</t>
    <phoneticPr fontId="2" type="noConversion"/>
  </si>
  <si>
    <t>Stock &amp; Inventory management</t>
  </si>
  <si>
    <t>4.8.5.1.5</t>
  </si>
  <si>
    <t>System shall be able to set and configurate maximum quantity in stock mangement.</t>
  </si>
  <si>
    <t>系统应能设置和配置库存管理的最大数量。</t>
  </si>
  <si>
    <t>4.8.5.1.7</t>
  </si>
  <si>
    <t>system shall automatically deduct the stock quantity when consumption.</t>
  </si>
  <si>
    <t>系统将在消耗时自动扣除库存数量。</t>
  </si>
  <si>
    <t>4.8.5.6.3</t>
  </si>
  <si>
    <t>System shall be able to warining for Exceed amount storage in folder.</t>
  </si>
  <si>
    <t>系统应能对文件夹中的超量存储进行警告。</t>
  </si>
  <si>
    <t>4.8.5.8.2</t>
    <phoneticPr fontId="2" type="noConversion"/>
  </si>
  <si>
    <t>System shall sync GHS information form SAP to substance in QCLAD.</t>
    <phoneticPr fontId="2" type="noConversion"/>
  </si>
  <si>
    <r>
      <t>系统应将</t>
    </r>
    <r>
      <rPr>
        <sz val="11"/>
        <color theme="1"/>
        <rFont val="Cambria"/>
        <family val="1"/>
      </rPr>
      <t xml:space="preserve"> SAP </t>
    </r>
    <r>
      <rPr>
        <sz val="11"/>
        <color theme="1"/>
        <rFont val="DengXian"/>
        <charset val="134"/>
      </rPr>
      <t>中的</t>
    </r>
    <r>
      <rPr>
        <sz val="11"/>
        <color theme="1"/>
        <rFont val="Cambria"/>
        <family val="1"/>
      </rPr>
      <t xml:space="preserve"> GHS </t>
    </r>
    <r>
      <rPr>
        <sz val="11"/>
        <color theme="1"/>
        <rFont val="DengXian"/>
        <charset val="134"/>
      </rPr>
      <t>信息与</t>
    </r>
    <r>
      <rPr>
        <sz val="11"/>
        <color theme="1"/>
        <rFont val="Cambria"/>
        <family val="1"/>
      </rPr>
      <t xml:space="preserve"> QCLAD </t>
    </r>
    <r>
      <rPr>
        <sz val="11"/>
        <color theme="1"/>
        <rFont val="DengXian"/>
        <charset val="134"/>
      </rPr>
      <t>中的物质同步。</t>
    </r>
    <phoneticPr fontId="2" type="noConversion"/>
  </si>
  <si>
    <t>模块</t>
    <phoneticPr fontId="2" type="noConversion"/>
  </si>
  <si>
    <t>开发工时</t>
    <phoneticPr fontId="2" type="noConversion"/>
  </si>
  <si>
    <t>SAP接口</t>
    <phoneticPr fontId="2" type="noConversion"/>
  </si>
  <si>
    <t>A</t>
    <phoneticPr fontId="2" type="noConversion"/>
  </si>
  <si>
    <t>MES接口</t>
    <phoneticPr fontId="2" type="noConversion"/>
  </si>
  <si>
    <t>B</t>
    <phoneticPr fontId="2" type="noConversion"/>
  </si>
  <si>
    <t>OSDP接口</t>
    <phoneticPr fontId="2" type="noConversion"/>
  </si>
  <si>
    <t>排班</t>
    <phoneticPr fontId="2" type="noConversion"/>
  </si>
  <si>
    <t>排程</t>
    <phoneticPr fontId="2" type="noConversion"/>
  </si>
  <si>
    <t>dashboard（一个大屏展示）</t>
    <phoneticPr fontId="2" type="noConversion"/>
  </si>
  <si>
    <t>其他</t>
    <phoneticPr fontId="2" type="noConversion"/>
  </si>
  <si>
    <t>总计</t>
    <phoneticPr fontId="2" type="noConversion"/>
  </si>
  <si>
    <t>Third party systems</t>
    <phoneticPr fontId="2" type="noConversion"/>
  </si>
  <si>
    <t>Number</t>
  </si>
  <si>
    <t>Initiator</t>
  </si>
  <si>
    <t>Recipient</t>
    <phoneticPr fontId="2" type="noConversion"/>
  </si>
  <si>
    <t>Content</t>
    <phoneticPr fontId="2" type="noConversion"/>
  </si>
  <si>
    <t>Requirements</t>
    <phoneticPr fontId="2" type="noConversion"/>
  </si>
  <si>
    <t>Implementation methods (customization, SMIDI)</t>
    <phoneticPr fontId="2" type="noConversion"/>
  </si>
  <si>
    <t>Source</t>
    <phoneticPr fontId="2" type="noConversion"/>
  </si>
  <si>
    <t>Comments-English</t>
    <phoneticPr fontId="2" type="noConversion"/>
  </si>
  <si>
    <t>Comments-Chinese</t>
    <phoneticPr fontId="2" type="noConversion"/>
  </si>
  <si>
    <t>SAP</t>
    <phoneticPr fontId="2" type="noConversion"/>
  </si>
  <si>
    <t>QCLaD</t>
  </si>
  <si>
    <t>Create Inspection Lot</t>
    <phoneticPr fontId="2" type="noConversion"/>
  </si>
  <si>
    <t>System shall be able to retrive Inspection plan from SAP and create sample.
Inspection lot、Batch</t>
    <phoneticPr fontId="2" type="noConversion"/>
  </si>
  <si>
    <t>TBD</t>
    <phoneticPr fontId="2" type="noConversion"/>
  </si>
  <si>
    <t>RTM</t>
    <phoneticPr fontId="2" type="noConversion"/>
  </si>
  <si>
    <r>
      <t xml:space="preserve">1、Does the inspection lot issued by SAP or MES correspond to multiple samples, or is there any mixed inspection (one sample corresponds to multiple inspection lots)? What is the process if there is one?
</t>
    </r>
    <r>
      <rPr>
        <sz val="11"/>
        <color theme="4" tint="-0.499984740745262"/>
        <rFont val="Calibri"/>
        <family val="2"/>
        <scheme val="minor"/>
      </rPr>
      <t>Reply: MMA has an inspection lot where only one test item needs to be tested multiple times (the number of times it needs to be tested depends on the number of samples received - manual judgment). The results of multiple tests need to be retained in QCLAD (can the results be retained in LES?), and only one test result needs to be returned to SAP (manual judgment);
There also exists a sample corresponding to more than one inspection lot, the results need to be returned to more than one inspection lot; There exists a finished product inspection lot that is generated after the semi-finished product inspection lot's are closed in SAP;the finished product inspection lot of some or all of the results from the results of the semi-finished product inspection lot;</t>
    </r>
    <r>
      <rPr>
        <sz val="11"/>
        <color rgb="FFFF0000"/>
        <rFont val="Calibri"/>
        <family val="2"/>
        <scheme val="minor"/>
      </rPr>
      <t xml:space="preserve">
</t>
    </r>
    <r>
      <rPr>
        <sz val="11"/>
        <color theme="4" tint="-0.499984740745262"/>
        <rFont val="Calibri"/>
        <family val="2"/>
        <scheme val="minor"/>
      </rPr>
      <t>meeting commmet: one inspection lot relate to mutiple Samples and data to be differentiated based on operation number and inspection point.</t>
    </r>
    <phoneticPr fontId="2" type="noConversion"/>
  </si>
  <si>
    <r>
      <t xml:space="preserve">1、SAP或MES下发的检验批是否对应多个样品，或者是否存在混检（一个样品对应多个检验批）？如果存在其流程是怎样的？
</t>
    </r>
    <r>
      <rPr>
        <sz val="11"/>
        <color theme="4" tint="-0.499984740745262"/>
        <rFont val="Calibri"/>
        <family val="2"/>
        <scheme val="minor"/>
      </rPr>
      <t>回复：MMA存在一个检验批对应只有其中一个检测项目需要做多次（需要做多少次是根据来多少样品来判断的-人工判断），需要在QCLAD中保留多次测试的结果（可以在LES中保留结果？），回传结果只需要回传一个测试的结果到SAP（人工判断）；
也存在一个样品对应多个检验批，结果回传时需要回传给多个检验批；存在成品检验批是半成品检验批的在SAP中关闭后生成的；成品检验批的部分或全部结果取自半成品检验批的结果；</t>
    </r>
    <r>
      <rPr>
        <sz val="11"/>
        <color rgb="FFFF0000"/>
        <rFont val="Calibri"/>
        <family val="2"/>
        <scheme val="minor"/>
      </rPr>
      <t xml:space="preserve">
</t>
    </r>
    <r>
      <rPr>
        <sz val="11"/>
        <color theme="4" tint="-0.499984740745262"/>
        <rFont val="Calibri"/>
        <family val="2"/>
        <scheme val="minor"/>
      </rPr>
      <t>meeting commmet: one inspection lot relate to mutiple Samples and data to be differentiated based on operation number and inspection point.</t>
    </r>
    <phoneticPr fontId="2" type="noConversion"/>
  </si>
  <si>
    <t>mlp sync</t>
    <phoneticPr fontId="2" type="noConversion"/>
  </si>
  <si>
    <t>System shall be receive specification limit to be pulled from SAP.</t>
    <phoneticPr fontId="2" type="noConversion"/>
  </si>
  <si>
    <t xml:space="preserve">Specification limit: corresponds to the MLP in Samplemanager
</t>
    <phoneticPr fontId="2" type="noConversion"/>
  </si>
  <si>
    <t xml:space="preserve">specification limit：对应Samplemanager中的MLP
</t>
    <phoneticPr fontId="2" type="noConversion"/>
  </si>
  <si>
    <t>MIC (analysis） sync</t>
    <phoneticPr fontId="2" type="noConversion"/>
  </si>
  <si>
    <t>Inspection plan: it is a collection of MIC, MIC is the inspection method, corresponding to Analysis in LIMS.
1、Does MIC also need to be synchronised, whether the components in MIC have precision, calculation formula, modification rules, and whether there are special types of result types, such as selection items, file types, etc.?
Response：SAP side there are units, precision (decimal places), revision rules;
回复： TF provide an example of master data list in inspection plan</t>
    <phoneticPr fontId="2" type="noConversion"/>
  </si>
  <si>
    <t>Plant code  sync</t>
    <phoneticPr fontId="2" type="noConversion"/>
  </si>
  <si>
    <t>2、SAP synchronised data in the Plant Code is a separate master data?
Yes</t>
    <phoneticPr fontId="2" type="noConversion"/>
  </si>
  <si>
    <t>2、SAP同步的数据中的Plant Code是单独的主数据吗？是否需要同步到QCLAD?</t>
    <phoneticPr fontId="2" type="noConversion"/>
  </si>
  <si>
    <t>IDH (substance） sync</t>
    <phoneticPr fontId="2" type="noConversion"/>
  </si>
  <si>
    <t>3、IDH：corresponds to the substance of samplemanager</t>
    <phoneticPr fontId="2" type="noConversion"/>
  </si>
  <si>
    <t>3、IDH：对应samplemanager的substance</t>
    <phoneticPr fontId="2" type="noConversion"/>
  </si>
  <si>
    <t>Result sycn</t>
    <phoneticPr fontId="2" type="noConversion"/>
  </si>
  <si>
    <t>System shall be able to retrive the result data in CoA data already available in SAP inspection lot.
System shall be able to display the Data recorded within inspection lot, MIC, Spec, Test result from the CoA in SAP even if the data entry is not required in QCLAD. ( What's the detail, need to check with Neelima)</t>
    <phoneticPr fontId="2" type="noConversion"/>
  </si>
  <si>
    <t>customization</t>
  </si>
  <si>
    <t>workflow、RTM</t>
    <phoneticPr fontId="2" type="noConversion"/>
  </si>
  <si>
    <r>
      <t xml:space="preserve">When was the synchronization of this result triggered, and was it pushed by SAP to QCLAD?
</t>
    </r>
    <r>
      <rPr>
        <sz val="11"/>
        <color theme="4" tint="-0.499984740745262"/>
        <rFont val="Calibri"/>
        <family val="2"/>
        <scheme val="minor"/>
      </rPr>
      <t xml:space="preserve">Meeting comment:
</t>
    </r>
    <r>
      <rPr>
        <sz val="11"/>
        <color rgb="FFFF0000"/>
        <rFont val="Calibri"/>
        <family val="2"/>
        <scheme val="minor"/>
      </rPr>
      <t>need more internal disscusion</t>
    </r>
    <phoneticPr fontId="2" type="noConversion"/>
  </si>
  <si>
    <r>
      <t xml:space="preserve">这个结果的同步，是什么时候触发，是SAP推送到QCLAD吗？
</t>
    </r>
    <r>
      <rPr>
        <sz val="11"/>
        <color theme="4" tint="-0.499984740745262"/>
        <rFont val="Calibri"/>
        <family val="2"/>
        <scheme val="minor"/>
      </rPr>
      <t xml:space="preserve">Meeting comment:
</t>
    </r>
    <r>
      <rPr>
        <sz val="11"/>
        <color rgb="FFFF0000"/>
        <rFont val="Calibri"/>
        <family val="2"/>
        <scheme val="minor"/>
      </rPr>
      <t>need more internal disscusion</t>
    </r>
    <phoneticPr fontId="2" type="noConversion"/>
  </si>
  <si>
    <t>Result feedback</t>
    <phoneticPr fontId="2" type="noConversion"/>
  </si>
  <si>
    <t>System shall assign tasks before the inspection lot only for JIT materials. And the results shall be pushed to sap if inspection lot is created.</t>
    <phoneticPr fontId="2" type="noConversion"/>
  </si>
  <si>
    <r>
      <t xml:space="preserve">Need return the unrounded data or the rounded data?
</t>
    </r>
    <r>
      <rPr>
        <sz val="11"/>
        <color theme="4" tint="-0.499984740745262"/>
        <rFont val="Calibri"/>
        <family val="2"/>
        <scheme val="minor"/>
      </rPr>
      <t xml:space="preserve">Meeting comment:
</t>
    </r>
    <r>
      <rPr>
        <sz val="11"/>
        <color rgb="FFFF0000"/>
        <rFont val="Calibri"/>
        <family val="2"/>
        <scheme val="minor"/>
      </rPr>
      <t>need more internal disscusion</t>
    </r>
    <phoneticPr fontId="2" type="noConversion"/>
  </si>
  <si>
    <r>
      <t xml:space="preserve">回传未修约的数据还是修约后的数据？
</t>
    </r>
    <r>
      <rPr>
        <sz val="11"/>
        <color theme="4" tint="-0.499984740745262"/>
        <rFont val="Calibri"/>
        <family val="2"/>
        <scheme val="minor"/>
      </rPr>
      <t xml:space="preserve">Meeting comment:
</t>
    </r>
    <r>
      <rPr>
        <sz val="11"/>
        <color rgb="FFFF0000"/>
        <rFont val="Calibri"/>
        <family val="2"/>
        <scheme val="minor"/>
      </rPr>
      <t>need more internal disscusion</t>
    </r>
    <r>
      <rPr>
        <sz val="11"/>
        <color theme="4" tint="-0.499984740745262"/>
        <rFont val="Calibri"/>
        <family val="2"/>
        <scheme val="minor"/>
      </rPr>
      <t xml:space="preserve">
</t>
    </r>
    <phoneticPr fontId="2" type="noConversion"/>
  </si>
  <si>
    <t>MES</t>
    <phoneticPr fontId="2" type="noConversion"/>
  </si>
  <si>
    <t>QCLaD</t>
    <phoneticPr fontId="2" type="noConversion"/>
  </si>
  <si>
    <t>ReSample</t>
    <phoneticPr fontId="2" type="noConversion"/>
  </si>
  <si>
    <t>System shall be able to trigger a resample from MES.
QCLAD notifies MES for Resample</t>
    <phoneticPr fontId="2" type="noConversion"/>
  </si>
  <si>
    <t xml:space="preserve">RTM
workflow - 
3-Standard finished goods outgoing test. </t>
    <phoneticPr fontId="2" type="noConversion"/>
  </si>
  <si>
    <t>Does QCLAD notify MES to resample after completing the resample operation first?
Or should QCLAD notify MES first that resampling is required, and then perform resampling after the resampled samples are delivered?</t>
    <phoneticPr fontId="2" type="noConversion"/>
  </si>
  <si>
    <t>QCLAD先完成resmaple操作后，通过MES重新抽样吗？还需要先通知MES需要重新取样，待重新抽样的样品送来后再进行resample?</t>
    <phoneticPr fontId="2" type="noConversion"/>
  </si>
  <si>
    <t>Sample states feedback</t>
    <phoneticPr fontId="2" type="noConversion"/>
  </si>
  <si>
    <t>Push sample states to MES(Success or fail)</t>
    <phoneticPr fontId="2" type="noConversion"/>
  </si>
  <si>
    <t>workflow</t>
    <phoneticPr fontId="2" type="noConversion"/>
  </si>
  <si>
    <t>Does this Success or fail refer to the conclusion of the sample in the current specification limit?</t>
    <phoneticPr fontId="2" type="noConversion"/>
  </si>
  <si>
    <t>这个Success or fail是指sample的在当前的specification limit的结论吗？</t>
    <phoneticPr fontId="2" type="noConversion"/>
  </si>
  <si>
    <t>MES Push QC result to QCLaD</t>
    <phoneticPr fontId="2" type="noConversion"/>
  </si>
  <si>
    <r>
      <t xml:space="preserve">After QCLaD synchronizes the results from MES,Is there still any modification in QCLAD, and if so, does it still need to be sent back to MES?
</t>
    </r>
    <r>
      <rPr>
        <sz val="11"/>
        <color theme="4" tint="-0.499984740745262"/>
        <rFont val="Calibri"/>
        <family val="2"/>
        <scheme val="minor"/>
      </rPr>
      <t>Reply: Need to return to MES again</t>
    </r>
    <phoneticPr fontId="2" type="noConversion"/>
  </si>
  <si>
    <r>
      <t xml:space="preserve">QCLaD从MES同步了结果后，如果有修改了是否还需要回传到MES?
</t>
    </r>
    <r>
      <rPr>
        <sz val="11"/>
        <color theme="4" tint="-0.499984740745262"/>
        <rFont val="Calibri"/>
        <family val="2"/>
        <scheme val="minor"/>
      </rPr>
      <t>回复：需要回传</t>
    </r>
    <phoneticPr fontId="2" type="noConversion"/>
  </si>
  <si>
    <t>QCLaD Pushes result to MES</t>
    <phoneticPr fontId="2" type="noConversion"/>
  </si>
  <si>
    <t>Notify MES to adjust process parameters</t>
    <phoneticPr fontId="2" type="noConversion"/>
  </si>
  <si>
    <t>Request MES to do adjusetment process parameters</t>
    <phoneticPr fontId="2" type="noConversion"/>
  </si>
  <si>
    <t>workflow 
2-In process test with MES</t>
    <phoneticPr fontId="2" type="noConversion"/>
  </si>
  <si>
    <t>Is it just a message notification?</t>
    <phoneticPr fontId="2" type="noConversion"/>
  </si>
  <si>
    <t>仅仅只是消息通知？</t>
    <phoneticPr fontId="2" type="noConversion"/>
  </si>
  <si>
    <t>Process parameter feedback</t>
  </si>
  <si>
    <t>QCLaD Pushes the quantity to MES</t>
    <phoneticPr fontId="2" type="noConversion"/>
  </si>
  <si>
    <t>Process parameter sync</t>
  </si>
  <si>
    <t>MES Pushes the quantity to QCLaD</t>
    <phoneticPr fontId="2" type="noConversion"/>
  </si>
  <si>
    <t>OSDP</t>
    <phoneticPr fontId="2" type="noConversion"/>
  </si>
  <si>
    <t>skill  sync</t>
    <phoneticPr fontId="2" type="noConversion"/>
  </si>
  <si>
    <t>RTM、workflow</t>
    <phoneticPr fontId="2" type="noConversion"/>
  </si>
  <si>
    <r>
      <t xml:space="preserve">1. What is the instrument matrix mentioned in the workflow, and does it also need to be synchronized in OSDP?
2. Is a factory with OSDP a globally applicable system? Does the data that needs to be integrated contain factory information?
</t>
    </r>
    <r>
      <rPr>
        <sz val="11"/>
        <color theme="4" tint="-0.499984740745262"/>
        <rFont val="Calibri"/>
        <family val="2"/>
        <scheme val="minor"/>
      </rPr>
      <t>Reply: Yes they have</t>
    </r>
    <phoneticPr fontId="2" type="noConversion"/>
  </si>
  <si>
    <t>1、在workflow中有看到仪器矩阵，这个仪器矩阵真的是什么呢，是否也在OSDP中是否也需要同步的？
2、具有 OSDP的工厂是全球通用的一个系统吗？那需要集成的数据中是否含有工厂信息？</t>
    <phoneticPr fontId="2" type="noConversion"/>
  </si>
  <si>
    <r>
      <t xml:space="preserve">Inspection plan：是MIC集合，MIC就是检测方法，对应LIMS中的Analysis
1、MIC是否也是需要同步？MIC中的组分是否有精度、计算公式、修约规则，结果类型是否存在特殊类型如选择项、文件类型等？
回复：SAP那边存在单位、精度（小数点位数）、修约规则；
</t>
    </r>
    <r>
      <rPr>
        <sz val="11"/>
        <color rgb="FFFF0000"/>
        <rFont val="Calibri"/>
        <charset val="134"/>
        <scheme val="minor"/>
      </rPr>
      <t>RTM 4.1.2.6.1 条目说需要计算最大值最小值，但sap那边没有计算公式，公式是否需要在QCLAD中手动维护？</t>
    </r>
    <phoneticPr fontId="2" type="noConversion"/>
  </si>
  <si>
    <t>开发工时2</t>
    <phoneticPr fontId="2" type="noConversion"/>
  </si>
  <si>
    <t>REQUIREMENTS TRACE MATRIX</t>
  </si>
  <si>
    <t xml:space="preserve">Document Ref: </t>
  </si>
  <si>
    <t>Appendix 01_Functional Requirements_LIMS - Thermo Fisher</t>
  </si>
  <si>
    <t xml:space="preserve">Version: </t>
  </si>
  <si>
    <t xml:space="preserve">Date: </t>
  </si>
  <si>
    <t>gathering
status</t>
  </si>
  <si>
    <t>Module</t>
  </si>
  <si>
    <t>Req. No.</t>
  </si>
  <si>
    <t>URS Ref.</t>
  </si>
  <si>
    <t xml:space="preserve">Delivery Phase </t>
  </si>
  <si>
    <t>Functional Area / Workshop</t>
  </si>
  <si>
    <t>Requirement</t>
  </si>
  <si>
    <t>Type</t>
  </si>
  <si>
    <t xml:space="preserve"> Standard RM test for Incoming</t>
  </si>
  <si>
    <t>Standard in process testing for semi finished and finished goods</t>
  </si>
  <si>
    <t>Standard finished goods outgoing test</t>
  </si>
  <si>
    <t xml:space="preserve"> Consumables incoming test</t>
  </si>
  <si>
    <t>package material incoming test</t>
  </si>
  <si>
    <t>instrument calibration sample test</t>
  </si>
  <si>
    <t>Test For MSA</t>
  </si>
  <si>
    <t xml:space="preserve"> Certification test for QC technician</t>
  </si>
  <si>
    <t>Test for SCMS/NCMR /CCMS investigation</t>
  </si>
  <si>
    <t>Test for NCMR-Shelf life extension</t>
  </si>
  <si>
    <t>Testing for Customer/Supplier/PD/TCS/Other sites/MOC/NPI / Improvement project</t>
  </si>
  <si>
    <t>Moving sample/material to storage location</t>
  </si>
  <si>
    <t>Perform skip lot testing</t>
  </si>
  <si>
    <t>X-Ref</t>
  </si>
  <si>
    <t>Owner</t>
  </si>
  <si>
    <t>Include</t>
  </si>
  <si>
    <t>Desing Idea</t>
  </si>
  <si>
    <t>Fields Tables</t>
  </si>
  <si>
    <t>Complexity</t>
  </si>
  <si>
    <t>P/Type</t>
  </si>
  <si>
    <t>Addresses Requirement</t>
  </si>
  <si>
    <t>Design Conclusion</t>
  </si>
  <si>
    <t>FDS Ref.</t>
  </si>
  <si>
    <t>Test Script Ref.</t>
  </si>
  <si>
    <t>Expanded Details/Comments</t>
  </si>
  <si>
    <t>Estimate</t>
  </si>
  <si>
    <t>complete</t>
    <phoneticPr fontId="20" type="noConversion"/>
  </si>
  <si>
    <t>4.1.1.1</t>
    <phoneticPr fontId="20" type="noConversion"/>
  </si>
  <si>
    <t>Sample Login/Sample Receipt</t>
  </si>
  <si>
    <t>The system shall provide functionality to log samples using configurable templates
In case of plants with Smart factory, Smart factory MES samples are collected in those application for standard testing
Samples have to be created using QCLaD for non-standard testing, and for sites where there is no MES or Smart factory.</t>
  </si>
  <si>
    <t>Sample</t>
  </si>
  <si>
    <t>R001</t>
  </si>
  <si>
    <t>4.1.1.1.1</t>
    <phoneticPr fontId="20" type="noConversion"/>
  </si>
  <si>
    <t>System shall be able to login samples using configurable templates</t>
  </si>
  <si>
    <t>Configuration</t>
  </si>
  <si>
    <t>ü</t>
  </si>
  <si>
    <t>x</t>
  </si>
  <si>
    <t>配置Sample entity template，需要添加字段</t>
  </si>
  <si>
    <t>complete</t>
  </si>
  <si>
    <t>4.1.1.1.2</t>
  </si>
  <si>
    <t>Henkel offer the sample request template for reference.</t>
  </si>
  <si>
    <t>R002</t>
  </si>
  <si>
    <t>4.1.1.1.3</t>
  </si>
  <si>
    <t>System shall be able to create samples manually for standard testing.</t>
    <phoneticPr fontId="20" type="noConversion"/>
  </si>
  <si>
    <t>配置standard testing的工作流，如果要加其他特定功能，不好评估时间</t>
  </si>
  <si>
    <t>/</t>
  </si>
  <si>
    <t>R003</t>
  </si>
  <si>
    <t>4.1.1.1.4</t>
    <phoneticPr fontId="20" type="noConversion"/>
  </si>
  <si>
    <t>System shall be able to create samples manually for non-standard testing.</t>
    <phoneticPr fontId="20" type="noConversion"/>
  </si>
  <si>
    <t>4.1.1.2</t>
    <phoneticPr fontId="20" type="noConversion"/>
  </si>
  <si>
    <t>The system shall provide functionality to log samples automatically based on trigger events in an external system or schedule</t>
  </si>
  <si>
    <t>R004</t>
    <phoneticPr fontId="20" type="noConversion"/>
  </si>
  <si>
    <t>4.1.1.2.1</t>
    <phoneticPr fontId="20" type="noConversion"/>
  </si>
  <si>
    <t>System shall be able to receive inspection lot  from SAP and create sample and test.
Refer to 4.5.1.1</t>
  </si>
  <si>
    <t>SMIDI或定制开发接口</t>
    <phoneticPr fontId="20" type="noConversion"/>
  </si>
  <si>
    <t>R005</t>
  </si>
  <si>
    <t>System shall be able to trigger a resample from MES.</t>
    <phoneticPr fontId="20" type="noConversion"/>
  </si>
  <si>
    <r>
      <t xml:space="preserve">定制开发接口，当MES触发ReSample操作时，调用QCLaD接口，将相应sample做Resample操作（重新生产一个新的sample）
</t>
    </r>
    <r>
      <rPr>
        <sz val="11"/>
        <color rgb="FFFF0000"/>
        <rFont val="Calibri Light"/>
        <family val="3"/>
        <charset val="134"/>
        <scheme val="major"/>
      </rPr>
      <t>样品登录是由SAP接口触发，那MES中触发resample,如何与QCLaD中的sample关联？</t>
    </r>
    <phoneticPr fontId="20" type="noConversion"/>
  </si>
  <si>
    <t>R006</t>
  </si>
  <si>
    <t>4.1.1.2.2</t>
    <phoneticPr fontId="20" type="noConversion"/>
  </si>
  <si>
    <t>System shall be able to create sample based on events scheduled within QCLAD.</t>
    <phoneticPr fontId="20" type="noConversion"/>
  </si>
  <si>
    <t>Standard</t>
  </si>
  <si>
    <t>4.1.1.3</t>
    <phoneticPr fontId="20" type="noConversion"/>
  </si>
  <si>
    <t>The system shall assign a unique sample ID to each sample logged in
Unique id has to be pulled from sample label if exists and reuse. If it doesn’t exist, system can create one.</t>
    <phoneticPr fontId="20" type="noConversion"/>
  </si>
  <si>
    <t>R007</t>
    <phoneticPr fontId="20" type="noConversion"/>
  </si>
  <si>
    <t>4.1.1.3.1</t>
  </si>
  <si>
    <t>System shall assign a unique sample ID to each sample logged in.</t>
  </si>
  <si>
    <t>配置Sample Idtext的Syntax</t>
  </si>
  <si>
    <t>R008</t>
  </si>
  <si>
    <t>定制开发，样品在接收的时候，将MES的标签上的ID存在sample表中，与sample中的id对应</t>
    <phoneticPr fontId="20" type="noConversion"/>
  </si>
  <si>
    <t>4.1.1.3.3</t>
  </si>
  <si>
    <t>Henkel need to check label template with Dragon. ( offer QR code rule  )</t>
  </si>
  <si>
    <t>R009</t>
    <phoneticPr fontId="20" type="noConversion"/>
  </si>
  <si>
    <t>4.1.1.3.4</t>
  </si>
  <si>
    <t>System shall allow user to print QCLaD Labels if the Plant doesn’t use MES system.</t>
  </si>
  <si>
    <t>配置Label和菜单</t>
  </si>
  <si>
    <t>4.1.1.3.5</t>
  </si>
  <si>
    <t xml:space="preserve">mark </t>
    <phoneticPr fontId="20" type="noConversion"/>
  </si>
  <si>
    <t>Henkel already offered sample ID naming rules for non-standard Sample .(TF already provided sample ID naming rules examples)</t>
  </si>
  <si>
    <t>4.1.1.4</t>
  </si>
  <si>
    <t>The system shall provide functionality to capture the date and time of sample receipt</t>
  </si>
  <si>
    <t>R010</t>
    <phoneticPr fontId="20" type="noConversion"/>
  </si>
  <si>
    <t>4.1.1.4.1</t>
  </si>
  <si>
    <t>System shall be able to retrive the sample receive date and time.</t>
  </si>
  <si>
    <t>自带功能</t>
  </si>
  <si>
    <t>4.1.1.5</t>
  </si>
  <si>
    <t>The system shall provide functionality to allow privileged users to cancel samples from the system</t>
    <phoneticPr fontId="20" type="noConversion"/>
  </si>
  <si>
    <t>R011</t>
    <phoneticPr fontId="20" type="noConversion"/>
  </si>
  <si>
    <t>4.1.1.5.1</t>
  </si>
  <si>
    <t>System shall be able to allow privileged users to cancel samples.</t>
  </si>
  <si>
    <t>配置权限</t>
  </si>
  <si>
    <t>R012</t>
    <phoneticPr fontId="20" type="noConversion"/>
  </si>
  <si>
    <t>4.1.1.5.2</t>
    <phoneticPr fontId="20" type="noConversion"/>
  </si>
  <si>
    <t>System shall be able to add a mandatory comment for the cancellation.</t>
    <phoneticPr fontId="20" type="noConversion"/>
  </si>
  <si>
    <t>4.1.1.6</t>
  </si>
  <si>
    <t>The system shall provide functionality to define configurable attributes for a sample which can be modified</t>
  </si>
  <si>
    <t>R013</t>
    <phoneticPr fontId="20" type="noConversion"/>
  </si>
  <si>
    <t>4.1.1.6.1</t>
  </si>
  <si>
    <t>System shall be able to define configurable attributes for a sample which can be modified.</t>
  </si>
  <si>
    <t>4.1.1.7</t>
  </si>
  <si>
    <t>The system shall provide functionality to allow the definition of sample types and sampling plans. This should include functionality to log in predefined batches of samples at one time in accordance with a defined sampling plan</t>
  </si>
  <si>
    <t>R014</t>
    <phoneticPr fontId="20" type="noConversion"/>
  </si>
  <si>
    <t>4.1.1.7.1</t>
  </si>
  <si>
    <t>System shall be able to allow the definition of sample types and test schedule.</t>
  </si>
  <si>
    <t>4.1.1.7.2</t>
  </si>
  <si>
    <t>Henkel need to check function of sample typle and sampling plans with Maline.
Re: sampling plan means sampling quantity</t>
  </si>
  <si>
    <t>R015</t>
    <phoneticPr fontId="20" type="noConversion"/>
  </si>
  <si>
    <t>4.1.1.7.3</t>
  </si>
  <si>
    <r>
      <t xml:space="preserve">System shall be able to log in predefined batches of samples at one time in accordance with a defined sampling plan </t>
    </r>
    <r>
      <rPr>
        <sz val="11"/>
        <color rgb="FFFF0000"/>
        <rFont val="Calibri Light"/>
        <family val="1"/>
        <scheme val="major"/>
      </rPr>
      <t>from SAP</t>
    </r>
    <r>
      <rPr>
        <sz val="11"/>
        <rFont val="Calibri Light"/>
        <family val="1"/>
        <scheme val="major"/>
      </rPr>
      <t>.</t>
    </r>
  </si>
  <si>
    <t>在schedule中配置登样计划，需要配置schedule登样工作流</t>
  </si>
  <si>
    <t>4.1.1.8</t>
  </si>
  <si>
    <t>The system shall provide functionality to log in either single or multiple samples from the same batch</t>
  </si>
  <si>
    <t>R016</t>
    <phoneticPr fontId="20" type="noConversion"/>
  </si>
  <si>
    <t>4.1.1.8.1</t>
  </si>
  <si>
    <t>System shall be able to log in either single or multiple samples from the same batch.</t>
  </si>
  <si>
    <t>4.1.1.9</t>
  </si>
  <si>
    <t>The system shall provide functionality to manage ‘sample split’</t>
    <phoneticPr fontId="20" type="noConversion"/>
  </si>
  <si>
    <t>R017</t>
    <phoneticPr fontId="20" type="noConversion"/>
  </si>
  <si>
    <t>4.1.1.9.1</t>
  </si>
  <si>
    <t>The system shall be able to split samples.</t>
    <phoneticPr fontId="20" type="noConversion"/>
  </si>
  <si>
    <t>Security</t>
  </si>
  <si>
    <t>R018</t>
    <phoneticPr fontId="20" type="noConversion"/>
  </si>
  <si>
    <t>4.1.1.9.2</t>
    <phoneticPr fontId="20" type="noConversion"/>
  </si>
  <si>
    <t>System shall be able to display the traceability of split samples with a parent sample.</t>
    <phoneticPr fontId="20" type="noConversion"/>
  </si>
  <si>
    <t>4.1.1.10</t>
  </si>
  <si>
    <t>The system shall provide functionality to log non routine samples with the user selecting a pre-defined specification or manually assigning tests from a pre- defined test list</t>
  </si>
  <si>
    <t>R019</t>
    <phoneticPr fontId="20" type="noConversion"/>
  </si>
  <si>
    <t>4.1.1.10.1</t>
  </si>
  <si>
    <t xml:space="preserve">System shall be able to log in non routine samples. </t>
    <phoneticPr fontId="20" type="noConversion"/>
  </si>
  <si>
    <t>R020</t>
    <phoneticPr fontId="20" type="noConversion"/>
  </si>
  <si>
    <t>4.1.1.10.2</t>
  </si>
  <si>
    <t>System shall allow specific user to select specifications and test methods for non routine samples.</t>
  </si>
  <si>
    <t>4.1.1.11</t>
  </si>
  <si>
    <t>The system shall provide functionality to manage retesting of samples that have an adverse finding</t>
    <phoneticPr fontId="20" type="noConversion"/>
  </si>
  <si>
    <t>R021</t>
    <phoneticPr fontId="20" type="noConversion"/>
  </si>
  <si>
    <t>4.1.1.11.1</t>
  </si>
  <si>
    <t>system shall be able to retest.</t>
    <phoneticPr fontId="20" type="noConversion"/>
  </si>
  <si>
    <t>配置retest功能，retest具体如何实现待商榷</t>
  </si>
  <si>
    <t>R022</t>
    <phoneticPr fontId="20" type="noConversion"/>
  </si>
  <si>
    <t>4.1.1.11.2</t>
  </si>
  <si>
    <t>System shall be record all failure as well as success of parameters in QCLAD.</t>
  </si>
  <si>
    <t>R023</t>
    <phoneticPr fontId="20" type="noConversion"/>
  </si>
  <si>
    <t>4.1.1.11.3</t>
    <phoneticPr fontId="20" type="noConversion"/>
  </si>
  <si>
    <t>System shall be push all failure as well as success of parameters to SAP.
Refer to 4.5.1.7</t>
  </si>
  <si>
    <t>4.1.1.12</t>
  </si>
  <si>
    <t>The system shall provide functionality to manage re-samples and their association with the original sample</t>
  </si>
  <si>
    <t>R024</t>
    <phoneticPr fontId="20" type="noConversion"/>
  </si>
  <si>
    <t>4.1.1.12.1</t>
  </si>
  <si>
    <t>System shall be able to resample and association with the original sample.</t>
  </si>
  <si>
    <t>配置resample功能，字段与原sample 关联。 resample是不是和接口相关？</t>
  </si>
  <si>
    <t>4.1.1.13</t>
  </si>
  <si>
    <t>The system shall provide functionality to associate specification limits to the tests for a sample</t>
  </si>
  <si>
    <t>R025</t>
    <phoneticPr fontId="20" type="noConversion"/>
  </si>
  <si>
    <t>4.1.1.13.1</t>
  </si>
  <si>
    <t>System shall be able to associate MLP to the tests for a sample.</t>
  </si>
  <si>
    <t>R026</t>
    <phoneticPr fontId="20" type="noConversion"/>
  </si>
  <si>
    <t>4.1.1.13.2</t>
    <phoneticPr fontId="20" type="noConversion"/>
  </si>
  <si>
    <t>System shall be receive specification limit to be pulled from SAP.
Refer to 4.5.1.3</t>
  </si>
  <si>
    <t>mlp同步，SMIDI或定制开发接口</t>
    <phoneticPr fontId="20" type="noConversion"/>
  </si>
  <si>
    <t>4.1.1.14</t>
  </si>
  <si>
    <t>The system shall provide functionality to allow restriction of sample types or sample groups to specific user groups, specialist analysts and restriction can be modified during the sample life cycle</t>
    <phoneticPr fontId="20" type="noConversion"/>
  </si>
  <si>
    <t>R027</t>
    <phoneticPr fontId="20" type="noConversion"/>
  </si>
  <si>
    <t>4.1.1.14.1</t>
  </si>
  <si>
    <t>System shall be able to control data access by group.</t>
    <phoneticPr fontId="20" type="noConversion"/>
  </si>
  <si>
    <t>R028</t>
  </si>
  <si>
    <t>4.1.1.14.2</t>
  </si>
  <si>
    <t>System shall support modify specialist analysts and group restriction during the sample life cycle.</t>
  </si>
  <si>
    <t>配置修改测试人的按钮；在entity template中加一个group的修改项</t>
  </si>
  <si>
    <t>4.1.1.15</t>
  </si>
  <si>
    <t>The system shall provide the capability to enter free text information at Sample log-in</t>
  </si>
  <si>
    <t>R029</t>
    <phoneticPr fontId="20" type="noConversion"/>
  </si>
  <si>
    <t>4.1.1.15.1</t>
  </si>
  <si>
    <t>System shall be able to allow user to enter comments at Sample log-in.</t>
  </si>
  <si>
    <t>在entity  template中配置一个comment的字段</t>
  </si>
  <si>
    <t>4.1.1.16</t>
  </si>
  <si>
    <t>The system must be able to scan barcode information and transmit this information to the solution using an appropriate system</t>
  </si>
  <si>
    <t>R030</t>
    <phoneticPr fontId="20" type="noConversion"/>
  </si>
  <si>
    <t>标准样品是MES标签，非标准样品是QCLaD标签</t>
    <phoneticPr fontId="20" type="noConversion"/>
  </si>
  <si>
    <t>4.1.1.17</t>
  </si>
  <si>
    <t>The system should be able to automatically login samples from a schedule or other systems (SAP, Henkel Smart Factory, MES)</t>
  </si>
  <si>
    <t>R031</t>
    <phoneticPr fontId="20" type="noConversion"/>
  </si>
  <si>
    <t>4.1.1.17.1</t>
  </si>
  <si>
    <t>System shall be automatically login samples from a schedule.</t>
  </si>
  <si>
    <t>R032</t>
  </si>
  <si>
    <t>System shall be automatically login samples from SAP.
Refer to 4.5.1.1</t>
  </si>
  <si>
    <r>
      <t xml:space="preserve">SMIDI或定制开发接口
</t>
    </r>
    <r>
      <rPr>
        <sz val="11"/>
        <color rgb="FFFF0000"/>
        <rFont val="Calibri Light"/>
        <family val="3"/>
        <charset val="134"/>
        <scheme val="major"/>
      </rPr>
      <t>一个检验批是否只对应一个sample？
是否存在混检？</t>
    </r>
    <phoneticPr fontId="20" type="noConversion"/>
  </si>
  <si>
    <t>R033</t>
  </si>
  <si>
    <t>定制开发接口，当MES需要登录样品的时候，调用QCLAD的接口，登录相应sample</t>
    <phoneticPr fontId="20" type="noConversion"/>
  </si>
  <si>
    <t>4.1.1.18</t>
  </si>
  <si>
    <t>The system shall provide functionality to allow entry / modification of attribute data at point of single or multiple sample receipt using configurable templates. 
For sites where there is labeling through MES, SFS or labelling solution, sample receipt has to be done by scanning the labels. 
For non MES/SFS sites, labels created from QCLAD to be used for scanning the sample receipt</t>
  </si>
  <si>
    <t>R034</t>
    <phoneticPr fontId="20" type="noConversion"/>
  </si>
  <si>
    <t>Sytem shall be able to allow entry / modification of attribute data at point of single or multiple sample receipt using configurable templates.</t>
  </si>
  <si>
    <t>扫码收样时修改属性</t>
    <phoneticPr fontId="20" type="noConversion"/>
  </si>
  <si>
    <t>R035</t>
  </si>
  <si>
    <t>Report&amp;Label</t>
  </si>
  <si>
    <t>R036</t>
  </si>
  <si>
    <t>4.1.1.18.3</t>
  </si>
  <si>
    <t>System shall be able to create labels for sample scan receiving for non MES samples.</t>
  </si>
  <si>
    <t>配置标签</t>
  </si>
  <si>
    <t>4.1.1.19</t>
  </si>
  <si>
    <t>The system shall provide functionality to allow entry of any irregularities recorded and route sample according to laboratory business rules</t>
  </si>
  <si>
    <t>pending</t>
  </si>
  <si>
    <t>R037</t>
    <phoneticPr fontId="20" type="noConversion"/>
  </si>
  <si>
    <t>4.1.1.19.1</t>
  </si>
  <si>
    <r>
      <t xml:space="preserve">The system shall provide functionality to allow entry of any irregularities recorded(log form like google form </t>
    </r>
    <r>
      <rPr>
        <sz val="11"/>
        <color rgb="FFFF0000"/>
        <rFont val="Calibri Light"/>
        <family val="1"/>
        <scheme val="major"/>
      </rPr>
      <t>delete</t>
    </r>
    <r>
      <rPr>
        <sz val="11"/>
        <rFont val="Calibri Light"/>
        <family val="1"/>
        <scheme val="major"/>
      </rPr>
      <t>) sample according to laboratory business rules.</t>
    </r>
    <phoneticPr fontId="20" type="noConversion"/>
  </si>
  <si>
    <t>R038</t>
  </si>
  <si>
    <t>4.1.1.19.2</t>
    <phoneticPr fontId="20" type="noConversion"/>
  </si>
  <si>
    <r>
      <t xml:space="preserve">The system shall provide functionality to allow entry of any </t>
    </r>
    <r>
      <rPr>
        <sz val="11"/>
        <color rgb="FFFF0000"/>
        <rFont val="Calibri Light"/>
        <family val="1"/>
        <scheme val="major"/>
      </rPr>
      <t>route sample</t>
    </r>
    <r>
      <rPr>
        <sz val="11"/>
        <rFont val="Calibri Light"/>
        <family val="1"/>
        <scheme val="major"/>
      </rPr>
      <t xml:space="preserve"> according to laboratory business rules. (</t>
    </r>
    <r>
      <rPr>
        <sz val="11"/>
        <color rgb="FFFF0000"/>
        <rFont val="Calibri Light"/>
        <family val="1"/>
        <scheme val="major"/>
      </rPr>
      <t>still confusing</t>
    </r>
    <r>
      <rPr>
        <sz val="11"/>
        <rFont val="Calibri Light"/>
        <family val="1"/>
        <scheme val="major"/>
      </rPr>
      <t>)</t>
    </r>
  </si>
  <si>
    <t>4.1.1.20</t>
  </si>
  <si>
    <t>The system shall provide functionality to allow users to change sample attributes after sample receipt</t>
  </si>
  <si>
    <t>4.1.1.20.1</t>
  </si>
  <si>
    <t>System shall allow users to modify sample attributes after sample receipt.</t>
    <phoneticPr fontId="20" type="noConversion"/>
  </si>
  <si>
    <t>用entity template配置可以修改的字段</t>
  </si>
  <si>
    <t>4.1.2.1</t>
    <phoneticPr fontId="20" type="noConversion"/>
  </si>
  <si>
    <t>Sample Testing/Results Entry</t>
  </si>
  <si>
    <t>The system shall provide two ways to assign works/tests to users:
i) Manually, Lab supervisor can allocate the work periodically based on requirements.
ii) Automatically, QCLaD arrange work based on pre-defined rules. The rule is Henkel customize, it can be configurable by Henkel site QC supervisor. The rule is based on Henkel resource (QC technician skill, workload, work shift and instrument availability, etc.); 
iii) function to support QC supervisor stop or modify auto assign task.
iv) capability to receive QC technician skills from Henkel Skill Matrix application for automatic task assignment in case the plant has configured Skill matrix application</t>
  </si>
  <si>
    <t>Assignment</t>
  </si>
  <si>
    <t>4.1.2.1.1</t>
    <phoneticPr fontId="20" type="noConversion"/>
  </si>
  <si>
    <t>System shall support to stop or modify auto assign task.</t>
    <phoneticPr fontId="20" type="noConversion"/>
  </si>
  <si>
    <r>
      <t>定制开发，修改任务的分配，手动分配，</t>
    </r>
    <r>
      <rPr>
        <sz val="11"/>
        <color rgb="FFFF0000"/>
        <rFont val="Calibri Light"/>
        <family val="3"/>
        <charset val="134"/>
        <scheme val="major"/>
      </rPr>
      <t>Stop是停止全局的自动分配？</t>
    </r>
    <phoneticPr fontId="20" type="noConversion"/>
  </si>
  <si>
    <t>System shall be able to assign test based on the versatility matrix from OSDP system once integrated.</t>
    <phoneticPr fontId="20" type="noConversion"/>
  </si>
  <si>
    <t>定制开发接口，与培训信息表同步，单项集成，OSDP-&gt;QCLAD</t>
    <phoneticPr fontId="20" type="noConversion"/>
  </si>
  <si>
    <t>4.1.2.3</t>
    <phoneticPr fontId="20" type="noConversion"/>
  </si>
  <si>
    <t>The system shall provide functionality to reference all results data to the sample</t>
  </si>
  <si>
    <t>4.1.2.3.1</t>
    <phoneticPr fontId="20" type="noConversion"/>
  </si>
  <si>
    <t>System shall be able to display all results data to the sample.</t>
  </si>
  <si>
    <r>
      <t xml:space="preserve">定制开发，QCLAD抓取SAP的coa报告中的结果，存储在result表中
</t>
    </r>
    <r>
      <rPr>
        <sz val="11"/>
        <color rgb="FFFF0000"/>
        <rFont val="Calibri Light"/>
        <family val="3"/>
        <charset val="134"/>
        <scheme val="major"/>
      </rPr>
      <t>Sample、Test是QCLAD中已经存在的吗？</t>
    </r>
    <phoneticPr fontId="20" type="noConversion"/>
  </si>
  <si>
    <r>
      <t xml:space="preserve">System shall be able to display the Data recorded within inspection lot, MIC, Spec, Test result from the CoA in SAP even if the data entry is not required in QCLAD. ( What's the detail, need to check with Neelima </t>
    </r>
    <r>
      <rPr>
        <sz val="11"/>
        <color rgb="FFFF0000"/>
        <rFont val="Calibri Light"/>
        <family val="1"/>
        <scheme val="major"/>
      </rPr>
      <t>delete</t>
    </r>
    <r>
      <rPr>
        <sz val="11"/>
        <rFont val="Calibri Light"/>
        <family val="1"/>
        <scheme val="major"/>
      </rPr>
      <t>)</t>
    </r>
  </si>
  <si>
    <t>4.1.2.4</t>
    <phoneticPr fontId="20" type="noConversion"/>
  </si>
  <si>
    <t>The system shall provide functionality to calculate results based on reported or recorded data entered against a sample and data obtained from values held externally to the QCLAD.
E.g., 1st step, QCLaD capture data from lab instruments (one or multiple instruments), 2nd step, the QCLaD calculate final result based on formular defined by Henkel site admin/user</t>
  </si>
  <si>
    <t>4.1.2.4.1</t>
    <phoneticPr fontId="20" type="noConversion"/>
  </si>
  <si>
    <t>System shall be able to calculate results based on reported or recorded data which from instruments.</t>
  </si>
  <si>
    <t>静态数据配置和仪器接口；计算结果是在仪器里做好的传过来的还是要在lims里计算</t>
  </si>
  <si>
    <t>4.1.2.5</t>
    <phoneticPr fontId="20" type="noConversion"/>
  </si>
  <si>
    <t>The system shall provide functionality to automatically check intermediate values (e.g., raw, recorded and reported data) and final results against specification limits and flag failures
Intermediate values: all data in whole testing process, e.g., raw data captured from instrument, recorded-data, data calculated by formular, reported data, data which push to SAP</t>
  </si>
  <si>
    <t>4.1.2.5.1</t>
    <phoneticPr fontId="20" type="noConversion"/>
  </si>
  <si>
    <t>System shall be able to record all data in whole testing process, including raw data captured from instrument, entry data, data calculated by formular, reported data, data which push to SAP.</t>
    <phoneticPr fontId="20" type="noConversion"/>
  </si>
  <si>
    <t>涉及需要定制开发的功能，如推送SAP的数据登录，定制开发是会有日志记录，但其他的数据记录应该是系统标准功能</t>
  </si>
  <si>
    <t>4.1.2.5.2</t>
  </si>
  <si>
    <t>System shall be able to mark final results against specification limits and flag failures.</t>
  </si>
  <si>
    <t>MLP中配置超限规则</t>
  </si>
  <si>
    <t>4.1.2.6</t>
    <phoneticPr fontId="20" type="noConversion"/>
  </si>
  <si>
    <t>The system shall provide functionality to manage repeat testing</t>
    <phoneticPr fontId="20" type="noConversion"/>
  </si>
  <si>
    <t>4.1.2.6.1</t>
    <phoneticPr fontId="20" type="noConversion"/>
  </si>
  <si>
    <t>System shall be able to support to manage repeat testing.(e.g. entry multiple  results and then get max or min or average value)</t>
    <phoneticPr fontId="20" type="noConversion"/>
  </si>
  <si>
    <t>是需要在什么时候获取这些最大值最小值平均值？--结果中需要计算
求平均值时有需要去掉最大值最小值后求平均值；定制化公式</t>
    <phoneticPr fontId="20" type="noConversion"/>
  </si>
  <si>
    <t>4.1.2.7</t>
    <phoneticPr fontId="20" type="noConversion"/>
  </si>
  <si>
    <t>The system shall provide functionality to enable results entry for multiple tests performed on a single sample</t>
  </si>
  <si>
    <t>4.1.2.7.1</t>
    <phoneticPr fontId="20" type="noConversion"/>
  </si>
  <si>
    <t>System shall be able to support results entry for multiple tests performed on a single sample.</t>
  </si>
  <si>
    <t>4.1.2.8</t>
    <phoneticPr fontId="20" type="noConversion"/>
  </si>
  <si>
    <t>The system shall provide functionality to enable results entry for an individual test on a single sample</t>
  </si>
  <si>
    <t>4.1.2.8.1</t>
    <phoneticPr fontId="20" type="noConversion"/>
  </si>
  <si>
    <t>System shall be able to support results entry for an individual test on a single sample.</t>
  </si>
  <si>
    <t>4.1.2.9</t>
    <phoneticPr fontId="20" type="noConversion"/>
  </si>
  <si>
    <t>The system shall provide functionality to enable results entry for single or multiple tests performed on multiple samples
E.g., GC testing, auto-sampler for multiple samples (sequence must be followed), system support to entry single or multiple test result</t>
  </si>
  <si>
    <t>4.1.29.1</t>
    <phoneticPr fontId="20" type="noConversion"/>
  </si>
  <si>
    <t>System shall be able to support results entry for single or multiple tests performed on multiple samples.</t>
  </si>
  <si>
    <t>4.1.2.10</t>
    <phoneticPr fontId="20" type="noConversion"/>
  </si>
  <si>
    <t>The system shall provide functionality to verify entered results data (e.g., pH, sample color, specific gravity) against pre-set method limits
E.g., PH pre-set method limits is 0-14, result cannot be 15</t>
  </si>
  <si>
    <t>4.1.2.10.1</t>
  </si>
  <si>
    <t>System shall be able to verify entered results data (e.g., pH, sample color, specific gravity) against specification limits.</t>
  </si>
  <si>
    <t>4.1.2.11</t>
    <phoneticPr fontId="20" type="noConversion"/>
  </si>
  <si>
    <t>The system shall prevent the acceptance of partial or incomplete data entry for results and samples
E.g., one test has two parallel samples, system doesn’t allow to report data for only for one sample.</t>
  </si>
  <si>
    <t>4.1.2.11.1</t>
    <phoneticPr fontId="20" type="noConversion"/>
  </si>
  <si>
    <t>System shall be able to prevent the acceptance of partial or incomplete data entry for results and active samples.</t>
  </si>
  <si>
    <t>样品文件夹配置，没有完成的sample不出现</t>
  </si>
  <si>
    <t>4.1.2.12</t>
    <phoneticPr fontId="20" type="noConversion"/>
  </si>
  <si>
    <t>The system shall provide configurable screens aligned to analytical method steps with potential to lead the user through the operation in a step-by-step manner. This would facilitate data capture in real time
Can record time taken as well and have video instruction about how to do test.</t>
  </si>
  <si>
    <t>LES</t>
  </si>
  <si>
    <t>4.1.2.12.1</t>
    <phoneticPr fontId="20" type="noConversion"/>
  </si>
  <si>
    <t>System shall be able to provide configurable analytical method steps with potential to lead the user through the operation in a step-by-step manner.(LES module)</t>
  </si>
  <si>
    <t>IM Integartion</t>
  </si>
  <si>
    <t>4.1.2.12.2</t>
  </si>
  <si>
    <r>
      <t xml:space="preserve">System shall be able to capture </t>
    </r>
    <r>
      <rPr>
        <sz val="11"/>
        <color rgb="FFFF0000"/>
        <rFont val="Calibri Light"/>
        <family val="1"/>
        <scheme val="major"/>
      </rPr>
      <t>instrument</t>
    </r>
    <r>
      <rPr>
        <sz val="11"/>
        <rFont val="Calibri Light"/>
        <family val="1"/>
        <scheme val="major"/>
      </rPr>
      <t xml:space="preserve"> </t>
    </r>
    <r>
      <rPr>
        <sz val="11"/>
        <color rgb="FFFF0000"/>
        <rFont val="Calibri Light"/>
        <family val="1"/>
        <scheme val="major"/>
      </rPr>
      <t>data(for Type A) and report from  instrument (for Type B)</t>
    </r>
    <r>
      <rPr>
        <sz val="11"/>
        <rFont val="Calibri Light"/>
        <family val="1"/>
        <scheme val="major"/>
      </rPr>
      <t xml:space="preserve"> in real time.</t>
    </r>
  </si>
  <si>
    <t>4.1.2.12.3</t>
  </si>
  <si>
    <t>System shall be able to upload attachements(including video) in LES.</t>
  </si>
  <si>
    <t>4.1.2.12.4</t>
  </si>
  <si>
    <t>System shall be able to record start date and end date in LES.</t>
  </si>
  <si>
    <t>4.1.2.12.5</t>
    <phoneticPr fontId="20" type="noConversion"/>
  </si>
  <si>
    <t>Mark</t>
    <phoneticPr fontId="20" type="noConversion"/>
  </si>
  <si>
    <t>Video Size depends on Henkel service provided performance.</t>
  </si>
  <si>
    <t>4.1.2.13</t>
    <phoneticPr fontId="20" type="noConversion"/>
  </si>
  <si>
    <t>The system shall be able to accept numeric, qualified numeric, free text, characters, calculated values, file, Boolean and pre-defined list data entry</t>
  </si>
  <si>
    <t>4.1.2.13.1</t>
    <phoneticPr fontId="20" type="noConversion"/>
  </si>
  <si>
    <t>System shall be able to support multipe analysis type, including numeric, text, characters, calculated, file, Boolean and optional.</t>
  </si>
  <si>
    <t>4.1.2.14</t>
    <phoneticPr fontId="20" type="noConversion"/>
  </si>
  <si>
    <t xml:space="preserve">The system shall have the capability to receive data via manual input (for type C and D instrument and when type A and B malfunction), electronic transfer and instrument interface and indicate mode of entry
Instrument interface: get data from instrument directly. </t>
  </si>
  <si>
    <t>4.1.2.14.1</t>
    <phoneticPr fontId="20" type="noConversion"/>
  </si>
  <si>
    <t>System shall be able to entry result data manually.</t>
  </si>
  <si>
    <t>Sweeper?</t>
    <phoneticPr fontId="20" type="noConversion"/>
  </si>
  <si>
    <t>4.1.2.15</t>
    <phoneticPr fontId="20" type="noConversion"/>
  </si>
  <si>
    <t>The system shall provide a way to manually upload files (Excel, CSV, Xps, xml, Jpg or Pdf format) for documentation</t>
  </si>
  <si>
    <t>4.1.2.15.1</t>
    <phoneticPr fontId="20" type="noConversion"/>
  </si>
  <si>
    <t>System shall support attachment format: Xps, txt, resx, repx, xml, rtf, jpg, jpeg, img, svg, doc, pdf, ico, png, lbl, resources, caf, csv, log, msg, smpkg.</t>
  </si>
  <si>
    <t>4.1.2.16</t>
    <phoneticPr fontId="20" type="noConversion"/>
  </si>
  <si>
    <t>The system shall be able to interface with the Henkel type A and B instruments.</t>
  </si>
  <si>
    <t>4.1.2.16.1</t>
    <phoneticPr fontId="20" type="noConversion"/>
  </si>
  <si>
    <t>Sweeper?</t>
  </si>
  <si>
    <t>4.1.2.17</t>
    <phoneticPr fontId="20" type="noConversion"/>
  </si>
  <si>
    <t xml:space="preserve">The system shall be able to automatically capture results from the Henkel type A and B instruments </t>
  </si>
  <si>
    <t>4.1.2.17.1</t>
    <phoneticPr fontId="20" type="noConversion"/>
  </si>
  <si>
    <t>4.1.2.18</t>
    <phoneticPr fontId="20" type="noConversion"/>
  </si>
  <si>
    <t xml:space="preserve">The system should have capability to map the equipment based on test. The equipment should be selected by system based on the test and equipment master data
In case of any change, the user can modify based on access </t>
  </si>
  <si>
    <t>4.1.2.18.1</t>
    <phoneticPr fontId="20" type="noConversion"/>
  </si>
  <si>
    <t>System shall be able to selecte equipments based on test method in LES.</t>
  </si>
  <si>
    <t>4.1.2.18.2</t>
  </si>
  <si>
    <t>System shall be able to allow authorized user to modify instruments in LES.</t>
  </si>
  <si>
    <t>4.1.2.19</t>
    <phoneticPr fontId="20" type="noConversion"/>
  </si>
  <si>
    <t>The system shall be able to protect the calculation template(s) for the final test results so that they cannot be changed by all users
The calculation template(s) to be controlled by user role/rights access</t>
  </si>
  <si>
    <t>4.1.2.19.1</t>
    <phoneticPr fontId="20" type="noConversion"/>
  </si>
  <si>
    <t>System shall only allow authorized users to modify calculation template in LES.</t>
  </si>
  <si>
    <t>4.1.2.19.2</t>
    <phoneticPr fontId="20" type="noConversion"/>
  </si>
  <si>
    <t>System shall support audit traceability in LES.</t>
  </si>
  <si>
    <t>4.1.2.20</t>
    <phoneticPr fontId="20" type="noConversion"/>
  </si>
  <si>
    <t>The system shall record the source of any entered data (e.g., instrument ID) and / or the user ID of any user entering data</t>
  </si>
  <si>
    <t>4.1.2.20.1</t>
    <phoneticPr fontId="20" type="noConversion"/>
  </si>
  <si>
    <t>The system shall record the source of any entered data (e.g., instrument ID) and / or the user ID of any user entering data.</t>
  </si>
  <si>
    <t>在LES中配置仪器选择，和结果抓取配置</t>
  </si>
  <si>
    <t>4.1.2.21</t>
    <phoneticPr fontId="20" type="noConversion"/>
  </si>
  <si>
    <t>The system shall provide the functionality to record multiple users against a test or result (e.g., if a test is performed by two analysts)
E.g., OHV test, GAP value and Acid value needed for OHV test, QCLaD allows different person conduct GAP and Acid value at same time and record data in QCLaD.</t>
  </si>
  <si>
    <t>4.1.2.21.1</t>
    <phoneticPr fontId="20" type="noConversion"/>
  </si>
  <si>
    <t>System shall be able to record multiple users against a test or result.</t>
  </si>
  <si>
    <t>4.1.2.22</t>
    <phoneticPr fontId="20" type="noConversion"/>
  </si>
  <si>
    <t>The system shall manage retesting without loss of original data</t>
  </si>
  <si>
    <t>4.1.2.22.1</t>
    <phoneticPr fontId="20" type="noConversion"/>
  </si>
  <si>
    <t>System shall be able to retest without loss of original data.</t>
  </si>
  <si>
    <t>在workflow里配置retest，同上</t>
  </si>
  <si>
    <t>4.1.2.23</t>
    <phoneticPr fontId="20" type="noConversion"/>
  </si>
  <si>
    <t>The system shall enforce entry of a justification if there is a retest / repeat</t>
  </si>
  <si>
    <t>4.1.2.23.1</t>
  </si>
  <si>
    <t>System shall be able to enforce entry of a justification if there is a retest/resample.</t>
  </si>
  <si>
    <t>在workflow里配置comment</t>
  </si>
  <si>
    <t>4.1.2.23.2</t>
  </si>
  <si>
    <t>system shall be able to record comment as mandatory and it is configurable.</t>
  </si>
  <si>
    <t>工作流配置弹窗，添加comments字段。
和retest设计相关，多次重测可能会覆盖comments</t>
  </si>
  <si>
    <t>4.1.2.24</t>
    <phoneticPr fontId="20" type="noConversion"/>
  </si>
  <si>
    <t>The system shall provide functionality to perform simple trend analysis at Results Entry to identify any atypical results and alert the user accordingly</t>
    <phoneticPr fontId="20" type="noConversion"/>
  </si>
  <si>
    <t>Wont</t>
  </si>
  <si>
    <t>Out Of Scope</t>
  </si>
  <si>
    <t>4.1.2.24.1</t>
  </si>
  <si>
    <t>SQC is not in scope. Henkel need to check with Anson.</t>
  </si>
  <si>
    <t>4.1.2.25</t>
    <phoneticPr fontId="20" type="noConversion"/>
  </si>
  <si>
    <t>The system shall be configurable, at the test level, to enforce peer review by a different user to the user that entered the test results</t>
  </si>
  <si>
    <t>4.1.2.25.1</t>
    <phoneticPr fontId="20" type="noConversion"/>
  </si>
  <si>
    <t>System shall be able to enforce peer review by a different user at the material group level.</t>
  </si>
  <si>
    <t>在workflow里配置按钮，文件夹筛选</t>
  </si>
  <si>
    <t>4.1.2.25.2</t>
  </si>
  <si>
    <t>System shall be able to support peer review by configurable option.</t>
  </si>
  <si>
    <t>4.1.2.26</t>
    <phoneticPr fontId="20" type="noConversion"/>
  </si>
  <si>
    <t>The system shall allow the peer review of results by Single sample, Multi test and Multi sample, single test where required</t>
  </si>
  <si>
    <t>4.1.2.26.1</t>
    <phoneticPr fontId="20" type="noConversion"/>
  </si>
  <si>
    <t>System shall allow the peer review of results by Single sample, Multi test and Multi sample, single test where required.</t>
  </si>
  <si>
    <t>4.1.2.27</t>
    <phoneticPr fontId="20" type="noConversion"/>
  </si>
  <si>
    <t>The system must lock test data after peer review to prevent further modification except with appropriate permissions and audit trail</t>
  </si>
  <si>
    <t>4.1.2.27.1</t>
    <phoneticPr fontId="20" type="noConversion"/>
  </si>
  <si>
    <t>System shall prevent user from further modification on test data after peer review except authorized user and audit trail will be record.</t>
    <phoneticPr fontId="20" type="noConversion"/>
  </si>
  <si>
    <t>4.1.2.28</t>
    <phoneticPr fontId="20" type="noConversion"/>
  </si>
  <si>
    <t>The system shall provide planning tools to display and assess laboratory workload, including analyst, sample, instrument assignment and sample testing schedule.</t>
  </si>
  <si>
    <t>4.1.2.28.1</t>
  </si>
  <si>
    <t>Henkel need to offer dashboard template.</t>
  </si>
  <si>
    <t>Dashboard</t>
  </si>
  <si>
    <t>4.1.2.28.2</t>
  </si>
  <si>
    <t>System shall provide dashboard.</t>
    <phoneticPr fontId="20" type="noConversion"/>
  </si>
  <si>
    <t>4.1.3.1</t>
    <phoneticPr fontId="20" type="noConversion"/>
  </si>
  <si>
    <t>Authorization</t>
  </si>
  <si>
    <t>The system shall provide configurable functionality to approve individual results</t>
  </si>
  <si>
    <t>4.1.3.1.1</t>
    <phoneticPr fontId="20" type="noConversion"/>
  </si>
  <si>
    <t>System shall be able to approve individual results.</t>
  </si>
  <si>
    <t>4.1.3.1.2</t>
  </si>
  <si>
    <t>System shall be able to support configure approve option within workflow.</t>
  </si>
  <si>
    <t>4.1.3.2</t>
    <phoneticPr fontId="20" type="noConversion"/>
  </si>
  <si>
    <t>The system shall allow for the approval of single or multiple samples</t>
  </si>
  <si>
    <t>4.1.3.2.1</t>
    <phoneticPr fontId="20" type="noConversion"/>
  </si>
  <si>
    <t>System shall be able to approve single or multiple samples.</t>
  </si>
  <si>
    <t>4.1.3.3</t>
    <phoneticPr fontId="20" type="noConversion"/>
  </si>
  <si>
    <t>The system shall prevent users that have peer reviewed results from changing any data on the sample when authorize</t>
  </si>
  <si>
    <t>4.1.3.3.1</t>
    <phoneticPr fontId="20" type="noConversion"/>
  </si>
  <si>
    <t>System shall prevent user from further modification on test data after peer review.</t>
  </si>
  <si>
    <t>配置权限，文件夹控制</t>
  </si>
  <si>
    <t>4.1.3.3.2</t>
  </si>
  <si>
    <t>System shall be able to return test to tester if result need modification .</t>
  </si>
  <si>
    <t>配置workflow，加按钮，配文件夹</t>
  </si>
  <si>
    <r>
      <t xml:space="preserve">新增退回人员字段，或者是更改分配人员字段
</t>
    </r>
    <r>
      <rPr>
        <sz val="11"/>
        <color rgb="FFFF0000"/>
        <rFont val="Calibri Light"/>
        <family val="3"/>
        <charset val="134"/>
        <scheme val="major"/>
      </rPr>
      <t>分配人员是否涉及统计任务量？</t>
    </r>
    <phoneticPr fontId="20" type="noConversion"/>
  </si>
  <si>
    <t>4.1.3.4</t>
    <phoneticPr fontId="20" type="noConversion"/>
  </si>
  <si>
    <t>The system shall provide configurable system approval functionality to automatically assign an authorization at test level and sample level.</t>
  </si>
  <si>
    <t>4.1.3.4.1</t>
    <phoneticPr fontId="20" type="noConversion"/>
  </si>
  <si>
    <t>System shall be able to configure system approval functionality at test level and sample level.</t>
  </si>
  <si>
    <t>配置inspection plan，添加按钮在 test level and sample level.</t>
  </si>
  <si>
    <t>4.1.3.5</t>
    <phoneticPr fontId="20" type="noConversion"/>
  </si>
  <si>
    <t>The system shall provide functionality for manual approval at test level, sample level</t>
  </si>
  <si>
    <t>4.1.3.5.1</t>
    <phoneticPr fontId="20" type="noConversion"/>
  </si>
  <si>
    <t>System shall be able to approval  manually at test level and sample level.</t>
  </si>
  <si>
    <t>4.1.3.6</t>
    <phoneticPr fontId="20" type="noConversion"/>
  </si>
  <si>
    <t>The system shall prevent the sample authorization with incomplete testing and alert defined users to the situation
Prevent the sample authorization means if the sample in one incomplete phase (e.g., Testing), it cannot go to next phase. Sample can only in one phase in QCLaD.</t>
  </si>
  <si>
    <t>4.1.3.6.1</t>
    <phoneticPr fontId="20" type="noConversion"/>
  </si>
  <si>
    <r>
      <t xml:space="preserve">System shall prevent the sample authorization with incomplete testing and alert defined users to the situation </t>
    </r>
    <r>
      <rPr>
        <sz val="11"/>
        <color rgb="FFFF0000"/>
        <rFont val="Calibri Light"/>
        <family val="1"/>
        <scheme val="major"/>
      </rPr>
      <t>in folder</t>
    </r>
    <r>
      <rPr>
        <sz val="11"/>
        <rFont val="Calibri Light"/>
        <family val="1"/>
        <scheme val="major"/>
      </rPr>
      <t>.</t>
    </r>
  </si>
  <si>
    <t>配置workflow，添加提醒</t>
  </si>
  <si>
    <t>4.1.3.6.2</t>
  </si>
  <si>
    <t>System shall only have one status of a sample in one time.</t>
  </si>
  <si>
    <t>4.1.3.7</t>
    <phoneticPr fontId="20" type="noConversion"/>
  </si>
  <si>
    <t>The system shall allow authorized users to change the status of a sample to allow controlled modifications or entry of data
E.g., QCLaD allows user to modify inspection plan of non-standard testing, inspection plan of standard test should come from SAP.</t>
  </si>
  <si>
    <t>4.1.3.7.1</t>
    <phoneticPr fontId="20" type="noConversion"/>
  </si>
  <si>
    <t>System shall allow authorized users to change the status of a sample to allow controlled modifications or entry data.</t>
  </si>
  <si>
    <t>权限配置</t>
  </si>
  <si>
    <t>4.1.3.8</t>
    <phoneticPr fontId="20" type="noConversion"/>
  </si>
  <si>
    <t>The system shall allow certain authorized users to change the proposed user for testing</t>
  </si>
  <si>
    <t>4.1.3.8.1</t>
    <phoneticPr fontId="20" type="noConversion"/>
  </si>
  <si>
    <t>System shall allow certain authorized users to change the proposed user for testing.</t>
  </si>
  <si>
    <t>权限配置，添加修改tester的按钮</t>
  </si>
  <si>
    <t>4.1.3.9</t>
    <phoneticPr fontId="20" type="noConversion"/>
  </si>
  <si>
    <t>The system shall provide a way to check and indicate the results/samples waiting for approval.</t>
  </si>
  <si>
    <t>4.1.3.9.1</t>
    <phoneticPr fontId="20" type="noConversion"/>
  </si>
  <si>
    <t>System shall provide a way to check and indicate the results/samples waiting for approval.</t>
  </si>
  <si>
    <t>配置查看界面</t>
  </si>
  <si>
    <t>4.1.4.1</t>
    <phoneticPr fontId="20" type="noConversion"/>
  </si>
  <si>
    <t>Reporting</t>
  </si>
  <si>
    <t>The system shall provide a reporting tool to have users to define report templates by themselves</t>
  </si>
  <si>
    <t>4.1.4.1.1</t>
    <phoneticPr fontId="20" type="noConversion"/>
  </si>
  <si>
    <t>System shall allow users to define report templates by themselves using reporting tool.</t>
  </si>
  <si>
    <t>4.1.4.10</t>
    <phoneticPr fontId="20" type="noConversion"/>
  </si>
  <si>
    <t>The system shall support to generate single sample report, multiple sample report, COA report etc.</t>
  </si>
  <si>
    <t>4.1.4.10.1</t>
    <phoneticPr fontId="20" type="noConversion"/>
  </si>
  <si>
    <t>System shall support to generate single sample report, multiple sample report, COA report.</t>
  </si>
  <si>
    <t>配置报告模板</t>
  </si>
  <si>
    <t>4.1.4.10.2</t>
  </si>
  <si>
    <t>Henkel need to offer all report template.</t>
  </si>
  <si>
    <t>4.1.4.11</t>
    <phoneticPr fontId="20" type="noConversion"/>
  </si>
  <si>
    <t>The system shall provide functionality to route the output of reports to screen, printer, file (CSV, XML) or email</t>
  </si>
  <si>
    <t>4.1.4.11.1</t>
    <phoneticPr fontId="20" type="noConversion"/>
  </si>
  <si>
    <t>System shall be able to route the output of reports to screen, printer, file (CSV, XML, PDF) or email.</t>
  </si>
  <si>
    <t>4.1.4.12</t>
    <phoneticPr fontId="20" type="noConversion"/>
  </si>
  <si>
    <t>The system shall provide functionality to generate reports in various formats (e.g., tabular, matrix, graphical or text)</t>
  </si>
  <si>
    <t>4.1.4.12.1</t>
    <phoneticPr fontId="20" type="noConversion"/>
  </si>
  <si>
    <t>System shall be able to support various formats (e.g., tabular, matrix, graphical or text) in report templates.</t>
  </si>
  <si>
    <t>4.1.4.13</t>
    <phoneticPr fontId="20" type="noConversion"/>
  </si>
  <si>
    <t>The systems performance must not be adversely affected by running reports</t>
  </si>
  <si>
    <t>4.1.4.13.1</t>
    <phoneticPr fontId="20" type="noConversion"/>
  </si>
  <si>
    <t>Systems performance must not be adversely affected by running reports.</t>
  </si>
  <si>
    <t>4.1.4.14</t>
    <phoneticPr fontId="20" type="noConversion"/>
  </si>
  <si>
    <t>The system shall be capable of sending notifications and alert messages via electronic mail</t>
  </si>
  <si>
    <t>4.1.4.14.1</t>
    <phoneticPr fontId="20" type="noConversion"/>
  </si>
  <si>
    <t>System shall be able to send notifications and alert messages within folders.</t>
  </si>
  <si>
    <t>配置文件夹，或工作流触发internal message或邮件</t>
  </si>
  <si>
    <t>4.1.4.15</t>
    <phoneticPr fontId="20" type="noConversion"/>
  </si>
  <si>
    <t>The system shall be capable to generate Henkel customer requested CoA (certificate of analysis) report with customer’s template based on data in QCLaD system.
The system should have capability to allow site admin to create customer CoA template based on different customer requirements.
The system should have capability to send email with attachment to dedicate E-mail address based on master data configuration</t>
    <phoneticPr fontId="20" type="noConversion"/>
  </si>
  <si>
    <t>4.1.4.15.1</t>
    <phoneticPr fontId="20" type="noConversion"/>
  </si>
  <si>
    <t>System shall allow users to define report templates based on customer or product .</t>
    <phoneticPr fontId="20" type="noConversion"/>
  </si>
  <si>
    <t>4.1.4.15.2</t>
  </si>
  <si>
    <t>System shall allow user to create and modify report templates.</t>
  </si>
  <si>
    <t>4.1.4.15.3</t>
  </si>
  <si>
    <t>System shall allow user to update version for reprot templates.</t>
  </si>
  <si>
    <t>Notification</t>
  </si>
  <si>
    <r>
      <t xml:space="preserve">定制开发，报告审批后的pdf文件存储到共享路径，将报告pdf文件加入邮件中发送；
</t>
    </r>
    <r>
      <rPr>
        <sz val="11"/>
        <color rgb="FFFF0000"/>
        <rFont val="Calibri Light"/>
        <family val="3"/>
        <charset val="134"/>
        <scheme val="major"/>
      </rPr>
      <t>什么时候触发发送？</t>
    </r>
    <r>
      <rPr>
        <sz val="11"/>
        <color theme="4"/>
        <rFont val="Calibri Light"/>
        <family val="1"/>
        <scheme val="major"/>
      </rPr>
      <t xml:space="preserve">
</t>
    </r>
  </si>
  <si>
    <t>4.1.4.2</t>
    <phoneticPr fontId="20" type="noConversion"/>
  </si>
  <si>
    <t>The text style or format in the text report shall be edible by the users.</t>
  </si>
  <si>
    <t>4.1.4.2.1</t>
    <phoneticPr fontId="20" type="noConversion"/>
  </si>
  <si>
    <t>System shall be able to provide editable text style or format in the text report.</t>
  </si>
  <si>
    <t>4.1.4.3</t>
    <phoneticPr fontId="20" type="noConversion"/>
  </si>
  <si>
    <t>The system must be able to report on the analyzed data at all levels (e.g., raw, recorded and reported analytical data)</t>
  </si>
  <si>
    <t>4.1.4.3.1</t>
    <phoneticPr fontId="20" type="noConversion"/>
  </si>
  <si>
    <t>System must be able to report on the analyzed data at all levels (e.g., raw, recorded and reported analytical data).</t>
  </si>
  <si>
    <t xml:space="preserve">配置report；不知道报告长啥样，不好评估 </t>
  </si>
  <si>
    <t>4.1.4.4</t>
    <phoneticPr fontId="20" type="noConversion"/>
  </si>
  <si>
    <t>The system shall collate results from multiple tests for each sample</t>
  </si>
  <si>
    <t>4.1.4.4.1</t>
    <phoneticPr fontId="20" type="noConversion"/>
  </si>
  <si>
    <t>System shall collate results from multiple tests for each sample.</t>
  </si>
  <si>
    <t>4.1.4.5</t>
    <phoneticPr fontId="20" type="noConversion"/>
  </si>
  <si>
    <t>The system shall be able to support to insert electrical signature, company logo, picture, trending chart, table etc. in the reports.</t>
  </si>
  <si>
    <t>4.1.4.5.1</t>
    <phoneticPr fontId="20" type="noConversion"/>
  </si>
  <si>
    <t>System shall be able to support to insert signature picture, company logo, picture, trending chart, table in the reports.</t>
    <phoneticPr fontId="20" type="noConversion"/>
  </si>
  <si>
    <t>4.1.4.5.2</t>
  </si>
  <si>
    <t>System shall be able to support end app insert handwritting signature by pad.</t>
  </si>
  <si>
    <t>4.1.4.6</t>
    <phoneticPr fontId="20" type="noConversion"/>
  </si>
  <si>
    <t>The system shall provide functionality to manually or automatically trigger a report in response to, e.g., workflow events, schedules</t>
  </si>
  <si>
    <t>4.1.4.6.1</t>
    <phoneticPr fontId="20" type="noConversion"/>
  </si>
  <si>
    <t>System shall provide functionality to manually or automatically trigger a report in response to workflow events.</t>
  </si>
  <si>
    <t>自动开报告，需求不复杂的话可以配置工作流</t>
  </si>
  <si>
    <t>4.1.4.7</t>
    <phoneticPr fontId="20" type="noConversion"/>
  </si>
  <si>
    <t>The system shall provide a library of pre-defined controlled reports</t>
  </si>
  <si>
    <t>4.1.4.7.1</t>
    <phoneticPr fontId="20" type="noConversion"/>
  </si>
  <si>
    <t>System shall be able to provide a library of report templates.</t>
  </si>
  <si>
    <t>配置文件夹</t>
  </si>
  <si>
    <t>4.1.4.8</t>
    <phoneticPr fontId="20" type="noConversion"/>
  </si>
  <si>
    <t xml:space="preserve">The system shall provide ability to generate analytical reports based on the data recorded in QCLAD like date time, QC operators details along with inspection </t>
  </si>
  <si>
    <t>4.1.4.8.1</t>
    <phoneticPr fontId="20" type="noConversion"/>
  </si>
  <si>
    <t>System shall be able to generate analytical reports based on the data recorded in QCLAD like date time, QC operators details along with inspection.</t>
  </si>
  <si>
    <t>4.1.4.9</t>
    <phoneticPr fontId="20" type="noConversion"/>
  </si>
  <si>
    <t>The system shall provide a way to generate and save “Test Report” template for generation and printing test report of other samples</t>
  </si>
  <si>
    <t>4.1.4.9.1</t>
    <phoneticPr fontId="20" type="noConversion"/>
  </si>
  <si>
    <t>System shall be able to generate and save “Test Report” template.</t>
  </si>
  <si>
    <t>4.1.4.9.2</t>
  </si>
  <si>
    <t>System shall be able to print test report of other samples based on templates.</t>
  </si>
  <si>
    <t>4.1.5.1</t>
    <phoneticPr fontId="20" type="noConversion"/>
  </si>
  <si>
    <t>Henkel Sample Type</t>
  </si>
  <si>
    <t xml:space="preserve">The system should be capable to manage all sample types in Henkel, including, 
Standard test sample to support production: raw material sample (ROH), semi-finish goods sample/ bulk sample (UNB &amp; UNF), finish goods sample (FER). 
Non-standard test sample: consumable, package material, instrument calibration sample, MSA test sample, CCMS/SCMS/NCMR investigation sample (QM notification Q1/Q2/Q3), special test sample (Testing for Customer/Supplier/PD/AE/Other sites/MOC/NPI / Improvement project), retain sample, etc.  </t>
  </si>
  <si>
    <t>4.1.5.1.1</t>
    <phoneticPr fontId="20" type="noConversion"/>
  </si>
  <si>
    <t>System shall be able to manage Standard RM test for Incoming workflow.</t>
  </si>
  <si>
    <t>配置workflow，需要先确认能否合并不同样品类型的Lifecycle wkflw</t>
  </si>
  <si>
    <t>4.1.5.1.2</t>
  </si>
  <si>
    <t>System shall be able to manage Standard in process testing for semi finished and finished goods workflow.</t>
  </si>
  <si>
    <t>配置workflow</t>
  </si>
  <si>
    <t>4.1.5.1.3</t>
  </si>
  <si>
    <t>System shall be able to manage Standard finished goods outgoing test workflow.</t>
  </si>
  <si>
    <t>4.1.5.1.4</t>
  </si>
  <si>
    <t>System shall be able to manage Consumables incoming test workflow.</t>
  </si>
  <si>
    <t>4.1.5.1.5</t>
  </si>
  <si>
    <t>System shall be able to manage package material incoming test workflow.</t>
  </si>
  <si>
    <t>4.1.5.1.6</t>
  </si>
  <si>
    <t>System shall be able to manage instrument calibration sample test workflow.</t>
  </si>
  <si>
    <t>4.1.5.1.7</t>
  </si>
  <si>
    <r>
      <t xml:space="preserve">System shall be able to manage test for </t>
    </r>
    <r>
      <rPr>
        <sz val="11"/>
        <color rgb="FFFF0000"/>
        <rFont val="Calibri Light"/>
        <family val="1"/>
        <scheme val="major"/>
      </rPr>
      <t>MSA</t>
    </r>
    <r>
      <rPr>
        <sz val="11"/>
        <rFont val="Calibri Light"/>
        <family val="1"/>
        <scheme val="major"/>
      </rPr>
      <t xml:space="preserve"> workflow.</t>
    </r>
  </si>
  <si>
    <t>4.1.5.1.8</t>
  </si>
  <si>
    <t>System shall be able to manage Certification test for QC technician workflow.</t>
  </si>
  <si>
    <t>4.1.5.1.9</t>
  </si>
  <si>
    <t>System shall be able to manage Test for SCMS/NCMR /CCMS investigation workflow.</t>
  </si>
  <si>
    <t>4.1.5.1.10</t>
  </si>
  <si>
    <t>System shall be able to manage Test for NCMR-Shelf life extension (RM, SFG, FG, Package material, consumble &amp; Instrument calibration sample) workflow.</t>
  </si>
  <si>
    <t>4.1.5.1.11</t>
  </si>
  <si>
    <t>System shall be able to manage Testing for Customer/Supplier/PD/TCS/Other sites/MOC/NPI / Improvement project (Including, Stability studies (shelf-life study, aging test, reliability test, etc.)) workflow.</t>
  </si>
  <si>
    <t>4.1.5.1.12</t>
  </si>
  <si>
    <t>System shall be able to manage Moving sample/material to storage location workflow.</t>
  </si>
  <si>
    <t>4.1.5.1.13</t>
  </si>
  <si>
    <t>System shall be able to manage Perform skip lot testing workflow.</t>
  </si>
  <si>
    <t>4.1.6.1</t>
    <phoneticPr fontId="20" type="noConversion"/>
  </si>
  <si>
    <t>The system should be capable to maintain/arrange storage location of QC retain sample, consumables (reagent, etc.), spare parts. 
The system should be capable to maintain safety stock of consumables and spare parts, etc. 
The system should have field to maintain storage condition for retain samples, consumables and spare parts.
Send auto notification once the sample near expiration date based on configurable rule.
Send auto notification once it’s below safety stock of consumables and spare parts based on configurable rule.</t>
  </si>
  <si>
    <t>4.1.6.1.1</t>
    <phoneticPr fontId="20" type="noConversion"/>
  </si>
  <si>
    <t>System shall be able to maintain location.</t>
  </si>
  <si>
    <t>Stock</t>
  </si>
  <si>
    <t>4.1.6.1.2</t>
  </si>
  <si>
    <t>System shall be able to support QC retain sample, consumables and spare parts can select location.</t>
  </si>
  <si>
    <t>4.1.6.1.3</t>
  </si>
  <si>
    <t>System shall be able to maintain safety stock of consumables and spare parts.</t>
  </si>
  <si>
    <t>4.1.6.1.4</t>
  </si>
  <si>
    <t>System shall be able to maintain storage condition for retain samples, consumables and spare parts.</t>
  </si>
  <si>
    <t>Standard</t>
    <phoneticPr fontId="20" type="noConversion"/>
  </si>
  <si>
    <t>Standard；客户想要更多展示效果的dashboard，非系统自带</t>
  </si>
  <si>
    <t>4.1.6.1.7</t>
  </si>
  <si>
    <t>Henkel need to offer these dashboard templates.</t>
  </si>
  <si>
    <t>4.1.7.1</t>
    <phoneticPr fontId="20" type="noConversion"/>
  </si>
  <si>
    <t>The system should have capability to manage special test request (Testing for Customer/Supplier/PD/AE/Other sites/MOC/NPI / Improvement project, etc.)
The system shall be capable of allow QCLaD user and non-QCLaD users to raise test request. Non-QCLaD user should have required user credentials.
The system shall have capability to allow user to select which plant to conduct the test, which test needed, when is the expected complete date, etc.
System should have capability to allow QC supervisor to approve the test requirement.
System should have capability to enter results, report results, generate test report and send test report to requestor’s E-mail address.
System should have capability to track the test status, analysis test workload and show it on Dashboard.</t>
  </si>
  <si>
    <r>
      <t>给外部用户使用登录非标准测试，web端？</t>
    </r>
    <r>
      <rPr>
        <sz val="11"/>
        <color rgb="FFFF0000"/>
        <rFont val="Calibri Light"/>
        <family val="3"/>
        <charset val="134"/>
        <scheme val="major"/>
      </rPr>
      <t>后期决定方案</t>
    </r>
    <phoneticPr fontId="20" type="noConversion"/>
  </si>
  <si>
    <t>4.1.7.1.2</t>
  </si>
  <si>
    <t xml:space="preserve">System shall be able to allow QCLaD users to raise test request. </t>
  </si>
  <si>
    <t>配置workflow，手动登样</t>
  </si>
  <si>
    <t>4.1.7.1.3</t>
  </si>
  <si>
    <t>System shall be able to allow non-QCLaD users to raise test request(Both side need further discussion with Neelima)</t>
  </si>
  <si>
    <t>4.1.7.1.4</t>
  </si>
  <si>
    <t xml:space="preserve">System shall be able to use template to allow user to select plant, analysis,expected complete date and comments. </t>
    <phoneticPr fontId="20" type="noConversion"/>
  </si>
  <si>
    <t>为每个类型配置sample entity template</t>
  </si>
  <si>
    <t>4.1.7.1.5</t>
  </si>
  <si>
    <t>Henkel need to offer testing request templates.</t>
  </si>
  <si>
    <t>4.1.7.1.6</t>
  </si>
  <si>
    <t>System shall be able to allow QC supervisor to approve the test requirement.</t>
    <phoneticPr fontId="20" type="noConversion"/>
  </si>
  <si>
    <t>是否测试工单确认？配置workflow字段，文件夹筛选。</t>
  </si>
  <si>
    <r>
      <t>定制开发，在相应节点发送邮件给请求者，</t>
    </r>
    <r>
      <rPr>
        <sz val="11"/>
        <color rgb="FFFF0000"/>
        <rFont val="Calibri Light"/>
        <family val="3"/>
        <charset val="134"/>
        <scheme val="major"/>
      </rPr>
      <t>邮件内容含有附件吗？</t>
    </r>
    <phoneticPr fontId="20" type="noConversion"/>
  </si>
  <si>
    <t xml:space="preserve">System shall be able to track the test status, analysis test workload and show it on Dashboard. </t>
    <phoneticPr fontId="20" type="noConversion"/>
  </si>
  <si>
    <t>定制开发Dashboard界面，</t>
    <phoneticPr fontId="20" type="noConversion"/>
  </si>
  <si>
    <t>4.1.7.1.9</t>
  </si>
  <si>
    <t>Henkel want to check the details of the test status. System shall support this.</t>
  </si>
  <si>
    <t>how detailed</t>
  </si>
  <si>
    <t>4.1.7.1.10</t>
  </si>
  <si>
    <t>Henkel need to offer Dashboard template about test status, analysis test workload.</t>
  </si>
  <si>
    <t>4.2.1.1</t>
  </si>
  <si>
    <t>Sample test schedule arrangement way: 
1. QC supervisor manual assign task to a user;  
2. QCLaD automatic assign task to a user based configured rule (pending test items of standard and non-standard sample, user testing skill, user and test instrument availability, sample status, SAP test skip lot rules, other pending QC works, e.g., calibration, MSA works, etc.).</t>
  </si>
  <si>
    <t>4.2.1.1.1</t>
    <phoneticPr fontId="20" type="noConversion"/>
  </si>
  <si>
    <t xml:space="preserve">System shall be able to have option for a sample preparation which may be required for some analysis. </t>
  </si>
  <si>
    <t>4.2.1.1.2</t>
  </si>
  <si>
    <t>System shall be able to assign preparation to an operator.</t>
  </si>
  <si>
    <t>配置功能</t>
  </si>
  <si>
    <t>System shall be able to have multiple preparaiton for a analysis.</t>
  </si>
  <si>
    <t>定制开发，新增Test准备记录表，包含仪器字段</t>
    <phoneticPr fontId="20" type="noConversion"/>
  </si>
  <si>
    <t>4.2.1.1.5</t>
  </si>
  <si>
    <t>System shall be able to assign test to an operator for each test.</t>
  </si>
  <si>
    <t>4.2.1.1.6</t>
  </si>
  <si>
    <t>System shall be able to have standard time defined for each test assignment. This shall come from the master data to LIMS.</t>
  </si>
  <si>
    <t>配置字段</t>
  </si>
  <si>
    <t>4.2.1.1.7</t>
  </si>
  <si>
    <t>System shall allow to assign instrument from the list available for the lab for each test by the operator.</t>
  </si>
  <si>
    <t>Instrument</t>
  </si>
  <si>
    <t>4.2.1.1.8</t>
  </si>
  <si>
    <t>System shall be able to display all the instruments (typeA, typeB, type C, typeD) based on the location and method.</t>
  </si>
  <si>
    <t>4.2.1.1.9</t>
  </si>
  <si>
    <t>System shall be able to select instrument by scanning.</t>
  </si>
  <si>
    <t>配置标签模板</t>
  </si>
  <si>
    <t>4.2.1.1.10</t>
  </si>
  <si>
    <t>System shall be able to select multipe instruments in LES.</t>
  </si>
  <si>
    <t>4.2.1.1.11</t>
  </si>
  <si>
    <t>System shall be able to have option to manually override for the parameters captured.</t>
  </si>
  <si>
    <t>自动分配任务详细规则？</t>
    <phoneticPr fontId="20" type="noConversion"/>
  </si>
  <si>
    <t>4.2.1.1.16</t>
  </si>
  <si>
    <t>System shall be able to assign samples manually.</t>
  </si>
  <si>
    <t>跳批是由SAP处理，与QCLaD无关</t>
    <phoneticPr fontId="20" type="noConversion"/>
  </si>
  <si>
    <t>4.2.1.1.19</t>
  </si>
  <si>
    <t>Henkel team send us logical rule about the assign task automatically.</t>
  </si>
  <si>
    <t>4.2.1.1.20</t>
  </si>
  <si>
    <t>Henkel team send us the detail information thermofisher listed of OSDP.  Noted: Sync daily. (TF list the detail information (mapping fileds required) first)</t>
  </si>
  <si>
    <t>4.2.1.1.21</t>
  </si>
  <si>
    <t>System shall be able to maintain master data which mapping analysis and instrument type.</t>
  </si>
  <si>
    <t>4.2.1.2</t>
  </si>
  <si>
    <t>The system should allow Lab supervisor to determine sample test schedule arrangement way. And the system is capable of allow QC supervisor to stop automatic schedule and change it to manually.</t>
  </si>
  <si>
    <t>4.2.1.2.1</t>
  </si>
  <si>
    <t>System shall be able to modify schedule.</t>
  </si>
  <si>
    <t>4.2.1.3</t>
  </si>
  <si>
    <t>The system should have capability to allow QC Supervisor modify testing task sequence based on lab test priority.</t>
  </si>
  <si>
    <t>4.2.1.3.1</t>
  </si>
  <si>
    <t>System shall be able to allow key user modify task based on urgency test.</t>
  </si>
  <si>
    <t>配置字段和按钮</t>
  </si>
  <si>
    <t>4.2.1.4</t>
  </si>
  <si>
    <t>Standard testing Pre-schedule: The system should have capability to get SAP inspection lot immediately after release in SAP and prearrange testing schedule based on inspection lot sequence.</t>
  </si>
  <si>
    <r>
      <t xml:space="preserve">system shall be able to create tasks when SAP pushes inspection lot based on configurable interval and configurable start time(twice a day before shift </t>
    </r>
    <r>
      <rPr>
        <sz val="11"/>
        <color rgb="FFFF0000"/>
        <rFont val="Calibri Light"/>
        <family val="1"/>
        <scheme val="major"/>
      </rPr>
      <t>delete</t>
    </r>
    <r>
      <rPr>
        <sz val="11"/>
        <rFont val="Calibri Light"/>
        <family val="1"/>
        <scheme val="major"/>
      </rPr>
      <t>).</t>
    </r>
  </si>
  <si>
    <t>使用SMIDI则是特定频率登录sample，如果是定制开发结果，则是SAP推送则立即登录lot，没有频率概览</t>
  </si>
  <si>
    <t>System shall be follow FIFO rules based on sample receiving date when assigning tasks.</t>
  </si>
  <si>
    <t>System shall assign tasks before the inspection lot only for JIT materials. And the results shall be pushed to sap if inspection lot is created.</t>
    <phoneticPr fontId="20" type="noConversion"/>
  </si>
  <si>
    <r>
      <t xml:space="preserve">SMIDI或定制开发接口，将结果回传给SAP
JIT检验存在先有sample再有检验批，所以当检验批下发后需要与已创建的sample关联；
</t>
    </r>
    <r>
      <rPr>
        <sz val="11"/>
        <color rgb="FFFF0000"/>
        <rFont val="Calibri Light"/>
        <family val="3"/>
        <charset val="134"/>
        <scheme val="major"/>
      </rPr>
      <t>是否需要拆分两条？</t>
    </r>
    <phoneticPr fontId="20" type="noConversion"/>
  </si>
  <si>
    <t>Complete</t>
  </si>
  <si>
    <t>4.2.1.4.4</t>
  </si>
  <si>
    <t>frequency need to double confirm by TF and Henkel; to be confirmed.</t>
  </si>
  <si>
    <t>4.2.1.5</t>
  </si>
  <si>
    <t>Standard testing schedule: The system should have capability to determine inspection task sequence based on preschedule once the sample arrives.</t>
  </si>
  <si>
    <t>System shall assign task based on priority rules once sample arrives.</t>
  </si>
  <si>
    <t>4.2.1.6</t>
  </si>
  <si>
    <t xml:space="preserve">Non-standard testing/non-label sample Pre-schedule:
 The system should be capable of prearrange test schedule based on test request sequence or based on calendar.
</t>
  </si>
  <si>
    <t>System shall allow to create tasks based on calendar schedule.</t>
  </si>
  <si>
    <t>4.2.1.7</t>
  </si>
  <si>
    <t>Non-standard testing/non-label sample schedule:
 The system should be capable of determine testing schedule.
Check for sample location from QCLAD, if already available use the label in the sample and start testing process. In case, sample not available at QC and not having a label, QCLAD should print and start the process else use the sample to logging to QCLAD. 
 once sample is logged in, start testing process.</t>
    <phoneticPr fontId="20" type="noConversion"/>
  </si>
  <si>
    <t>4.2.1.7.1</t>
  </si>
  <si>
    <t>System shall allow user to print label by manually input the information.</t>
  </si>
  <si>
    <t>配置标签模板和按钮</t>
  </si>
  <si>
    <t>4.2.1.8</t>
  </si>
  <si>
    <t xml:space="preserve">System should be capable to maintain QC shift, user information to support scheduler feature. Number of shift and shift hour of each shift can be configurable by Lab supervisor.  </t>
  </si>
  <si>
    <t>System shall allow user maintain master data for shift schedule by week. Number of shift and shift hour of each shift shall be configurable in the master data at plant level.</t>
  </si>
  <si>
    <t>定制开发，人员排班信息表，维护人员的每天的上下班时间</t>
    <phoneticPr fontId="20" type="noConversion"/>
  </si>
  <si>
    <t>4.2.1.8.2</t>
  </si>
  <si>
    <t>note: Henkel need offer shift template</t>
  </si>
  <si>
    <t>4.2.1.9</t>
  </si>
  <si>
    <t>The system should be capable to get/check user testing skill via Henkel’s skill matrix system and assign the right person.
In case if skill matrix not available or the supervisor wants to modify QCLAD’s task assignment system should allow manual assignment.</t>
    <phoneticPr fontId="20" type="noConversion"/>
  </si>
  <si>
    <t>System shall check skill when assigning tasks to operator.</t>
  </si>
  <si>
    <t>手动或自动分配任务时，人员的选择只能选择具有该任务技能的人员，存在工厂没有OSDP系统，则跳过技能筛序；</t>
    <phoneticPr fontId="20" type="noConversion"/>
  </si>
  <si>
    <t xml:space="preserve">System shall be able to support skill shall be sync with OSDP system if there is OSDP in plant.
Refer to 4.5.1.14 </t>
  </si>
  <si>
    <t>定制开发接口，将OSDP的信息同步到QCLAD中的培训信息表中</t>
    <phoneticPr fontId="20" type="noConversion"/>
  </si>
  <si>
    <t>4.2.1.9.3</t>
  </si>
  <si>
    <t>System shall allow user to rearrange task manually.</t>
  </si>
  <si>
    <t>配置按钮</t>
  </si>
  <si>
    <t>4.2.1.10</t>
  </si>
  <si>
    <t>For standard and non-standard testing, test status should be showed on dashboard, the detailed information, including the inspection lot(standard test), test request#(non-standard test), product number, product name,  batch#, user ID, etc. 
The detailed information can be reviewed when click status/inspection lot.</t>
  </si>
  <si>
    <t>System shall have dashboard which display tests, test status, product number, product name,  batch number, user ID. inspection lot, inspection lot(standard test), test. request#(non-standard test)</t>
  </si>
  <si>
    <t>Customisation</t>
    <phoneticPr fontId="20" type="noConversion"/>
  </si>
  <si>
    <t>4.2.1.10.2</t>
  </si>
  <si>
    <t>Henkel offer dashboard template, Tony</t>
  </si>
  <si>
    <t>4.2.1.11</t>
  </si>
  <si>
    <t>The system should be capable of arrange test schedule for scheduled tests (shelf life study, aging test, etc.) based on test schedule @ specific frequency as monthly, weekly, specific time on every day...</t>
  </si>
  <si>
    <t>4.2.1.11.1</t>
    <phoneticPr fontId="20" type="noConversion"/>
  </si>
  <si>
    <t>System shall create tasks for samples based on specific frequency.</t>
  </si>
  <si>
    <t>自动分配任务详细规则？自动分配任务使用后台定时任务</t>
    <phoneticPr fontId="20" type="noConversion"/>
  </si>
  <si>
    <t>4.3.1.1</t>
  </si>
  <si>
    <t>COA of RM auto-capture</t>
  </si>
  <si>
    <t>The system shall provide functionality to recognize &amp; download documents from incoming e-mail</t>
  </si>
  <si>
    <t>4.3.1.1.1</t>
  </si>
  <si>
    <t>4.3.1.2</t>
  </si>
  <si>
    <r>
      <t>The system shall provide functionality to extract data from COA and store them in</t>
    </r>
    <r>
      <rPr>
        <sz val="8"/>
        <rFont val="Calibri"/>
        <family val="2"/>
      </rPr>
      <t xml:space="preserve"> </t>
    </r>
    <r>
      <rPr>
        <sz val="12"/>
        <rFont val="Calibri"/>
        <family val="2"/>
      </rPr>
      <t>Henkel database</t>
    </r>
    <phoneticPr fontId="20" type="noConversion"/>
  </si>
  <si>
    <t>4.3.1.2.1</t>
  </si>
  <si>
    <t>4.3.1.3</t>
  </si>
  <si>
    <t>The system shall provide functionality to check open SAP inspection lot and search respective data in database</t>
  </si>
  <si>
    <t>4.3.1.3.1</t>
  </si>
  <si>
    <t>4.3.1.4</t>
  </si>
  <si>
    <t>The system shall provide functionality to validate characteristics, results, and range (COA against SAP)</t>
  </si>
  <si>
    <t>4.3.1.4.1</t>
  </si>
  <si>
    <t>4.3.1.5</t>
  </si>
  <si>
    <t>The system shall provide functionality to record result and transfer, maintain data in SAP</t>
  </si>
  <si>
    <t>4.3.1.5.1</t>
  </si>
  <si>
    <t>4.3.1.6</t>
  </si>
  <si>
    <t>The system shall provide functionality to approach QC through email when abnormal happened or wrong data generated</t>
  </si>
  <si>
    <t>4.3.1.6.1</t>
  </si>
  <si>
    <t>4.3.1.7</t>
  </si>
  <si>
    <t>Henkel has several language and format based on vendor, the system should have capability to capture from any format.</t>
  </si>
  <si>
    <t>4.3.1.7.1</t>
  </si>
  <si>
    <t>4.3.2.1</t>
    <phoneticPr fontId="20" type="noConversion"/>
  </si>
  <si>
    <t>The system shall provide functionality to capture data from Henkel type A and B test instrument automatically</t>
    <phoneticPr fontId="20" type="noConversion"/>
  </si>
  <si>
    <t>4.3.2.1.1</t>
    <phoneticPr fontId="20" type="noConversion"/>
  </si>
  <si>
    <t>4.3.2.2</t>
    <phoneticPr fontId="20" type="noConversion"/>
  </si>
  <si>
    <t>The system shall provide functionality to input the testing data manually</t>
  </si>
  <si>
    <t>4.3.2.2.1</t>
    <phoneticPr fontId="20" type="noConversion"/>
  </si>
  <si>
    <t>System shall be able support to input the testing data manually.</t>
  </si>
  <si>
    <t>4.3.2.3</t>
    <phoneticPr fontId="20" type="noConversion"/>
  </si>
  <si>
    <t>The system shall provide functionality to integrate all the types and brands of instruments, simplifying and streamlining the operation</t>
    <phoneticPr fontId="20" type="noConversion"/>
  </si>
  <si>
    <t>4.3.2.3.1</t>
    <phoneticPr fontId="20" type="noConversion"/>
  </si>
  <si>
    <t>System shall be able to select and display the instrument in the LES.</t>
  </si>
  <si>
    <t>4.3.2.3.2</t>
  </si>
  <si>
    <t>System shall provide functionality to integrate all type A and type B instruments which can export readable file.</t>
  </si>
  <si>
    <t>4.3.2.3.3</t>
  </si>
  <si>
    <t>System shall be able to fetch the results in LES and display the results.</t>
  </si>
  <si>
    <t>4.3.2.4</t>
    <phoneticPr fontId="20" type="noConversion"/>
  </si>
  <si>
    <t xml:space="preserve">The system shall provide functionality to automatically identify test sample information via test instruments without additional manually key in sample information into test instruments.   </t>
  </si>
  <si>
    <t>4.3.2.4.1</t>
  </si>
  <si>
    <t>user need to identifying the sample id in instrument software so that LIMS can match data to samples.</t>
  </si>
  <si>
    <t>4.3.2.4.2</t>
  </si>
  <si>
    <t>System shall be able to identify sample in LES by scan label.</t>
    <phoneticPr fontId="20" type="noConversion"/>
  </si>
  <si>
    <t>4.3.2.4.3</t>
  </si>
  <si>
    <t>System shall be able to manually enter sample id in LES.</t>
    <phoneticPr fontId="20" type="noConversion"/>
  </si>
  <si>
    <t>4.3.2.5</t>
    <phoneticPr fontId="20" type="noConversion"/>
  </si>
  <si>
    <t>The system vendor should train Henkel user about how to set up functionality to capture instrument data</t>
  </si>
  <si>
    <t>4.3.2.5.1</t>
    <phoneticPr fontId="20" type="noConversion"/>
  </si>
  <si>
    <t>System vendor should train Henkel user about how to set up functionality to capture instrument data.</t>
  </si>
  <si>
    <t>Non-function</t>
  </si>
  <si>
    <t>4.3.2.6</t>
    <phoneticPr fontId="20" type="noConversion"/>
  </si>
  <si>
    <t xml:space="preserve">The system vendor has overall responsibility to check Henkel instrument connection capability and set up interface between instrument and system. </t>
  </si>
  <si>
    <t>4.3.2.6.1</t>
    <phoneticPr fontId="20" type="noConversion"/>
  </si>
  <si>
    <t xml:space="preserve">System vendor has overall responsibility to check Henkel instrument connection capability and set up interface between instrument and system. </t>
  </si>
  <si>
    <t>4.4.1.1</t>
    <phoneticPr fontId="20" type="noConversion"/>
  </si>
  <si>
    <t>Enable Workflow execution of Laboratory daily operation
Quick overview of inspection plan on daily, weekly, monthly views
Able to view the status of testing, details of inspection lot on clicking on each
On clicking user is expected to see the status of SOP (which steps completed, on-going and not started)
Kanban dashboards with storage location and quantity (with/within safety stock) with desired filters
Dashboards showing lab equipment availability</t>
  </si>
  <si>
    <t>4.4.1.1.1</t>
    <phoneticPr fontId="20" type="noConversion"/>
  </si>
  <si>
    <t>System shall support dashboard display overview of inspection lot on daily, weekly, monthly views.</t>
  </si>
  <si>
    <t>4.4.1.1.2</t>
  </si>
  <si>
    <t>System shall be able to view the status of testing, details of inspection lot.</t>
  </si>
  <si>
    <t>4.4.1.1.3</t>
  </si>
  <si>
    <t>System shall be able to record standard cycle time and actual cycle time under test level.</t>
  </si>
  <si>
    <t>4.4.1.1.4</t>
  </si>
  <si>
    <r>
      <t xml:space="preserve">System shall be able to dispaly the status of LES (which steps completed, inprogress </t>
    </r>
    <r>
      <rPr>
        <sz val="11"/>
        <color rgb="FFFF0000"/>
        <rFont val="Calibri Light"/>
        <family val="1"/>
        <scheme val="major"/>
      </rPr>
      <t>on-going</t>
    </r>
    <r>
      <rPr>
        <sz val="11"/>
        <color indexed="8"/>
        <rFont val="Calibri Light"/>
        <family val="1"/>
        <scheme val="major"/>
      </rPr>
      <t xml:space="preserve"> and not started).</t>
    </r>
  </si>
  <si>
    <t>4.4.1.1.5</t>
  </si>
  <si>
    <t>System shall be able to display sample storage location and sample quantity.</t>
  </si>
  <si>
    <t>System shall support dashboard showing lab equipment availability.  Equipment usage can  be tracked trhough scanning before and after the usage.</t>
    <phoneticPr fontId="20" type="noConversion"/>
  </si>
  <si>
    <t>4.4.1.2</t>
    <phoneticPr fontId="20" type="noConversion"/>
  </si>
  <si>
    <t>Break each SOP down into steps that lead through the process, including test method execution, instrument calibration, result check and calculation
Henkel has different test methods, the system should have capablity to support all test method execution.
Henkel test method instruction keeps in Henkel Remap system. The system should have a hyperlink to guide user to Remap system on clicking a test method.
Master hyperlink guide user to Remap system. The system should allow site admin to maintain unique hyperlink for each different test method.</t>
    <phoneticPr fontId="20" type="noConversion"/>
  </si>
  <si>
    <t>4.4.1.2.1</t>
    <phoneticPr fontId="20" type="noConversion"/>
  </si>
  <si>
    <t xml:space="preserve">mark </t>
  </si>
  <si>
    <t>Henkel need to offer 10 feasible SOP so that TF team can creat 10 LES in system.</t>
  </si>
  <si>
    <t>4.4.1.2.2</t>
    <phoneticPr fontId="20" type="noConversion"/>
  </si>
  <si>
    <t>System shall support maintain SOP by steps in LES, including test method execution, instrument calibration, result check and calculation.</t>
    <phoneticPr fontId="20" type="noConversion"/>
  </si>
  <si>
    <t>4.4.1.2.4</t>
  </si>
  <si>
    <t>System shall allow user to access Remap system by hyperlink in analysis.</t>
  </si>
  <si>
    <t>4.4.1.2.4</t>
    <phoneticPr fontId="20" type="noConversion"/>
  </si>
  <si>
    <t>System shall support all test method execution.</t>
    <phoneticPr fontId="20" type="noConversion"/>
  </si>
  <si>
    <t>4.4.1.2.5</t>
  </si>
  <si>
    <t>System shall allow specific user to mantain and view hyperlink in analysis.</t>
  </si>
  <si>
    <t>4.4.1.3</t>
    <phoneticPr fontId="20" type="noConversion"/>
  </si>
  <si>
    <t>Step-wise approach to achieve Automation of routine tasks
User should be able to start and record testing results from iPAD / Tablet
Ability to upload documents during testing(like images..)</t>
    <phoneticPr fontId="20" type="noConversion"/>
  </si>
  <si>
    <t>4.4.1.3.1</t>
    <phoneticPr fontId="20" type="noConversion"/>
  </si>
  <si>
    <t>System shall support user to start and record testing results by step from iPAD or Tablet.</t>
    <phoneticPr fontId="20" type="noConversion"/>
  </si>
  <si>
    <t>4.4.1.3.2</t>
  </si>
  <si>
    <t>System shall be able to upload attachment during testing(like images..)</t>
  </si>
  <si>
    <t>4.4.1.4</t>
    <phoneticPr fontId="20" type="noConversion"/>
  </si>
  <si>
    <t>Enable Instrument Integration during execution of laboratory SOP.  Provides the ability to retrieve values from remotely attached instruments</t>
  </si>
  <si>
    <t>4.4.1.4.1</t>
  </si>
  <si>
    <t>System shall support retrieve values from Type A and Type B instruments in LES.</t>
  </si>
  <si>
    <t xml:space="preserve">MARK </t>
    <phoneticPr fontId="20" type="noConversion"/>
  </si>
  <si>
    <t>remotely attach instrument = type A and type B instrument</t>
  </si>
  <si>
    <t>4.4.1.5</t>
    <phoneticPr fontId="20" type="noConversion"/>
  </si>
  <si>
    <t>Enable eSignatures and Cross Check between different users during execution</t>
  </si>
  <si>
    <t>4.4.1.5.1</t>
    <phoneticPr fontId="20" type="noConversion"/>
  </si>
  <si>
    <t>System shall support Cross Check between different users during execution in LES.</t>
  </si>
  <si>
    <t>4.4.1.5.2</t>
  </si>
  <si>
    <t>what's e signature(like peer review)stands for?
Re: Esignature is out of scope. Replace eSigniture with peer review.</t>
  </si>
  <si>
    <t>4.4.1.6</t>
    <phoneticPr fontId="20" type="noConversion"/>
  </si>
  <si>
    <t>Enable audit trail on all steps during execution</t>
  </si>
  <si>
    <t>4.4.1.6.1</t>
    <phoneticPr fontId="20" type="noConversion"/>
  </si>
  <si>
    <t>System shall support audit on all steps during execution.</t>
  </si>
  <si>
    <t>4.4.1.7</t>
    <phoneticPr fontId="20" type="noConversion"/>
  </si>
  <si>
    <t>Allows execution of Lab Methods in remote locations, can be used in PC, tablet( Ipad, etc.)</t>
  </si>
  <si>
    <t>4.4.1.7.1</t>
    <phoneticPr fontId="20" type="noConversion"/>
  </si>
  <si>
    <t>System shall support execution of Lab Methods in remote locations, can be used in PC, tablet( Ipad, etc.)</t>
  </si>
  <si>
    <t>4.4.1.8</t>
    <phoneticPr fontId="20" type="noConversion"/>
  </si>
  <si>
    <t>Review the actual Lab Execution to ensure it has been executed correctly</t>
  </si>
  <si>
    <t>4.4.1.8.1</t>
    <phoneticPr fontId="20" type="noConversion"/>
  </si>
  <si>
    <t>System shall support review Lab Execution.</t>
  </si>
  <si>
    <t>4.4.1.9</t>
    <phoneticPr fontId="20" type="noConversion"/>
  </si>
  <si>
    <t xml:space="preserve">Generate follow-up actions from the Lab Execution review </t>
    <phoneticPr fontId="20" type="noConversion"/>
  </si>
  <si>
    <t>4.4.1.9.1</t>
    <phoneticPr fontId="20" type="noConversion"/>
  </si>
  <si>
    <t>System shall allow specific user to reassign the test to another user.</t>
  </si>
  <si>
    <t>4.4.1.9.2</t>
  </si>
  <si>
    <t>System shall require to enter comments when rejecting the result during Lab execution review.</t>
    <phoneticPr fontId="20" type="noConversion"/>
  </si>
  <si>
    <t>4.4.1.10</t>
    <phoneticPr fontId="20" type="noConversion"/>
  </si>
  <si>
    <t>Re-generate the paper SOP from the configured Lab methods, including any execution outcomes, Access to all Lab Execution data for reporting and Display audit information, linked entities, review statuses</t>
    <phoneticPr fontId="20" type="noConversion"/>
  </si>
  <si>
    <t>4.4.1.10.1</t>
    <phoneticPr fontId="20" type="noConversion"/>
  </si>
  <si>
    <t>System shall support print Lab execution record.</t>
  </si>
  <si>
    <t>4.4.1.10.2</t>
    <phoneticPr fontId="20" type="noConversion"/>
  </si>
  <si>
    <t>System shall support configure lab execution record report template.</t>
    <phoneticPr fontId="20" type="noConversion"/>
  </si>
  <si>
    <t>4.4.1.11</t>
    <phoneticPr fontId="20" type="noConversion"/>
  </si>
  <si>
    <t>Enable workflow to execute Henkel MSA, maintain MSA plan, send reminder according to plan, send alerts once expired MSA happened.</t>
  </si>
  <si>
    <t>4.4.1.11.1</t>
    <phoneticPr fontId="20" type="noConversion"/>
  </si>
  <si>
    <t>System shall support execute and maintain MSA plan.</t>
  </si>
  <si>
    <t>4.4.1.11.2</t>
    <phoneticPr fontId="20" type="noConversion"/>
  </si>
  <si>
    <t>System shall support remind MSA according to plan and remind expiration.</t>
  </si>
  <si>
    <t>4.4.2.1</t>
  </si>
  <si>
    <t>Resampling</t>
  </si>
  <si>
    <r>
      <rPr>
        <b/>
        <sz val="11"/>
        <color rgb="FFFF0000"/>
        <rFont val="Calibri Light"/>
        <family val="3"/>
        <charset val="134"/>
        <scheme val="major"/>
      </rPr>
      <t>Four solutions</t>
    </r>
    <r>
      <rPr>
        <b/>
        <sz val="11"/>
        <color rgb="FF000000"/>
        <rFont val="Calibri Light"/>
        <family val="3"/>
        <charset val="134"/>
        <scheme val="major"/>
      </rPr>
      <t>are possible to handle the resampling:
•	Create a new inspection lot in SAP
•	Create a new inspection lot in SAP with a link to the initial inspection lot, for example a user field populated with the initial lot.
•	Create another sample in the QCLAD, related to the inspection lot (job in the QCLAD)
Reactivate in the QCLAD a validated sample and reenter the results on the initial test. Then the sample is authorised and all the results are sent again to SAP. The result values are updated in SAP</t>
    </r>
  </si>
  <si>
    <t>4.4.2.1.1</t>
    <phoneticPr fontId="20" type="noConversion"/>
  </si>
  <si>
    <t>Create another sample in the QCLAD, related to the inspection lot (job in the QCLAD)  and all the results are sent again to SAP. The result values are updated in SAP. Check with Neelima</t>
  </si>
  <si>
    <t>4.4.2.1.2</t>
  </si>
  <si>
    <t>Henkel need to check use which one solution for handling resampling.</t>
  </si>
  <si>
    <t>4.5.1</t>
    <phoneticPr fontId="20" type="noConversion"/>
  </si>
  <si>
    <t xml:space="preserve">Enable Download of information from SAP to QCLAD and upload information from QCLAD to SAP
Push/pull information from Henkel smart factory, MES, Henkel Skill Matrix. The information pulled/pushed should be available in QCLAD in case of analyzing.  API calls need to be designed and agreed by different teams for pushing/pulling data based on the project scope. </t>
  </si>
  <si>
    <t>System shall support download inspection lot from SAP to QCLAD.</t>
  </si>
  <si>
    <r>
      <rPr>
        <sz val="11"/>
        <color rgb="FF000000"/>
        <rFont val="Calibri Light"/>
        <family val="1"/>
        <scheme val="major"/>
      </rPr>
      <t xml:space="preserve">System shall support download </t>
    </r>
    <r>
      <rPr>
        <sz val="11"/>
        <color rgb="FFFF0000"/>
        <rFont val="Calibri Light"/>
        <family val="1"/>
        <scheme val="major"/>
      </rPr>
      <t xml:space="preserve">Analysis </t>
    </r>
    <r>
      <rPr>
        <sz val="11"/>
        <color rgb="FF000000"/>
        <rFont val="Calibri Light"/>
        <family val="1"/>
        <scheme val="major"/>
      </rPr>
      <t xml:space="preserve">from SAP to QCLAD. </t>
    </r>
  </si>
  <si>
    <r>
      <rPr>
        <sz val="11"/>
        <color rgb="FF000000"/>
        <rFont val="Calibri Light"/>
        <family val="1"/>
        <scheme val="major"/>
      </rPr>
      <t>System shall support download</t>
    </r>
    <r>
      <rPr>
        <sz val="11"/>
        <color rgb="FFFF0000"/>
        <rFont val="Calibri Light"/>
        <family val="1"/>
        <scheme val="major"/>
      </rPr>
      <t xml:space="preserve"> MLP</t>
    </r>
    <r>
      <rPr>
        <sz val="11"/>
        <color rgb="FF000000"/>
        <rFont val="Calibri Light"/>
        <family val="1"/>
        <scheme val="major"/>
      </rPr>
      <t xml:space="preserve"> from SAP to QCLAD. </t>
    </r>
  </si>
  <si>
    <r>
      <rPr>
        <sz val="11"/>
        <color rgb="FF000000"/>
        <rFont val="Calibri Light"/>
        <family val="1"/>
        <scheme val="major"/>
      </rPr>
      <t xml:space="preserve">System shall support download </t>
    </r>
    <r>
      <rPr>
        <sz val="11"/>
        <color rgb="FFFF0000"/>
        <rFont val="Calibri Light"/>
        <family val="1"/>
        <scheme val="major"/>
      </rPr>
      <t>Substance</t>
    </r>
    <r>
      <rPr>
        <sz val="11"/>
        <color rgb="FF000000"/>
        <rFont val="Calibri Light"/>
        <family val="1"/>
        <scheme val="major"/>
      </rPr>
      <t xml:space="preserve"> from SAP to QCLAD. </t>
    </r>
  </si>
  <si>
    <r>
      <rPr>
        <sz val="11"/>
        <color rgb="FF000000"/>
        <rFont val="Calibri Light"/>
        <family val="1"/>
        <scheme val="major"/>
      </rPr>
      <t xml:space="preserve">System shall support download </t>
    </r>
    <r>
      <rPr>
        <sz val="11"/>
        <color rgb="FFFF0000"/>
        <rFont val="Calibri Light"/>
        <family val="1"/>
        <scheme val="major"/>
      </rPr>
      <t>GHS</t>
    </r>
    <r>
      <rPr>
        <sz val="11"/>
        <color rgb="FF000000"/>
        <rFont val="Calibri Light"/>
        <family val="1"/>
        <scheme val="major"/>
      </rPr>
      <t xml:space="preserve"> from SAP to QCLAD. 
Refer to 4.8.5.8.2 </t>
    </r>
  </si>
  <si>
    <r>
      <rPr>
        <sz val="11"/>
        <color rgb="FF000000"/>
        <rFont val="Calibri Light"/>
        <family val="1"/>
        <scheme val="major"/>
      </rPr>
      <t xml:space="preserve">System shall support download </t>
    </r>
    <r>
      <rPr>
        <sz val="11"/>
        <color rgb="FFFF0000"/>
        <rFont val="Calibri Light"/>
        <family val="1"/>
        <scheme val="major"/>
      </rPr>
      <t>Plant Code</t>
    </r>
    <r>
      <rPr>
        <sz val="11"/>
        <color rgb="FF000000"/>
        <rFont val="Calibri Light"/>
        <family val="1"/>
        <scheme val="major"/>
      </rPr>
      <t xml:space="preserve"> from SAP to QCLAD. </t>
    </r>
  </si>
  <si>
    <t>4.5.2</t>
    <phoneticPr fontId="20" type="noConversion"/>
  </si>
  <si>
    <t>SAP process in existing applications</t>
    <phoneticPr fontId="20" type="noConversion"/>
  </si>
  <si>
    <t xml:space="preserve">Currently MES and Smart factory have SAP interface to pull master and transactional data. Need to identify what to be pulled from SAP directly and can we reuse the data pulled by the applications to SAP instead of pulling again. Need to work out on the details. </t>
    <phoneticPr fontId="20" type="noConversion"/>
  </si>
  <si>
    <t>4.5.2.1</t>
    <phoneticPr fontId="20" type="noConversion"/>
  </si>
  <si>
    <t>4.5.3</t>
    <phoneticPr fontId="20" type="noConversion"/>
  </si>
  <si>
    <t>Communication between SAP and QCLAD</t>
    <phoneticPr fontId="20" type="noConversion"/>
  </si>
  <si>
    <t xml:space="preserve">nformation downloaded :
•	IDH#，Batch#, master data (plant#, lab#, material, shelf life, date of manufacturing, inspection interval, MIC#, etc.),  inspection plan, skip lot rules, Quality Notification#, equipment maintenance master data
•	Details of required fields to be agreed between Henkel and vendor after the process agreement. Please don’t consider this as a final set of fields. 
QM Transactional data should be received/sent in near real time. Need to do discuss what to be managed in near real time and what to be managed with jobs to be discussed after the process agreement. </t>
  </si>
  <si>
    <t>4.5.3.1</t>
    <phoneticPr fontId="20" type="noConversion"/>
  </si>
  <si>
    <t>4.5.4</t>
    <phoneticPr fontId="20" type="noConversion"/>
  </si>
  <si>
    <t>Upload of information from the QCLAD to SAP/MES/Smart factory</t>
    <phoneticPr fontId="20" type="noConversion"/>
  </si>
  <si>
    <t>The upload of the results is triggered by the validation of the laboratory. Once user approves the results pulled from lab equipment in QCLAD, it should be pushed to SAP in near real time. 
In-process testing result need to refer in-process testing workflow to update test result and decision into Henkel MES and smart factory system.
If the laboratory reactivates the sample and the results, a result value can be sent several times to SAP, the result in SAP is updated (the characteristics are declared as long term characteristics in SAP). 
In case of any result values need to be modified with a pre-defined rules or other calculations, it should be allowed automatically
The valuation can be setup in the QCLAD or in SAP. If it is setup in the QCLaD, it is associated to each result.</t>
  </si>
  <si>
    <t>4.5.4.1</t>
    <phoneticPr fontId="20" type="noConversion"/>
  </si>
  <si>
    <t>System shall allow result values can be modified with a pre-defined rules or other calculations automatically.</t>
  </si>
  <si>
    <t>4.5.4.2</t>
  </si>
  <si>
    <t>System shall support the specification limit can be setup in the QCLAD and is associated to each result.</t>
  </si>
  <si>
    <t>4.6.1.1</t>
    <phoneticPr fontId="20" type="noConversion"/>
  </si>
  <si>
    <r>
      <t>Sample status summary graph per Lab/Plant/</t>
    </r>
    <r>
      <rPr>
        <b/>
        <sz val="11"/>
        <color rgb="FFFF0000"/>
        <rFont val="Calibri Light"/>
        <family val="1"/>
        <scheme val="major"/>
      </rPr>
      <t>Country/Henkel network/ global</t>
    </r>
    <r>
      <rPr>
        <b/>
        <sz val="11"/>
        <rFont val="Calibri Light"/>
        <family val="1"/>
        <scheme val="major"/>
      </rPr>
      <t xml:space="preserve">
Sample status graph can be reviewed daily/weekly/monthly/yearly
Sample status should have completed, in progress, received, cancelled
Report should include all sample type, RM, semi-finish, Bulk, FG, standard test and non-standard test, etc.
Report can be filtered by material, technology (product technology information should from SAP)</t>
    </r>
  </si>
  <si>
    <t>4.6.1.1.1</t>
    <phoneticPr fontId="20" type="noConversion"/>
  </si>
  <si>
    <r>
      <t xml:space="preserve">System shall support different sample status, including completed, in progress, received, cancelled, </t>
    </r>
    <r>
      <rPr>
        <sz val="11"/>
        <color rgb="FFFF0000"/>
        <rFont val="Calibri Light"/>
        <family val="1"/>
        <scheme val="major"/>
      </rPr>
      <t>retained</t>
    </r>
    <r>
      <rPr>
        <sz val="11"/>
        <rFont val="Calibri Light"/>
        <family val="1"/>
        <scheme val="major"/>
      </rPr>
      <t>.</t>
    </r>
  </si>
  <si>
    <t>System shall include sample type in report, detailed sample type refers to RTM 4.5.1 items.</t>
    <phoneticPr fontId="20" type="noConversion"/>
  </si>
  <si>
    <r>
      <t xml:space="preserve">System shall support report can be filtered by material, technology (product technology information should from SAP) </t>
    </r>
    <r>
      <rPr>
        <sz val="11"/>
        <color rgb="FFFF0000"/>
        <rFont val="Calibri Light"/>
        <family val="1"/>
        <scheme val="major"/>
      </rPr>
      <t>in folder</t>
    </r>
    <r>
      <rPr>
        <sz val="11"/>
        <rFont val="Calibri Light"/>
        <family val="1"/>
        <scheme val="major"/>
      </rPr>
      <t>.</t>
    </r>
  </si>
  <si>
    <t>Henkel need to check what's the meaning of report with Neelima</t>
  </si>
  <si>
    <t>4.6.1.2</t>
    <phoneticPr fontId="20" type="noConversion"/>
  </si>
  <si>
    <t>Daily sample status summary graph per Lab/Plant should be showed real time.</t>
    <phoneticPr fontId="20" type="noConversion"/>
  </si>
  <si>
    <t>4.6.1.2.1</t>
    <phoneticPr fontId="20" type="noConversion"/>
  </si>
  <si>
    <t>4.6.1.3</t>
    <phoneticPr fontId="20" type="noConversion"/>
  </si>
  <si>
    <t>Scheduled job list (Task assignment job in specific time period)
Scheduled job list is related to schedule work.
Scheduled job list should be showed real time.</t>
    <phoneticPr fontId="20" type="noConversion"/>
  </si>
  <si>
    <t>4.6.1.3.1</t>
    <phoneticPr fontId="20" type="noConversion"/>
  </si>
  <si>
    <t>System shall display task list in real time.</t>
    <phoneticPr fontId="20" type="noConversion"/>
  </si>
  <si>
    <t>4.6.1.4</t>
    <phoneticPr fontId="20" type="noConversion"/>
  </si>
  <si>
    <r>
      <t xml:space="preserve">Overdue scheduled job </t>
    </r>
    <r>
      <rPr>
        <b/>
        <sz val="11"/>
        <color rgb="FFFF0000"/>
        <rFont val="Calibri Light"/>
        <family val="1"/>
        <scheme val="major"/>
      </rPr>
      <t>report</t>
    </r>
  </si>
  <si>
    <t>4.6.1.4.1</t>
    <phoneticPr fontId="20" type="noConversion"/>
  </si>
  <si>
    <r>
      <t xml:space="preserve">System shall display overdue </t>
    </r>
    <r>
      <rPr>
        <sz val="11"/>
        <color rgb="FFFF0000"/>
        <rFont val="Calibri Light"/>
        <family val="1"/>
        <scheme val="major"/>
      </rPr>
      <t>task list</t>
    </r>
    <r>
      <rPr>
        <sz val="11"/>
        <rFont val="Calibri Light"/>
        <family val="1"/>
        <scheme val="major"/>
      </rPr>
      <t>.</t>
    </r>
  </si>
  <si>
    <t>4.6.1.5</t>
    <phoneticPr fontId="20" type="noConversion"/>
  </si>
  <si>
    <t>Instrument status (available, out of service, Retired) Statistics (key: instrument ID, instrument Type, days in available, days out of service…)</t>
  </si>
  <si>
    <t>4.6.1.5.1</t>
    <phoneticPr fontId="20" type="noConversion"/>
  </si>
  <si>
    <r>
      <t xml:space="preserve">System shall support dashbord to display instrument list including (instrument ID, instrument Type, instrument Status, </t>
    </r>
    <r>
      <rPr>
        <sz val="11"/>
        <color rgb="FFFF0000"/>
        <rFont val="Calibri Light"/>
        <family val="1"/>
        <scheme val="major"/>
      </rPr>
      <t>days</t>
    </r>
    <r>
      <rPr>
        <sz val="11"/>
        <rFont val="Calibri Light"/>
        <family val="1"/>
        <scheme val="major"/>
      </rPr>
      <t xml:space="preserve"> in available, </t>
    </r>
    <r>
      <rPr>
        <sz val="11"/>
        <color rgb="FFFF0000"/>
        <rFont val="Calibri Light"/>
        <family val="1"/>
        <scheme val="major"/>
      </rPr>
      <t xml:space="preserve">days </t>
    </r>
    <r>
      <rPr>
        <sz val="11"/>
        <rFont val="Calibri Light"/>
        <family val="1"/>
        <scheme val="major"/>
      </rPr>
      <t>out of service)</t>
    </r>
  </si>
  <si>
    <t>4.6.1.5.3</t>
  </si>
  <si>
    <t>What’s the meaning of 'days in available, days out of service'? 怎么理解Days</t>
  </si>
  <si>
    <t>4.6.1.6</t>
    <phoneticPr fontId="20" type="noConversion"/>
  </si>
  <si>
    <t>Instrument load and utilization,  
Actual Instrument Utilization=∑(Total Actual Instrument working Hours/ Total working Hours)
Total working hours is related to shift arrangement.</t>
  </si>
  <si>
    <t>4.6.1.6.1</t>
    <phoneticPr fontId="20" type="noConversion"/>
  </si>
  <si>
    <t>4.6.1.7</t>
    <phoneticPr fontId="20" type="noConversion"/>
  </si>
  <si>
    <r>
      <t>Work load (Sample or analysis) statistics (</t>
    </r>
    <r>
      <rPr>
        <b/>
        <sz val="11"/>
        <color rgb="FFFF0000"/>
        <rFont val="Calibri Light"/>
        <family val="1"/>
        <scheme val="major"/>
      </rPr>
      <t>per work hour</t>
    </r>
    <r>
      <rPr>
        <b/>
        <sz val="11"/>
        <rFont val="Calibri Light"/>
        <family val="1"/>
        <scheme val="major"/>
      </rPr>
      <t xml:space="preserve">, per plant, </t>
    </r>
    <r>
      <rPr>
        <b/>
        <sz val="11"/>
        <color rgb="FFFF0000"/>
        <rFont val="Calibri Light"/>
        <family val="1"/>
        <scheme val="major"/>
      </rPr>
      <t>per analyst</t>
    </r>
    <r>
      <rPr>
        <b/>
        <sz val="11"/>
        <rFont val="Calibri Light"/>
        <family val="1"/>
        <scheme val="major"/>
      </rPr>
      <t>…)</t>
    </r>
  </si>
  <si>
    <t>4.6.1.7.1</t>
    <phoneticPr fontId="20" type="noConversion"/>
  </si>
  <si>
    <t>4.6.1.8</t>
    <phoneticPr fontId="20" type="noConversion"/>
  </si>
  <si>
    <t>Work load can be number of inspection lot, number of sample, number of test, number of skip lot, number of skip test</t>
  </si>
  <si>
    <t>4.6.1.8.1</t>
    <phoneticPr fontId="20" type="noConversion"/>
  </si>
  <si>
    <t>4.6.1.9</t>
    <phoneticPr fontId="20" type="noConversion"/>
  </si>
  <si>
    <t>Report: extract data based on sample type, analysis, test schedule, login time, standard time….</t>
  </si>
  <si>
    <t>4.6.1.9.1</t>
    <phoneticPr fontId="20" type="noConversion"/>
  </si>
  <si>
    <t>System shall support export data based on sample type, analysis, test schedule, login time, standard time by folder.</t>
  </si>
  <si>
    <t>4.6.1.9.2</t>
  </si>
  <si>
    <t>what format of the report？The aim of extract data.</t>
  </si>
  <si>
    <t>4.6.1.10</t>
    <phoneticPr fontId="20" type="noConversion"/>
  </si>
  <si>
    <t>QC release time: To be able to automatically calculate individual batch/test request complete time in specific time period
QC Release Time=∑(Time End-Time Start)
Time End: UD time of batch or test request completed time
Time Start: Sample received time (actual time barcode scan in QC) of inspection lot</t>
  </si>
  <si>
    <t>4.6.1.10.1</t>
    <phoneticPr fontId="20" type="noConversion"/>
  </si>
  <si>
    <t>Sample Release Time=Time End-Time Start</t>
  </si>
  <si>
    <t>4.6.1.10.3</t>
  </si>
  <si>
    <t>Why need Σ？Henkel:remove Σ</t>
  </si>
  <si>
    <t>4.6.1.10.4</t>
  </si>
  <si>
    <t>Time End: sample authorizd time</t>
  </si>
  <si>
    <t>4.6.1.11</t>
    <phoneticPr fontId="20" type="noConversion"/>
  </si>
  <si>
    <t>QC Productivity: Measure efficiency of QC efforts at a manufacturing site in specific time period
1. QC Testing Productivity by test =∑(# test)/#FTE
The sum of # inspection test compare with #FTE for a give selection
2. QC Testing productivity by inspection lot =∑(# SAP inspection lot)/#FTE
The sum of # inspection lot compare with #FTE for a give selection</t>
  </si>
  <si>
    <t>4.6.1.11.1</t>
    <phoneticPr fontId="20" type="noConversion"/>
  </si>
  <si>
    <t>Henkel need to check what's the report of Productivity
Henkel:QC productivity can be valuated according to 3 formulas:
QC efficiency 1=Direct QC test LH(IQC+IPQC+OQC,including retest)/QC attendence hours
QC efficiency 2=(Direct QC test LH+non-standard QC test LH)/QC attendence hours
QC efficiency 3=(Direct QC test LH+non-standard QC test LH+indirect QC LH)/QC attendence hours
Standard testing - Direct QC Test 
Non standard testing - Indirect QC
QC attendance hours - based on the shift management</t>
  </si>
  <si>
    <t>4.6.1.12</t>
  </si>
  <si>
    <t>Instrument PM(preventive maintenance) performance, including, number of PM performed in QC Lab &amp; on time PM%  in specific time period</t>
  </si>
  <si>
    <t>4.6.1.12.1</t>
    <phoneticPr fontId="20" type="noConversion"/>
  </si>
  <si>
    <t>System shall allow user to add maintenance plan. Maintenance plan shall include PM(preventive maintenance) type.</t>
  </si>
  <si>
    <t>配置phrase字段</t>
  </si>
  <si>
    <t>4.6.1.12.2</t>
    <phoneticPr fontId="20" type="noConversion"/>
  </si>
  <si>
    <t>4.6.1.13</t>
    <phoneticPr fontId="20" type="noConversion"/>
  </si>
  <si>
    <t xml:space="preserve">Instrument calibration performance: including, number of calibration performed in QC Lab &amp; on time calibration%  in specific time period  </t>
    <phoneticPr fontId="20" type="noConversion"/>
  </si>
  <si>
    <t>4.6.1.13.1</t>
    <phoneticPr fontId="20" type="noConversion"/>
  </si>
  <si>
    <t>System shall display the quantity of calibration record and on time proporation for maintenance by report.</t>
    <phoneticPr fontId="20" type="noConversion"/>
  </si>
  <si>
    <t>4.6.1.14</t>
    <phoneticPr fontId="20" type="noConversion"/>
  </si>
  <si>
    <t xml:space="preserve">MSA performance: including, number of MSA performed in QC Lab &amp; on time MSA%  in specific time period  </t>
    <phoneticPr fontId="20" type="noConversion"/>
  </si>
  <si>
    <t>4.6.1.14.1</t>
    <phoneticPr fontId="20" type="noConversion"/>
  </si>
  <si>
    <t>System shall display the quantity of MSA task completed in system, completed shall be triggered by uploading MSA report to QCLAD.</t>
    <phoneticPr fontId="20" type="noConversion"/>
  </si>
  <si>
    <t>System shall display on time proportion for MSA task by report.</t>
    <phoneticPr fontId="20" type="noConversion"/>
  </si>
  <si>
    <t>4.6.1.15</t>
    <phoneticPr fontId="20" type="noConversion"/>
  </si>
  <si>
    <t xml:space="preserve">Consumable/Spare parts report:  stock status and  safety stock status  in specific time period  </t>
  </si>
  <si>
    <t>4.6.1.15.1</t>
    <phoneticPr fontId="20" type="noConversion"/>
  </si>
  <si>
    <t>System shall display stock status and safety stock status(the stock is below the minumum stock and above the maximum stock) in specific time period by report.</t>
  </si>
  <si>
    <t>配置文件夹，如果定义的report是报告就算template；如果是文件夹就是配置</t>
  </si>
  <si>
    <t>4.6.1.15.2</t>
  </si>
  <si>
    <t>status refers to what?</t>
    <phoneticPr fontId="20" type="noConversion"/>
  </si>
  <si>
    <t>4.6.1.16</t>
    <phoneticPr fontId="20" type="noConversion"/>
  </si>
  <si>
    <t>Retain sample report: Analysis by storage location, stock status , number of expire sample stock status, disposed stock by date</t>
    <phoneticPr fontId="20" type="noConversion"/>
  </si>
  <si>
    <t>4.6.1.16.1</t>
    <phoneticPr fontId="20" type="noConversion"/>
  </si>
  <si>
    <t>System shall display retain sample in dashboard by storage location, retain status , number of expired retains, disposed retains by date.</t>
  </si>
  <si>
    <t>4.6.1.16.2</t>
  </si>
  <si>
    <t>need dashboard.
Henkel : design the dashborad</t>
  </si>
  <si>
    <t>4.7.1.1</t>
    <phoneticPr fontId="20" type="noConversion"/>
  </si>
  <si>
    <t>Sample Tracking</t>
  </si>
  <si>
    <t>The system shall maintain a history of sample life information about a sample's workflow. The workflow is a requirement for internal COC (Chain of Custody) that tracks all samples from the time they are received until disposal</t>
    <phoneticPr fontId="20" type="noConversion"/>
  </si>
  <si>
    <t>4.7.1.1.1</t>
    <phoneticPr fontId="20" type="noConversion"/>
  </si>
  <si>
    <t>System shall support to track sample life history (Chain of Custody).</t>
  </si>
  <si>
    <t>配置查看custody</t>
  </si>
  <si>
    <t>4.7.1.1.2</t>
    <phoneticPr fontId="20" type="noConversion"/>
  </si>
  <si>
    <t>System shall support to display samples and test results by batch number.</t>
  </si>
  <si>
    <t>4.7.1.2</t>
    <phoneticPr fontId="20" type="noConversion"/>
  </si>
  <si>
    <t>The system shall track users by log-in the data they enter and functions they perform</t>
    <phoneticPr fontId="20" type="noConversion"/>
  </si>
  <si>
    <t>4.7.1.2.1</t>
    <phoneticPr fontId="20" type="noConversion"/>
  </si>
  <si>
    <t>System shall support to track data entry history and modification history.</t>
    <phoneticPr fontId="20" type="noConversion"/>
  </si>
  <si>
    <t>配置审计</t>
  </si>
  <si>
    <t>4.7.1.3</t>
    <phoneticPr fontId="20" type="noConversion"/>
  </si>
  <si>
    <r>
      <t xml:space="preserve">The user shall be able to view all the information in QCLaD </t>
    </r>
    <r>
      <rPr>
        <b/>
        <sz val="11"/>
        <color rgb="FFFF0000"/>
        <rFont val="Calibri Light"/>
        <family val="3"/>
        <charset val="134"/>
        <scheme val="major"/>
      </rPr>
      <t>dashboard</t>
    </r>
    <r>
      <rPr>
        <b/>
        <sz val="11"/>
        <rFont val="Calibri Light"/>
        <family val="1"/>
        <scheme val="major"/>
      </rPr>
      <t xml:space="preserve"> about a sample including current status</t>
    </r>
    <phoneticPr fontId="20" type="noConversion"/>
  </si>
  <si>
    <t>4.7.1.3.1</t>
    <phoneticPr fontId="20" type="noConversion"/>
  </si>
  <si>
    <t>The user shall be able to view all the information about a sample including current status in QCLaD folder.</t>
    <phoneticPr fontId="20" type="noConversion"/>
  </si>
  <si>
    <t>文件夹</t>
  </si>
  <si>
    <t>4.7.1.3.2</t>
  </si>
  <si>
    <t xml:space="preserve">Mark </t>
  </si>
  <si>
    <t>Noted: can fulfill by folder configuration.</t>
  </si>
  <si>
    <t>4.7.1.4</t>
    <phoneticPr fontId="20" type="noConversion"/>
  </si>
  <si>
    <t>The user shall be able to update the sample’s workflow information as it moves through the process</t>
    <phoneticPr fontId="20" type="noConversion"/>
  </si>
  <si>
    <t>4.7.1.4.1</t>
    <phoneticPr fontId="20" type="noConversion"/>
  </si>
  <si>
    <t>does 'update the sample’s workflow information' means modify samples 's attributes ?
Dragon -- No, attributes is not been changed but the status may change. Similar to No.36</t>
  </si>
  <si>
    <t>4.7.1.4.2</t>
    <phoneticPr fontId="20" type="noConversion"/>
  </si>
  <si>
    <t>System shall update sample status automatically according to workflow.</t>
    <phoneticPr fontId="20" type="noConversion"/>
  </si>
  <si>
    <t>4.7.1.5</t>
    <phoneticPr fontId="20" type="noConversion"/>
  </si>
  <si>
    <t>The system shall track the current status of test(s) for a sample</t>
  </si>
  <si>
    <t>4.7.1.5.1</t>
    <phoneticPr fontId="20" type="noConversion"/>
  </si>
  <si>
    <t>System shall supoort to display the current status of test(s) for a sample.</t>
  </si>
  <si>
    <t>标准功能</t>
  </si>
  <si>
    <t>4.7.1.6</t>
    <phoneticPr fontId="20" type="noConversion"/>
  </si>
  <si>
    <t>The system shall display a history of a sample's workflow</t>
  </si>
  <si>
    <t>4.7.1.6.1</t>
    <phoneticPr fontId="20" type="noConversion"/>
  </si>
  <si>
    <t>System shall support to track a history of a sample lifecycle.</t>
  </si>
  <si>
    <t>审计配置,打开审计追踪</t>
  </si>
  <si>
    <t>4.7.1.6.2</t>
  </si>
  <si>
    <t>MARK</t>
    <phoneticPr fontId="20" type="noConversion"/>
  </si>
  <si>
    <t xml:space="preserve">does workflow means lifecycle?
Re：Lifecycle include multiple workflow </t>
  </si>
  <si>
    <t>4.7.2.1</t>
    <phoneticPr fontId="20" type="noConversion"/>
  </si>
  <si>
    <t>Data View and Audit Trail</t>
  </si>
  <si>
    <t>The system shall be capable of supporting multiple languages(based on the plant preferred local language) and English,  to support Henkel global roll out</t>
    <phoneticPr fontId="20" type="noConversion"/>
  </si>
  <si>
    <t>4.7.2.1.1</t>
    <phoneticPr fontId="20" type="noConversion"/>
  </si>
  <si>
    <t>System shall support multiple languages. (Chinese and English will be implemented in Dragon pilot phase.)</t>
  </si>
  <si>
    <t>语言包</t>
  </si>
  <si>
    <t>4.7.2.2</t>
    <phoneticPr fontId="20" type="noConversion"/>
  </si>
  <si>
    <t>The system shall provide functionality for users with appropriate permissions to configure a view of the QCLAD data; Permission can be configurable, by function or by user</t>
    <phoneticPr fontId="20" type="noConversion"/>
  </si>
  <si>
    <t>4.7.2.2.1</t>
    <phoneticPr fontId="20" type="noConversion"/>
  </si>
  <si>
    <t>System shall support data access control by function department or by user role.</t>
  </si>
  <si>
    <t>group</t>
  </si>
  <si>
    <t>4.7.2.2.2</t>
    <phoneticPr fontId="20" type="noConversion"/>
  </si>
  <si>
    <t>System shall support to configure user's role and group.</t>
    <phoneticPr fontId="20" type="noConversion"/>
  </si>
  <si>
    <t>4.7.2.3</t>
    <phoneticPr fontId="20" type="noConversion"/>
  </si>
  <si>
    <t>The system shall provide real time electronic sample status and location tracking (Lab location and area).</t>
    <phoneticPr fontId="20" type="noConversion"/>
  </si>
  <si>
    <t>4.7.2.3.1</t>
    <phoneticPr fontId="20" type="noConversion"/>
  </si>
  <si>
    <t>System shall support to display sample status and location in real time.</t>
  </si>
  <si>
    <t>4.7.2.4</t>
    <phoneticPr fontId="20" type="noConversion"/>
  </si>
  <si>
    <t>The system shall provide real time access to results for peer and supervisor review during sample testing (electronic / hard copy), hardcopy can be download/print from system</t>
    <phoneticPr fontId="20" type="noConversion"/>
  </si>
  <si>
    <t>4.7.2.4.1</t>
    <phoneticPr fontId="20" type="noConversion"/>
  </si>
  <si>
    <t>system shall support to display results for peer and supervisor review in real time.</t>
    <phoneticPr fontId="20" type="noConversion"/>
  </si>
  <si>
    <t>4.7.2.4.2</t>
  </si>
  <si>
    <t>hard copy print requirement refers to RTM 4.4.1.10.1.</t>
  </si>
  <si>
    <t>4.7.2.5</t>
  </si>
  <si>
    <t>The system shall provide functionality to perform trending and simple data analysis</t>
    <phoneticPr fontId="20" type="noConversion"/>
  </si>
  <si>
    <t>4.7.2.5.1</t>
    <phoneticPr fontId="20" type="noConversion"/>
  </si>
  <si>
    <t>Thermo SQC function instruction. 
Re:TF have upload instruction in SharePoint and replied it via email.
Re:Henkel replied Not in the scope of QC LaD</t>
  </si>
  <si>
    <t>4.7.2.6</t>
    <phoneticPr fontId="20" type="noConversion"/>
  </si>
  <si>
    <t>The system shall allow data generated to be exported in XML / CSV/ PDF format</t>
    <phoneticPr fontId="20" type="noConversion"/>
  </si>
  <si>
    <t>4.7.2.6.1</t>
    <phoneticPr fontId="20" type="noConversion"/>
  </si>
  <si>
    <t>system shall support to export data through folder explorer in XML / CSV/ PDF format.</t>
    <phoneticPr fontId="20" type="noConversion"/>
  </si>
  <si>
    <t>4.7.2.7</t>
    <phoneticPr fontId="20" type="noConversion"/>
  </si>
  <si>
    <t>The system shall provide functionality to export data in a usable format to third party software (e.g. Excel)</t>
  </si>
  <si>
    <t>4.7.2.7.1</t>
    <phoneticPr fontId="20" type="noConversion"/>
  </si>
  <si>
    <t>System shall support to export data through folder explorer in an usable format.</t>
  </si>
  <si>
    <t>4.7.2.7.2</t>
  </si>
  <si>
    <t>what's third party software?
Re: We can download data from QCLaD to excel,pdf,word. We can upload data of third party software as a excel/pdf/word format to QCLaD manually.</t>
  </si>
  <si>
    <t>4.7.2.8</t>
    <phoneticPr fontId="20" type="noConversion"/>
  </si>
  <si>
    <r>
      <t xml:space="preserve">The system shall provide a simple </t>
    </r>
    <r>
      <rPr>
        <b/>
        <sz val="11"/>
        <color rgb="FFFF0000"/>
        <rFont val="Calibri Light"/>
        <family val="1"/>
        <scheme val="major"/>
      </rPr>
      <t>interface</t>
    </r>
    <r>
      <rPr>
        <b/>
        <sz val="11"/>
        <rFont val="Calibri Light"/>
        <family val="1"/>
        <scheme val="major"/>
      </rPr>
      <t xml:space="preserve"> / method  for extraction of data into statistic report</t>
    </r>
  </si>
  <si>
    <t>4.7.2.8.1</t>
    <phoneticPr fontId="20" type="noConversion"/>
  </si>
  <si>
    <t>System shall provide a simple template or method  for extraction of data.</t>
  </si>
  <si>
    <t>配置导出功能</t>
  </si>
  <si>
    <t>4.7.2.8.2</t>
  </si>
  <si>
    <t>interface means integration? Why need interface in here.
Re:Template</t>
  </si>
  <si>
    <t>4.7.2.9</t>
    <phoneticPr fontId="20" type="noConversion"/>
  </si>
  <si>
    <t>The system shall provide tools to search for datasets or components by any combination of fields</t>
  </si>
  <si>
    <t>4.7.2.9.1</t>
    <phoneticPr fontId="20" type="noConversion"/>
  </si>
  <si>
    <t>System shall support to search for datasets or components by combination of fields in folder explorer.</t>
  </si>
  <si>
    <t>4.7.2.10</t>
    <phoneticPr fontId="20" type="noConversion"/>
  </si>
  <si>
    <t>The system should provide tools for users to save one or more defined sets of structured search parameters for future use, linked to the user's profile</t>
    <phoneticPr fontId="20" type="noConversion"/>
  </si>
  <si>
    <t>4.7.2.10.1</t>
    <phoneticPr fontId="20" type="noConversion"/>
  </si>
  <si>
    <t>System shall support user to create personal folder by saved defined one or more criteria to display certain data.</t>
  </si>
  <si>
    <t>4.7.2.11</t>
    <phoneticPr fontId="20" type="noConversion"/>
  </si>
  <si>
    <t>The system shall provide full audit trails. All audit trails shall be secure, computer generated, time stamped using the local time. It shall include the date and time, retention of original data, reason for change to original data and the individual performing the task. All data entry, recording of reporting processes and all changes to the reported data shall be recorded along with any deletion of data</t>
  </si>
  <si>
    <t>4.7.2.11.1</t>
    <phoneticPr fontId="20" type="noConversion"/>
  </si>
  <si>
    <t>System shall provide full audit trails.</t>
  </si>
  <si>
    <t>4.7.2.11.2</t>
  </si>
  <si>
    <t>System shall support all audit trails shall be secure, computer generated, time stamped using the local time.</t>
  </si>
  <si>
    <t>4.7.2.11.3</t>
  </si>
  <si>
    <t>Thermo check local time 
Re: have checked.</t>
  </si>
  <si>
    <t>4.7.2.11.4</t>
  </si>
  <si>
    <t>System shall support audit trial shall include the date and time, retention of original data, reason for change to original data and the individual performing the task.</t>
  </si>
  <si>
    <t>4.7.2.11.5</t>
  </si>
  <si>
    <t>System shall be able to support all data entry, recording of reporting processes and all changes to the reported data shall be recorded along with any deletion of data.</t>
  </si>
  <si>
    <t>4.7.2.12</t>
    <phoneticPr fontId="20" type="noConversion"/>
  </si>
  <si>
    <t>The system shall require audit trail entries for all creation, modification and approval associated with static data</t>
    <phoneticPr fontId="20" type="noConversion"/>
  </si>
  <si>
    <t>4.7.2.12.1</t>
    <phoneticPr fontId="20" type="noConversion"/>
  </si>
  <si>
    <t>System shall support audit trail for all creation, modification and approval associated with static data.</t>
  </si>
  <si>
    <t>4.7.2.13</t>
    <phoneticPr fontId="20" type="noConversion"/>
  </si>
  <si>
    <t>The system shall allow the display, print or download any / all audit trails</t>
    <phoneticPr fontId="20" type="noConversion"/>
  </si>
  <si>
    <t>4.7.2.13.1</t>
    <phoneticPr fontId="20" type="noConversion"/>
  </si>
  <si>
    <t>System shall support to display, print or export any / all audit trails.</t>
  </si>
  <si>
    <t>4.7.2.14</t>
    <phoneticPr fontId="20" type="noConversion"/>
  </si>
  <si>
    <t>The system should be able to export the audit trail into a report</t>
  </si>
  <si>
    <t>4.7.2.14.1</t>
    <phoneticPr fontId="20" type="noConversion"/>
  </si>
  <si>
    <t>System shall support to export the audit trail into a report.</t>
    <phoneticPr fontId="20" type="noConversion"/>
  </si>
  <si>
    <t>4.8.1.1</t>
    <phoneticPr fontId="20" type="noConversion"/>
  </si>
  <si>
    <r>
      <rPr>
        <b/>
        <sz val="11"/>
        <color rgb="FF000000"/>
        <rFont val="Calibri Light"/>
        <family val="1"/>
        <scheme val="major"/>
      </rPr>
      <t xml:space="preserve">Standard management of instruments and equipment in the lab including specifications, parameters, spare parts, calibration </t>
    </r>
    <r>
      <rPr>
        <sz val="8"/>
        <color rgb="FFFF0000"/>
        <rFont val="Calibri"/>
        <family val="2"/>
      </rPr>
      <t>and maintenance.</t>
    </r>
  </si>
  <si>
    <t>4.8.1.1.1</t>
    <phoneticPr fontId="20" type="noConversion"/>
  </si>
  <si>
    <t>System shall support maintain specification and parameters in equipment master data.</t>
  </si>
  <si>
    <t>4.8.1.1.2</t>
  </si>
  <si>
    <t>System shall allow maintain spare parts, calibration and maintenance.</t>
  </si>
  <si>
    <t>4.8.1.2</t>
    <phoneticPr fontId="20" type="noConversion"/>
  </si>
  <si>
    <t>Instrument calibration and maintenance scheduler. A module to maintain calibration schedules and maintenance schedule and providing warning messages. Use instrument calibration module.</t>
  </si>
  <si>
    <t>4.8.1.2.1</t>
    <phoneticPr fontId="20" type="noConversion"/>
  </si>
  <si>
    <t>System shall suport calibration and maintenance plan locally.</t>
    <phoneticPr fontId="20" type="noConversion"/>
  </si>
  <si>
    <t>4.8.1.2.2</t>
  </si>
  <si>
    <t>System shall remind user when instrument maintenance expire in folder.</t>
  </si>
  <si>
    <t>4.8.1.2.3</t>
  </si>
  <si>
    <t>Need to check maintenance scheduler is in scope with Neelima.
Henkel:Need the maintainance task to be schedulered, but sending notification to SAP is not in scope.</t>
  </si>
  <si>
    <t>4.8.1.3</t>
    <phoneticPr fontId="20" type="noConversion"/>
  </si>
  <si>
    <t>Instrument history. An instrument history report detailing the failures and calibration / maintenance events for an instrument</t>
    <phoneticPr fontId="20" type="noConversion"/>
  </si>
  <si>
    <t>4.8.1.3.1</t>
    <phoneticPr fontId="20" type="noConversion"/>
  </si>
  <si>
    <t>System shall support to record instrument history , including failures, calibration, maintenance.</t>
  </si>
  <si>
    <t>4.8.1.4</t>
    <phoneticPr fontId="20" type="noConversion"/>
  </si>
  <si>
    <t>When the chemical/instrument is going to be expired, the system shall provide functionality to alert specified user(s) accordingly</t>
  </si>
  <si>
    <t>4.8.1.4.1</t>
    <phoneticPr fontId="20" type="noConversion"/>
  </si>
  <si>
    <t>System shall alert specific user when instrument is about to expire list in folder.</t>
  </si>
  <si>
    <t>配置仪器即将过期文件夹</t>
  </si>
  <si>
    <t>4.8.1.5</t>
    <phoneticPr fontId="20" type="noConversion"/>
  </si>
  <si>
    <t>Result entry can be blocked for users that do not comply with the  user testing skill requirements, QCLaD should has capability to check user’s testing skill from Henkel skill matrix tool if Henkel site use the tool</t>
    <phoneticPr fontId="20" type="noConversion"/>
  </si>
  <si>
    <t>4.8.1.5.1</t>
    <phoneticPr fontId="20" type="noConversion"/>
  </si>
  <si>
    <t>System shall only allow tests assign to qualified users.</t>
  </si>
  <si>
    <t>4.8.1.5.2</t>
    <phoneticPr fontId="20" type="noConversion"/>
  </si>
  <si>
    <t>System shall sync user’s testing skill from Henkel skill matrix tool.</t>
    <phoneticPr fontId="20" type="noConversion"/>
  </si>
  <si>
    <t>4.8.1.6</t>
    <phoneticPr fontId="20" type="noConversion"/>
  </si>
  <si>
    <t>The system shall provide a way to alert the system defined users when the chemicals or instruments used for the test is/are expired
Exception for expired calibration/maintenance can be managed by NCMR, enter NCMR number can continue use the instrument.</t>
  </si>
  <si>
    <t>4.8.1.6.1</t>
    <phoneticPr fontId="20" type="noConversion"/>
  </si>
  <si>
    <t>System shall alert specific user when chemicals or instruments is/are expired list in folder.</t>
  </si>
  <si>
    <t>配置库存即将过期文件夹</t>
  </si>
  <si>
    <t>4.8.1.6.2</t>
  </si>
  <si>
    <t>System shall allow specific user to active expired instrument.</t>
  </si>
  <si>
    <t>4.8.1.6.3</t>
  </si>
  <si>
    <t>Henkel need to check NCMR number is not require for instrument 
Henkel: NCMR is not required.</t>
    <phoneticPr fontId="20" type="noConversion"/>
  </si>
  <si>
    <t>4.8.1.7</t>
    <phoneticPr fontId="20" type="noConversion"/>
  </si>
  <si>
    <t>The system shall have capability to maintain master data for consumable, spare parts, equipment, etc.</t>
  </si>
  <si>
    <t>4.8.1.7.1</t>
    <phoneticPr fontId="20" type="noConversion"/>
  </si>
  <si>
    <t>System shall have capability to maintain master data for consumable, spare parts, equipment.</t>
  </si>
  <si>
    <t>4.8.2.1</t>
    <phoneticPr fontId="20" type="noConversion"/>
  </si>
  <si>
    <t>Personnel</t>
    <phoneticPr fontId="20" type="noConversion"/>
  </si>
  <si>
    <t>Configure roles so that Administrator has control of user accounts / roles etc. Lab super user(s) control lab static data…</t>
    <phoneticPr fontId="20" type="noConversion"/>
  </si>
  <si>
    <t>4.8.2.1.1</t>
    <phoneticPr fontId="20" type="noConversion"/>
  </si>
  <si>
    <t>System shall allow specific user to maintain user accounts, roles and groups.</t>
  </si>
  <si>
    <t>4.8.2.1.2</t>
  </si>
  <si>
    <t>System shall allow specific user to maintain lab static data.</t>
  </si>
  <si>
    <t>4.8.2.2</t>
    <phoneticPr fontId="20" type="noConversion"/>
  </si>
  <si>
    <t>The system shall be configurable to allow the group of users to access to data only under his groups.</t>
  </si>
  <si>
    <t>4.8.2.2.1</t>
    <phoneticPr fontId="20" type="noConversion"/>
  </si>
  <si>
    <t>System shall allow the group of users to access to data only under his groups.</t>
    <phoneticPr fontId="20" type="noConversion"/>
  </si>
  <si>
    <t>4.8.2.2.2</t>
    <phoneticPr fontId="20" type="noConversion"/>
  </si>
  <si>
    <t>System shall support to configure user's group.</t>
    <phoneticPr fontId="20" type="noConversion"/>
  </si>
  <si>
    <t>4.8.2.3</t>
    <phoneticPr fontId="20" type="noConversion"/>
  </si>
  <si>
    <t>The system shall provide a way to manage QC technician testing skill against analysis, instrument and preparation including, testing result and testing skill expiry date. This should be based Henkel’s Skill matrix module</t>
  </si>
  <si>
    <t>4.8.2.3.1</t>
    <phoneticPr fontId="20" type="noConversion"/>
  </si>
  <si>
    <t>System shall support to manage user's training skill by analysis or instrument.</t>
  </si>
  <si>
    <t>配置training功能，适配OSDP接口</t>
  </si>
  <si>
    <t>4.8.2.3.2</t>
    <phoneticPr fontId="20" type="noConversion"/>
  </si>
  <si>
    <t>4.8.2.3.3</t>
  </si>
  <si>
    <t>skill expiry date out of scope in qclad?
Henkel: Out of scope</t>
    <phoneticPr fontId="20" type="noConversion"/>
  </si>
  <si>
    <t>4.8.3.1</t>
    <phoneticPr fontId="20" type="noConversion"/>
  </si>
  <si>
    <t>SOP</t>
    <phoneticPr fontId="20" type="noConversion"/>
  </si>
  <si>
    <t>The system shall build a SOP library including description, method version, method ID and other fields. SOP’s shall have version control.</t>
  </si>
  <si>
    <t>4.8.3.1.1</t>
    <phoneticPr fontId="20" type="noConversion"/>
  </si>
  <si>
    <t>System shall support to maintain LES method, including description, method version, method ID.</t>
  </si>
  <si>
    <t>4.8.3.1.2</t>
    <phoneticPr fontId="20" type="noConversion"/>
  </si>
  <si>
    <t>System shall support version control for LES methods.</t>
    <phoneticPr fontId="20" type="noConversion"/>
  </si>
  <si>
    <t>4.8.3.1.3</t>
  </si>
  <si>
    <t>Henkel need to list other fields.
Henkel: TF decide the fields required.</t>
  </si>
  <si>
    <t>4.8.3.2</t>
    <phoneticPr fontId="20" type="noConversion"/>
  </si>
  <si>
    <t>The system shall have the ability to hold and generate custom calculations</t>
  </si>
  <si>
    <t>4.8.3.2.1</t>
    <phoneticPr fontId="20" type="noConversion"/>
  </si>
  <si>
    <t>System shall be able to maintain custom calculations.</t>
  </si>
  <si>
    <t>配置计算公式</t>
  </si>
  <si>
    <t>4.8.3.3</t>
    <phoneticPr fontId="20" type="noConversion"/>
  </si>
  <si>
    <t>SOP should have an approval process and only one version should be active</t>
  </si>
  <si>
    <t>4.8.3.3.1</t>
    <phoneticPr fontId="20" type="noConversion"/>
  </si>
  <si>
    <t>System shall support to upgrade version after approval.</t>
    <phoneticPr fontId="20" type="noConversion"/>
  </si>
  <si>
    <t>4.8.3.3.2</t>
  </si>
  <si>
    <t>System shall have only one version active.</t>
  </si>
  <si>
    <t>4.8.4.1</t>
    <phoneticPr fontId="20" type="noConversion"/>
  </si>
  <si>
    <t xml:space="preserve">Support for multi-level Product Specifications, which must align with product SAP setting </t>
    <phoneticPr fontId="20" type="noConversion"/>
  </si>
  <si>
    <t>4.8.4.1.1</t>
  </si>
  <si>
    <t>System shall support for multi-level Product Specifications.</t>
  </si>
  <si>
    <t>4.8.4.2</t>
    <phoneticPr fontId="20" type="noConversion"/>
  </si>
  <si>
    <t>For non-standard testing, Version controlled Product Specifications that require approval before activation.</t>
    <phoneticPr fontId="20" type="noConversion"/>
  </si>
  <si>
    <t>4.8.4.2.1</t>
    <phoneticPr fontId="20" type="noConversion"/>
  </si>
  <si>
    <t>System shall support to add approval plan for non-standard testing MLP, which requires approval before activation.</t>
  </si>
  <si>
    <t>配置审批流</t>
  </si>
  <si>
    <t>4.8.5.1</t>
    <phoneticPr fontId="20" type="noConversion"/>
  </si>
  <si>
    <t>Includes information about its characteristics (labels, location, available amount, etc), ordering (supplier, expiry warning, minimum quantity (safety stock) alert, etc), inventory, parameters for use in calculations, etc.
Stock in QCLaD, including retain samples, consumables, standards, reagents, instruments, spare parts, etc.
The system shall have capability to set and configurate minimum quantity (safety stock).</t>
  </si>
  <si>
    <t>4.8.5.1.1</t>
    <phoneticPr fontId="20" type="noConversion"/>
  </si>
  <si>
    <t>System shall support stock mangement to maintain informations including characteristics (labels, location, available amount), ordering (supplier, expiry warning, minimum quantity (safety stock) alert), inventory, parameters for use in calculations.</t>
  </si>
  <si>
    <t>配置字段，加到form里</t>
  </si>
  <si>
    <t>4.8.5.1.2</t>
  </si>
  <si>
    <t>System shall support stock mangement to maintain stock type including retain samples, consumables, standards, reagents, instruments, spare parts.</t>
    <phoneticPr fontId="20" type="noConversion"/>
  </si>
  <si>
    <t>4.8.5.1.3</t>
  </si>
  <si>
    <t>what parameters do we need ro use in calculations? Need to check with Henkel team.
HENKEL:The same as 4.8.5.4.</t>
    <phoneticPr fontId="20" type="noConversion"/>
  </si>
  <si>
    <t>4.8.5.1.4</t>
  </si>
  <si>
    <t>System shall be able to set and configurate minimum quantity in stock mangement.</t>
  </si>
  <si>
    <t>4.8.5.1.6</t>
  </si>
  <si>
    <t>System shall support to print stock label.</t>
  </si>
  <si>
    <t>System shall automatically deduct the stock quantity when consumption.</t>
  </si>
  <si>
    <t>标准功能，如果扫码消耗库存，得开发；如果是原生操作就是标准的</t>
  </si>
  <si>
    <t>4.8.5.2</t>
    <phoneticPr fontId="20" type="noConversion"/>
  </si>
  <si>
    <t>The system shall provide a way to track the reference materials used (reference materials and stock solutions) to perform the test(s) on sample(s) through the use of barcoding system.</t>
  </si>
  <si>
    <t>4.8.5.2.1</t>
    <phoneticPr fontId="20" type="noConversion"/>
  </si>
  <si>
    <t>System shall allow user to record the reference materials used (reference materials and stock solutions) when performing the tests through barcode.</t>
  </si>
  <si>
    <t>添加字段信息，扫码功能可能需要开发</t>
  </si>
  <si>
    <t>4.8.5.3</t>
    <phoneticPr fontId="20" type="noConversion"/>
  </si>
  <si>
    <t xml:space="preserve">The system shall provide a way of tracking the storage location of samples stored in QC by providing material, batch information.  </t>
  </si>
  <si>
    <t>Retain</t>
  </si>
  <si>
    <t>4.8.5.3.1</t>
    <phoneticPr fontId="20" type="noConversion"/>
  </si>
  <si>
    <t>System shall allow user to record and retrieve the storage location of samples stored in QC by providing material, batch information.</t>
  </si>
  <si>
    <t>4.8.5.4</t>
    <phoneticPr fontId="20" type="noConversion"/>
  </si>
  <si>
    <t>The system shall provide a way for users to record the preparation of stock solutions from one (1) or more than one (1) consumable materials within the inventory. These prepared stock solutions will also be uniquely identified by the system and given an expiry date.</t>
  </si>
  <si>
    <t>4.8.5.4.1</t>
    <phoneticPr fontId="20" type="noConversion"/>
  </si>
  <si>
    <t>System shall allow users to prepare stock solutions from one or more consumable materials within the inventory in LES and automatically deduct the consumption and generate a label.</t>
  </si>
  <si>
    <t>配置溶液配制LES</t>
  </si>
  <si>
    <t>4.8.5.4.2</t>
  </si>
  <si>
    <t>System shall be able to maintain an expiry date and uniquely identify for prepared stock solutions.</t>
  </si>
  <si>
    <t>LES配置</t>
  </si>
  <si>
    <t>4.8.5.4.3</t>
  </si>
  <si>
    <t>What's meaning of the stock solutions? 
Henkel: System shall automatically deduct the consumption and generate a label clarify expiration date for the new reagent and also be shown in stock inventory.</t>
  </si>
  <si>
    <t>4.8.5.5</t>
    <phoneticPr fontId="20" type="noConversion"/>
  </si>
  <si>
    <t>The system shall provide a way to maintain and view the expiry date record of each consumable material </t>
  </si>
  <si>
    <t>4.8.5.5.1</t>
    <phoneticPr fontId="20" type="noConversion"/>
  </si>
  <si>
    <t>System shall be able to maintain the expiry date field of stock.</t>
  </si>
  <si>
    <t>4.8.5.5.2</t>
  </si>
  <si>
    <t>System shall be able to display the expiry date field of stock in folder.</t>
  </si>
  <si>
    <t>4.8.5.6</t>
  </si>
  <si>
    <t>Warning for expiry and near to the minimum storage level</t>
  </si>
  <si>
    <t>4.8.5.6.1</t>
    <phoneticPr fontId="20" type="noConversion"/>
  </si>
  <si>
    <t>System shall be able to warining for expiry stock in folder.</t>
  </si>
  <si>
    <t>4.8.5.6.2</t>
  </si>
  <si>
    <t>System shall be able to warining for Low amount storage in folder.</t>
  </si>
  <si>
    <t>System shall be able to warining for Exceed amount storage in folder.</t>
    <phoneticPr fontId="20" type="noConversion"/>
  </si>
  <si>
    <t>4.8.5.6.4</t>
  </si>
  <si>
    <t>Noted: dragon need maximum amount reminder
HENKEL:Reminder for minimum and maximum stock based on the master data.
TF added in rtm</t>
    <phoneticPr fontId="20" type="noConversion"/>
  </si>
  <si>
    <t>4.8.5.7</t>
    <phoneticPr fontId="20" type="noConversion"/>
  </si>
  <si>
    <t>The system shall provide a way to automatically assign the validation of chemical reference standards/instrument maintenance task to specified user(s).</t>
  </si>
  <si>
    <t>4.8.5.7.1</t>
    <phoneticPr fontId="20" type="noConversion"/>
  </si>
  <si>
    <t>Is instrument maintenance out of scope ?
Henkel:The same as 4.8.1.2.This one should be in scope.</t>
    <phoneticPr fontId="20" type="noConversion"/>
  </si>
  <si>
    <t>4.8.5.7.2</t>
  </si>
  <si>
    <t>System shall create LES tasks for solution preparations automatically when stock is below safety stock or about to expire.</t>
  </si>
  <si>
    <t>配置LES</t>
  </si>
  <si>
    <t>4.8.5.7.3</t>
  </si>
  <si>
    <t>System shall create LES tasks for instrument maintenance automatically when maintenance date arrives.</t>
  </si>
  <si>
    <t>4.8.5.7.4</t>
  </si>
  <si>
    <t>System shall automatically assign the solution preparation LES tasks to specific user.</t>
  </si>
  <si>
    <t>4.8.5.7.5</t>
  </si>
  <si>
    <t>System shall automatically assign the instrument maintenance LES tasks to specific user.</t>
  </si>
  <si>
    <t>4.8.5.7.6</t>
  </si>
  <si>
    <t>automatically assign rule, validation workflow</t>
    <phoneticPr fontId="20" type="noConversion"/>
  </si>
  <si>
    <t>4.8.5.8</t>
    <phoneticPr fontId="20" type="noConversion"/>
  </si>
  <si>
    <t xml:space="preserve">Includes handling and storage precautions, security data, associated hazards and risks and GHS requirement. </t>
    <phoneticPr fontId="20" type="noConversion"/>
  </si>
  <si>
    <t>4.8.5.8.1</t>
    <phoneticPr fontId="20" type="noConversion"/>
  </si>
  <si>
    <t>System shall support to maintain stock information , including handling and storage precautions, security data, associated hazards and risks and GHS requirement.</t>
  </si>
  <si>
    <t>4.8.5.8.2</t>
  </si>
  <si>
    <t xml:space="preserve">System shall sync GHS information form SAP to substance in QCLAD.
Refer to 4.5.1.5 </t>
  </si>
  <si>
    <t>4.9.1</t>
    <phoneticPr fontId="20" type="noConversion"/>
  </si>
  <si>
    <r>
      <t xml:space="preserve">Security, including audit trails, group and functional security management facilities, password protection of all login accounts. For Electronic Signature support, password checking is required when creating, modifying or </t>
    </r>
    <r>
      <rPr>
        <b/>
        <sz val="11"/>
        <color rgb="FFFF0000"/>
        <rFont val="Calibri Light"/>
        <family val="1"/>
        <scheme val="major"/>
      </rPr>
      <t>delet</t>
    </r>
    <r>
      <rPr>
        <b/>
        <sz val="11"/>
        <rFont val="Calibri Light"/>
        <family val="1"/>
        <scheme val="major"/>
      </rPr>
      <t>ing electronic records.</t>
    </r>
  </si>
  <si>
    <t>4.9.1.1</t>
    <phoneticPr fontId="20" type="noConversion"/>
  </si>
  <si>
    <t>System shall support function for security, including audit trails, group and  security management, password protection of all login accounts.</t>
    <phoneticPr fontId="20" type="noConversion"/>
  </si>
  <si>
    <t>4.9.1.2</t>
  </si>
  <si>
    <t>MARK</t>
  </si>
  <si>
    <t>System shall support electronic signature, password checking is required when creating, modifying or removing electronic records.（系统支持在创建、修改、移除记录时触发电子签名并输入密码）</t>
  </si>
  <si>
    <t>4.9.2</t>
  </si>
  <si>
    <t>The system shall provide multi layered security allowing different user profiles and access privileges. The related access rights to be configured according to the role performed (e.g. system administrator, system user).  Individual users may be assigned one or more profiles or individual access rights.</t>
    <phoneticPr fontId="20" type="noConversion"/>
  </si>
  <si>
    <t>4.9.2.1</t>
    <phoneticPr fontId="20" type="noConversion"/>
  </si>
  <si>
    <t>System shall support to configure multiple roles for user to manage permission to profiles and access privileges.(一个人可以有多个角色）</t>
  </si>
  <si>
    <t>4.9.2.2</t>
  </si>
  <si>
    <t xml:space="preserve">System shall support to maintain different roles. </t>
    <phoneticPr fontId="20" type="noConversion"/>
  </si>
  <si>
    <t>4.9.3</t>
  </si>
  <si>
    <t>The system shall provide tools to configure access controls at a dataset level or data group level, to restrict viewing and retrieval access to certain individuals or groups</t>
  </si>
  <si>
    <t>4.9.3.1</t>
    <phoneticPr fontId="20" type="noConversion"/>
  </si>
  <si>
    <t>System shall support configure access controls using role and master menu.(系统通过角色和菜单按钮控制可见权限）</t>
  </si>
  <si>
    <t>4.9.4</t>
  </si>
  <si>
    <t>The system must provide unique ID and password authentication processes to confirm and provide traceability to the identity of users. The password must be encrypted or obscured when displayed on screen. This is applicable only for non SSO users</t>
    <phoneticPr fontId="20" type="noConversion"/>
  </si>
  <si>
    <t>4.9.4.1</t>
    <phoneticPr fontId="20" type="noConversion"/>
  </si>
  <si>
    <t>System shall support maintain user account id and password. User id shall be unique.（一个人必须有一个唯一的账号，且有密码）</t>
  </si>
  <si>
    <t>4.9.4.2</t>
  </si>
  <si>
    <t>System  shall encrypt or obscured password when displayed on screen.（密码是加密的）</t>
  </si>
  <si>
    <t>4.9.5</t>
  </si>
  <si>
    <r>
      <t xml:space="preserve">Single Sign On has to be integrated and used for all users with </t>
    </r>
    <r>
      <rPr>
        <b/>
        <sz val="11"/>
        <color rgb="FFFF0000"/>
        <rFont val="Calibri Light"/>
        <family val="1"/>
        <scheme val="major"/>
      </rPr>
      <t>Henkel user ids</t>
    </r>
    <r>
      <rPr>
        <b/>
        <sz val="11"/>
        <rFont val="Calibri Light"/>
        <family val="1"/>
        <scheme val="major"/>
      </rPr>
      <t xml:space="preserve">. For Henkel operators, they will be accessing application through iPAD with application credentials and password as defined in the above. </t>
    </r>
  </si>
  <si>
    <t>4.9.5.1</t>
  </si>
  <si>
    <t xml:space="preserve">System shall support single sign on for all users.
</t>
  </si>
  <si>
    <t>4.9.5.2</t>
  </si>
  <si>
    <t>Henkel user id是想用windows汉高的密码直接登录QCLAD吗？
Henkel: Only for white collar is possible.For blue collar, they need user ID and password for QCLaD</t>
  </si>
  <si>
    <t>4.9.5.3</t>
  </si>
  <si>
    <t>System shall allow user to login through iPad with user id and password.</t>
  </si>
  <si>
    <t>4.9.5.4</t>
  </si>
  <si>
    <t>System shall be able to limit user to login QCLAD using one account for one device or cilent at one time.</t>
  </si>
  <si>
    <t>4.9.5.5</t>
  </si>
  <si>
    <t>HENKEL: one account login to system in multiple devices at same time may required . Need further discuss internally  （待确认一个账户是否要能同时登录多设备）
Henkel:One account for one device or cilent at one time.</t>
  </si>
  <si>
    <t>4.9.6</t>
  </si>
  <si>
    <t>User accounts must be suspended after a configurable number of consecutive unsuccessful attempts to enter a password into the QCLAD system until a Security Administrator resets the password</t>
  </si>
  <si>
    <t>4.9.6.1</t>
    <phoneticPr fontId="20" type="noConversion"/>
  </si>
  <si>
    <t>System shall be able to freeze user's account after configurable login failure attempts. (多次输错密码冻结账户）</t>
  </si>
  <si>
    <t>4.9.6.2</t>
  </si>
  <si>
    <t>System shall allow specific user to unlock the account or reset the password.（管理员能够解锁和重置密码）</t>
  </si>
  <si>
    <t>4.9.7</t>
  </si>
  <si>
    <t>The system shall provide Administrator level account holders with the ability to terminate a user session on the system</t>
  </si>
  <si>
    <t>4.9.7.1</t>
    <phoneticPr fontId="20" type="noConversion"/>
  </si>
  <si>
    <t>System shall support system Administrator to terminate a user session on the system.(管理员终止用户进程）</t>
    <phoneticPr fontId="20" type="noConversion"/>
  </si>
  <si>
    <t>PT功能</t>
  </si>
  <si>
    <t>4.9.8</t>
  </si>
  <si>
    <t xml:space="preserve">The system shall provide global admin/user, regional admin/user and site admin/user roles. Each plant should work independently, and their activities, capabilities based on the plant level. </t>
    <phoneticPr fontId="20" type="noConversion"/>
  </si>
  <si>
    <t>4.9.8.1</t>
    <phoneticPr fontId="20" type="noConversion"/>
  </si>
  <si>
    <t>System shall support maintain global admin/user role.</t>
  </si>
  <si>
    <t>4.9.8.2</t>
  </si>
  <si>
    <t>System shall support maintain regional admin/user role.</t>
  </si>
  <si>
    <t>4.9.8.3</t>
  </si>
  <si>
    <t>System shall support maintain site admin/user role.</t>
  </si>
  <si>
    <t>4.9.8.4</t>
  </si>
  <si>
    <t>System shall support to work independently, perform activities, capabilities at plant level.</t>
  </si>
  <si>
    <t>4.9.8.5</t>
  </si>
  <si>
    <t>1、TF Give an example of Site permissions division
2、Henkel Provide a list of permissions for a role, such as the permissions and scope of data that the role needs to view/modify;
1、TF 给个Site权限划分的example
2、Henkel 提供角色的权限清单，例如该角色需要查看/修改数据的权限和范围；</t>
  </si>
  <si>
    <t>4.10.1</t>
    <phoneticPr fontId="20" type="noConversion"/>
  </si>
  <si>
    <t>Project management</t>
    <phoneticPr fontId="20" type="noConversion"/>
  </si>
  <si>
    <t>•	Responsible for project management for all in scope work including qualified project team set up, project schedule, timeline, milestone, deliverables, implementation, cooperation with HENKEL and relevant contractors, etc.
•	Roles and responsibilities of different parties
•	Expectations from Henkel has to be defined, documented after agreement between both parties
•	Requirements to be signed off between both parties
•	Escalation rule should be clearly defined for global scope. 
•	All communication to plant team strictly with the core team members knowledge. Any other communication without involving core team leads, will not be considered legitimate. 
•	Dragon pilot and global roll out should be managed by same global team with their regional/country counterparts.</t>
    <phoneticPr fontId="20" type="noConversion"/>
  </si>
  <si>
    <t>Business Proc Only</t>
  </si>
  <si>
    <t>4.10.1.1</t>
    <phoneticPr fontId="20" type="noConversion"/>
  </si>
  <si>
    <t>4.10.2</t>
    <phoneticPr fontId="20" type="noConversion"/>
  </si>
  <si>
    <t>Implementation</t>
    <phoneticPr fontId="20" type="noConversion"/>
  </si>
  <si>
    <t xml:space="preserve">•	Cooperate with HENKEL to analyse, implement and customize the system for HENKEL
•	Software installation and hardware landscape establishment
•	Implementation and delivery of a system that fully integrated with Henkel Systems
•	Assisting HENKEL to establish solution and support technical issue &amp; final configuration, also assisting to establish testing scenarios and user acceptance test
•	Remedy test problems
•	Implementation of necessary program changing to fit for purpose work processes and Henkel QCLAD template
•	System vendor should recommend required hardware type and brand to Henkel based on Henkel local site condition  </t>
    <phoneticPr fontId="20" type="noConversion"/>
  </si>
  <si>
    <t>4.10.2.1</t>
    <phoneticPr fontId="20" type="noConversion"/>
  </si>
  <si>
    <t>4.10.3.1</t>
    <phoneticPr fontId="20" type="noConversion"/>
  </si>
  <si>
    <t>Training</t>
    <phoneticPr fontId="20" type="noConversion"/>
  </si>
  <si>
    <t>•	Initial training to key users for pre-project preparations with a set of training materials</t>
    <phoneticPr fontId="20" type="noConversion"/>
  </si>
  <si>
    <t>4.10.3.1.1</t>
    <phoneticPr fontId="20" type="noConversion"/>
  </si>
  <si>
    <t>4.10.3.2</t>
    <phoneticPr fontId="20" type="noConversion"/>
  </si>
  <si>
    <t xml:space="preserve">•	Training language should be available in English or user preferred local language based on the language preference of the plant to be rolled out. </t>
    <phoneticPr fontId="20" type="noConversion"/>
  </si>
  <si>
    <t>4.10.3.2.1</t>
    <phoneticPr fontId="20" type="noConversion"/>
  </si>
  <si>
    <t>4.10.4</t>
    <phoneticPr fontId="20" type="noConversion"/>
  </si>
  <si>
    <t>License</t>
    <phoneticPr fontId="20" type="noConversion"/>
  </si>
  <si>
    <t>•	Providing all necessary software licenses
•	Software license purchased by each party has to be well defined</t>
    <phoneticPr fontId="20" type="noConversion"/>
  </si>
  <si>
    <t>4.10.4.1</t>
    <phoneticPr fontId="20" type="noConversion"/>
  </si>
  <si>
    <t>4.10.5</t>
    <phoneticPr fontId="20" type="noConversion"/>
  </si>
  <si>
    <t>Post support/Hypercare</t>
    <phoneticPr fontId="20" type="noConversion"/>
  </si>
  <si>
    <t>•	Providing support which detail SLA specified in MA contract
•	Providing post go-live maintenance and support
•	Roles and responsibilities of different parties during post Go live, roll out and maintenance. 
•	Hypercare should be conducted after system go live, system vendor should be support 60 man days to make the system running smoothly at Henkel lobal sites.</t>
    <phoneticPr fontId="20" type="noConversion"/>
  </si>
  <si>
    <t>4.10.5.1</t>
    <phoneticPr fontId="20" type="noConversion"/>
  </si>
  <si>
    <t>4.10.6</t>
    <phoneticPr fontId="20" type="noConversion"/>
  </si>
  <si>
    <t>Project documents</t>
    <phoneticPr fontId="20" type="noConversion"/>
  </si>
  <si>
    <t>•	Providing all relevant documentations with document categorise detailed
•	Provide system user manual in English and Henkel site local language</t>
    <phoneticPr fontId="20" type="noConversion"/>
  </si>
  <si>
    <t>4.10.6.1</t>
    <phoneticPr fontId="20" type="noConversion"/>
  </si>
  <si>
    <t>Module</t>
    <phoneticPr fontId="2" type="noConversion"/>
  </si>
  <si>
    <t>当库存低于安全库存或即将过期时，系统将自动创建溶液配制 LES 任务。</t>
  </si>
  <si>
    <t>系统将自动为特定用户分配溶液配制 LES 任务。</t>
  </si>
  <si>
    <t>系统应能记录测试级别下的标准周期时间和实际周期时间。</t>
  </si>
  <si>
    <t>系统应支持多种语言。(龙试验阶段将使用中文和英文）。</t>
  </si>
  <si>
    <t>系统应能为每次测试指定一名操作员。</t>
    <phoneticPr fontId="2" type="noConversion"/>
  </si>
  <si>
    <t>系统应支持多种语言。(龙试验阶段将使用中文和英文）</t>
  </si>
  <si>
    <t>创建sample</t>
    <phoneticPr fontId="2" type="noConversion"/>
  </si>
  <si>
    <r>
      <t>系统应在报告中包括样品类型，详细的样品类型参见</t>
    </r>
    <r>
      <rPr>
        <sz val="11"/>
        <color theme="1"/>
        <rFont val="Cambria"/>
        <family val="1"/>
      </rPr>
      <t xml:space="preserve"> RTM 4.5.1 </t>
    </r>
    <r>
      <rPr>
        <sz val="11"/>
        <color theme="1"/>
        <rFont val="DengXian"/>
        <charset val="134"/>
      </rPr>
      <t>项。</t>
    </r>
    <phoneticPr fontId="2" type="noConversion"/>
  </si>
  <si>
    <t>系统应提供仪表盘</t>
  </si>
  <si>
    <t>无法评估</t>
    <phoneticPr fontId="2" type="noConversion"/>
  </si>
  <si>
    <t>系统应通过报告显示特定时间段的库存状况和安全库存状况（低于最低库存和高于最高库存）。</t>
  </si>
  <si>
    <t>加20%</t>
    <phoneticPr fontId="2" type="noConversion"/>
  </si>
  <si>
    <t>48+5=53</t>
    <phoneticPr fontId="2" type="noConversion"/>
  </si>
  <si>
    <t>30+5=35</t>
    <phoneticPr fontId="2" type="noConversion"/>
  </si>
  <si>
    <t>开发加需求详细讨论，加测试，加实施</t>
    <phoneticPr fontId="2" type="noConversion"/>
  </si>
  <si>
    <t>20+3=23</t>
    <phoneticPr fontId="2" type="noConversion"/>
  </si>
  <si>
    <t>42+8=50</t>
    <phoneticPr fontId="2" type="noConversion"/>
  </si>
  <si>
    <t>6+3=9</t>
    <phoneticPr fontId="2" type="noConversion"/>
  </si>
  <si>
    <t>14+2=16</t>
    <phoneticPr fontId="2" type="noConversion"/>
  </si>
  <si>
    <r>
      <t xml:space="preserve">System shall support download </t>
    </r>
    <r>
      <rPr>
        <sz val="11"/>
        <color rgb="FFFF0000"/>
        <rFont val="Calibri Light"/>
        <charset val="134"/>
        <scheme val="major"/>
      </rPr>
      <t>Batch information</t>
    </r>
    <r>
      <rPr>
        <sz val="11"/>
        <rFont val="Calibri Light"/>
        <family val="1"/>
        <scheme val="major"/>
      </rPr>
      <t xml:space="preserve"> from SAP to QCLAD.</t>
    </r>
    <phoneticPr fontId="20" type="noConversion"/>
  </si>
  <si>
    <r>
      <rPr>
        <sz val="11"/>
        <color rgb="FF000000"/>
        <rFont val="Calibri Light"/>
        <family val="1"/>
        <scheme val="major"/>
      </rPr>
      <t xml:space="preserve">System shall support download </t>
    </r>
    <r>
      <rPr>
        <sz val="11"/>
        <color rgb="FFFF0000"/>
        <rFont val="Calibri Light"/>
        <family val="1"/>
        <scheme val="major"/>
      </rPr>
      <t xml:space="preserve">MIC </t>
    </r>
    <r>
      <rPr>
        <sz val="11"/>
        <color rgb="FF000000"/>
        <rFont val="Calibri Light"/>
        <family val="1"/>
        <scheme val="major"/>
      </rPr>
      <t xml:space="preserve">from SAP to QCLAD. </t>
    </r>
    <phoneticPr fontId="20" type="noConversion"/>
  </si>
  <si>
    <r>
      <rPr>
        <sz val="11"/>
        <color rgb="FF000000"/>
        <rFont val="Calibri Light"/>
        <family val="1"/>
        <scheme val="major"/>
      </rPr>
      <t>System shall support download</t>
    </r>
    <r>
      <rPr>
        <sz val="11"/>
        <color rgb="FFFF0000"/>
        <rFont val="Calibri Light"/>
        <family val="1"/>
        <scheme val="major"/>
      </rPr>
      <t xml:space="preserve"> specification</t>
    </r>
    <r>
      <rPr>
        <sz val="11"/>
        <color rgb="FF000000"/>
        <rFont val="Calibri Light"/>
        <family val="1"/>
        <scheme val="major"/>
      </rPr>
      <t xml:space="preserve"> from SAP to QCLAD. </t>
    </r>
    <phoneticPr fontId="20" type="noConversion"/>
  </si>
  <si>
    <r>
      <rPr>
        <sz val="11"/>
        <color rgb="FF000000"/>
        <rFont val="Calibri Light"/>
        <family val="1"/>
        <scheme val="major"/>
      </rPr>
      <t xml:space="preserve">System shall support download </t>
    </r>
    <r>
      <rPr>
        <sz val="11"/>
        <color rgb="FFFF0000"/>
        <rFont val="Calibri Light"/>
        <family val="1"/>
        <scheme val="major"/>
      </rPr>
      <t>Material master data</t>
    </r>
    <r>
      <rPr>
        <sz val="11"/>
        <color rgb="FF000000"/>
        <rFont val="Calibri Light"/>
        <family val="1"/>
        <scheme val="major"/>
      </rPr>
      <t xml:space="preserve"> from SAP to QCLAD. </t>
    </r>
    <phoneticPr fontId="20" type="noConversion"/>
  </si>
  <si>
    <r>
      <rPr>
        <sz val="11"/>
        <color rgb="FF000000"/>
        <rFont val="Calibri Light"/>
        <family val="1"/>
        <scheme val="major"/>
      </rPr>
      <t xml:space="preserve">System shall support download </t>
    </r>
    <r>
      <rPr>
        <sz val="11"/>
        <color rgb="FFFF0000"/>
        <rFont val="Calibri Light"/>
        <family val="1"/>
        <scheme val="major"/>
      </rPr>
      <t>G</t>
    </r>
    <r>
      <rPr>
        <sz val="11"/>
        <color rgb="FFFF0000"/>
        <rFont val="Calibri Light"/>
        <charset val="134"/>
        <scheme val="major"/>
      </rPr>
      <t>HS info</t>
    </r>
    <r>
      <rPr>
        <sz val="11"/>
        <color rgb="FF000000"/>
        <rFont val="Calibri Light"/>
        <family val="1"/>
        <scheme val="major"/>
      </rPr>
      <t xml:space="preserve"> from SAP to QCLAD. 
Refer to 4.8.5.8.2 </t>
    </r>
    <phoneticPr fontId="20" type="noConversion"/>
  </si>
  <si>
    <r>
      <rPr>
        <sz val="11"/>
        <color rgb="FF000000"/>
        <rFont val="Calibri Light"/>
        <family val="1"/>
        <scheme val="major"/>
      </rPr>
      <t xml:space="preserve">System shall support download </t>
    </r>
    <r>
      <rPr>
        <sz val="11"/>
        <color rgb="FFFF0000"/>
        <rFont val="Calibri Light"/>
        <family val="1"/>
        <scheme val="major"/>
      </rPr>
      <t>Plant Code</t>
    </r>
    <r>
      <rPr>
        <sz val="11"/>
        <color rgb="FF000000"/>
        <rFont val="Calibri Light"/>
        <family val="1"/>
        <scheme val="major"/>
      </rPr>
      <t xml:space="preserve"> from SAP to QCLAD. </t>
    </r>
    <phoneticPr fontId="20" type="noConversion"/>
  </si>
  <si>
    <r>
      <t xml:space="preserve">System shall support download </t>
    </r>
    <r>
      <rPr>
        <sz val="11"/>
        <color rgb="FFFF0000"/>
        <rFont val="Calibri Light"/>
        <charset val="134"/>
        <scheme val="major"/>
      </rPr>
      <t>QM notification</t>
    </r>
    <r>
      <rPr>
        <sz val="11"/>
        <rFont val="Calibri Light"/>
        <family val="1"/>
        <scheme val="major"/>
      </rPr>
      <t xml:space="preserve"> from SAP to QCLAD. </t>
    </r>
    <phoneticPr fontId="20" type="noConversion"/>
  </si>
  <si>
    <t>System shall support to upload result value from QCLAD to SAP.</t>
    <phoneticPr fontId="2" type="noConversion"/>
  </si>
  <si>
    <t>System shall support to upload result value from eCOA to QCLAD.</t>
    <phoneticPr fontId="2" type="noConversion"/>
  </si>
  <si>
    <t>备注</t>
    <phoneticPr fontId="2" type="noConversion"/>
  </si>
  <si>
    <t>回传结果</t>
    <phoneticPr fontId="2" type="noConversion"/>
  </si>
  <si>
    <t>下载结果</t>
    <phoneticPr fontId="2" type="noConversion"/>
  </si>
  <si>
    <t>SMID标准没有batch表，在lot表上有batch编号的字段</t>
    <phoneticPr fontId="2" type="noConversion"/>
  </si>
  <si>
    <r>
      <t xml:space="preserve">一个inspection lot中对应了多个activity（例如一个是IPQC的一个是OQC的），每个activity对应的样品是不一样的，需要做的检测项目也是不一样的,每个样品的标签是MES打印的，QCLAD登录样品（具体做哪个activity下的检查项目）的时候是根据线下实际的样品来决定的；每个activity之间的测试是有强制顺序要求的，例如必须IPQC检查做完后，才会有OQC的样品，才会做OQC的检测.
</t>
    </r>
    <r>
      <rPr>
        <sz val="11"/>
        <color rgb="FFFF0000"/>
        <rFont val="Calibri"/>
        <charset val="134"/>
        <scheme val="minor"/>
      </rPr>
      <t>需要使用Inspection point，按照一个Inspection point 创建一个sample</t>
    </r>
    <phoneticPr fontId="2" type="noConversion"/>
  </si>
  <si>
    <t>SAP那边需要将信息加入QAIVC，QAIMV等实体中
MIC中的修约规则需要额外做映射，</t>
    <phoneticPr fontId="2" type="noConversion"/>
  </si>
  <si>
    <t>该数据与Inspection lot没有关联，是独立于Inspection lot以外的动态数据</t>
    <phoneticPr fontId="2" type="noConversion"/>
  </si>
  <si>
    <t>RTM Num</t>
    <phoneticPr fontId="2" type="noConversion"/>
  </si>
  <si>
    <t>Comments</t>
    <phoneticPr fontId="2" type="noConversion"/>
  </si>
  <si>
    <t>in SAP an inspection lot corresponds to more than one activity (for example, one is IPQC and one is OQC), corresponding to LIMS is more than one sample, each activity corresponds to a different sample, need to do the test items are not the same</t>
    <phoneticPr fontId="2" type="noConversion"/>
  </si>
  <si>
    <t>Need to download the amendment rules</t>
    <phoneticPr fontId="2" type="noConversion"/>
  </si>
  <si>
    <t>Request</t>
    <phoneticPr fontId="2" type="noConversion"/>
  </si>
  <si>
    <t>This data is not associated with the Inspection lot and is dynamic data independent of the Inspection lot.</t>
    <phoneticPr fontId="2" type="noConversion"/>
  </si>
  <si>
    <t>（SMIDI:30+20%buffer）=36+定制开发两个功能点：14=50</t>
    <phoneticPr fontId="2" type="noConversion"/>
  </si>
  <si>
    <t>Phase B</t>
    <phoneticPr fontId="2" type="noConversion"/>
  </si>
  <si>
    <t>1、in SAP an inspection lot corresponds to more than one activity (for example, one is IPQC and one is OQC), corresponding to LIMS is more than one sample, each activity corresponds to a different sample, need to do the test items are not the same
2、JIT(Just In Time)IQC存在先来样品，再有检验批的情况，则需要先在QCLaD中手动登录sample，SAP创建Inspection Lot后，下发LOT时不需要再登录样品了，需要跟QALaD中已经先创建的Sample做上关联，以批号信息做关联查询；
3、SAP中的Inspection plan中对组分有个infofield3的标识（动态数据，同一个MIC下的结果组分在不同的Inspection lot中该字段标识可能不一致），该字段标识需要下载到QCLAD中，如果该标识为COA check则在QCLAD中无需输入结果，QCLAD中需要人员手动强制完成（人员自行判断）</t>
    <phoneticPr fontId="2" type="noConversion"/>
  </si>
  <si>
    <t>一个short text就是一个analysis，一个analysis下一个component，component name为short text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</si>
</sst>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 mmm\ yy"/>
    <numFmt numFmtId="165" formatCode="[$-809]dd\ mmmm\ yyyy;@"/>
  </numFmts>
  <fonts count="49">
    <font>
      <sz val="11"/>
      <color theme="1"/>
      <name val="Calibri"/>
      <family val="2"/>
      <scheme val="minor"/>
    </font>
    <font>
      <sz val="11"/>
      <color theme="1"/>
      <name val="Calibri"/>
      <family val="2"/>
      <scheme val="minor"/>
    </font>
    <font>
      <sz val="9"/>
      <name val="Calibri"/>
      <family val="3"/>
      <charset val="134"/>
      <scheme val="minor"/>
    </font>
    <font>
      <sz val="11"/>
      <name val="Cambria"/>
      <family val="1"/>
    </font>
    <font>
      <sz val="11"/>
      <color rgb="FF000000"/>
      <name val="Cambria"/>
      <family val="1"/>
    </font>
    <font>
      <sz val="11"/>
      <color rgb="FFFF0000"/>
      <name val="Cambria"/>
      <family val="1"/>
    </font>
    <font>
      <b/>
      <sz val="14"/>
      <color theme="1"/>
      <name val="Calibri"/>
      <family val="2"/>
      <scheme val="minor"/>
    </font>
    <font>
      <sz val="11"/>
      <color theme="4" tint="-0.499984740745262"/>
      <name val="Calibri"/>
      <family val="2"/>
      <scheme val="minor"/>
    </font>
    <font>
      <sz val="11"/>
      <color rgb="FFFF0000"/>
      <name val="Calibri"/>
      <family val="2"/>
      <scheme val="minor"/>
    </font>
    <font>
      <b/>
      <sz val="11"/>
      <name val="Cambria"/>
      <family val="1"/>
    </font>
    <font>
      <sz val="11"/>
      <color rgb="FF000000"/>
      <name val="Microsoft YaHei UI"/>
      <family val="1"/>
      <charset val="134"/>
    </font>
    <font>
      <sz val="11"/>
      <color rgb="FF000000"/>
      <name val="Cambria"/>
      <family val="1"/>
      <charset val="134"/>
    </font>
    <font>
      <sz val="11"/>
      <name val="Microsoft YaHei UI"/>
      <family val="1"/>
      <charset val="134"/>
    </font>
    <font>
      <sz val="11"/>
      <name val="Cambria"/>
      <family val="1"/>
      <charset val="134"/>
    </font>
    <font>
      <sz val="11"/>
      <name val="NSimSun"/>
      <family val="3"/>
      <charset val="134"/>
    </font>
    <font>
      <sz val="11"/>
      <color theme="1"/>
      <name val="DengXian"/>
      <charset val="134"/>
    </font>
    <font>
      <sz val="11"/>
      <color theme="1"/>
      <name val="Cambria"/>
      <family val="1"/>
    </font>
    <font>
      <sz val="11"/>
      <color rgb="FF000000"/>
      <name val="DengXian"/>
      <charset val="134"/>
    </font>
    <font>
      <sz val="11"/>
      <color rgb="FFFF0000"/>
      <name val="DengXian"/>
      <charset val="134"/>
    </font>
    <font>
      <sz val="11"/>
      <color rgb="FFFF0000"/>
      <name val="Cambria Math"/>
      <family val="1"/>
    </font>
    <font>
      <sz val="10"/>
      <name val="Arial"/>
      <family val="2"/>
    </font>
    <font>
      <b/>
      <sz val="11"/>
      <color theme="1"/>
      <name val="Calibri"/>
      <charset val="134"/>
      <scheme val="minor"/>
    </font>
    <font>
      <sz val="11"/>
      <color theme="1"/>
      <name val="Calibri Light"/>
      <family val="1"/>
      <scheme val="major"/>
    </font>
    <font>
      <sz val="11"/>
      <color theme="1"/>
      <name val="Calibri Light"/>
      <family val="3"/>
      <charset val="134"/>
      <scheme val="major"/>
    </font>
    <font>
      <sz val="11"/>
      <color rgb="FFFF0000"/>
      <name val="Calibri"/>
      <charset val="134"/>
      <scheme val="minor"/>
    </font>
    <font>
      <sz val="11"/>
      <name val="Calibri Light"/>
      <family val="1"/>
      <scheme val="major"/>
    </font>
    <font>
      <b/>
      <sz val="11"/>
      <name val="Calibri Light"/>
      <family val="1"/>
      <scheme val="major"/>
    </font>
    <font>
      <sz val="11"/>
      <color rgb="FF0070C0"/>
      <name val="Calibri Light"/>
      <family val="1"/>
      <scheme val="major"/>
    </font>
    <font>
      <b/>
      <sz val="11"/>
      <color theme="7" tint="-0.249977111117893"/>
      <name val="Calibri Light"/>
      <family val="1"/>
      <scheme val="major"/>
    </font>
    <font>
      <sz val="11"/>
      <color theme="7" tint="-0.249977111117893"/>
      <name val="Calibri Light"/>
      <family val="1"/>
      <scheme val="major"/>
    </font>
    <font>
      <b/>
      <sz val="11"/>
      <color theme="1"/>
      <name val="Calibri Light"/>
      <family val="1"/>
      <scheme val="major"/>
    </font>
    <font>
      <sz val="11"/>
      <name val="Wingdings"/>
      <charset val="2"/>
    </font>
    <font>
      <sz val="11"/>
      <color theme="4"/>
      <name val="Calibri Light"/>
      <family val="1"/>
      <scheme val="major"/>
    </font>
    <font>
      <sz val="11"/>
      <color rgb="FFFF0000"/>
      <name val="Calibri Light"/>
      <family val="3"/>
      <charset val="134"/>
      <scheme val="major"/>
    </font>
    <font>
      <sz val="11"/>
      <color rgb="FFFF0000"/>
      <name val="Calibri Light"/>
      <family val="1"/>
      <scheme val="major"/>
    </font>
    <font>
      <sz val="11"/>
      <name val="Calibri Light"/>
      <family val="3"/>
      <charset val="134"/>
      <scheme val="major"/>
    </font>
    <font>
      <b/>
      <sz val="11"/>
      <color rgb="FFFF0000"/>
      <name val="Calibri Light"/>
      <family val="1"/>
      <scheme val="major"/>
    </font>
    <font>
      <sz val="8"/>
      <name val="Calibri"/>
      <family val="2"/>
    </font>
    <font>
      <sz val="12"/>
      <name val="Calibri"/>
      <family val="2"/>
    </font>
    <font>
      <sz val="11"/>
      <color rgb="FF000000"/>
      <name val="Calibri Light"/>
      <family val="1"/>
      <scheme val="major"/>
    </font>
    <font>
      <sz val="11"/>
      <color indexed="8"/>
      <name val="Calibri Light"/>
      <family val="1"/>
      <scheme val="major"/>
    </font>
    <font>
      <b/>
      <sz val="11"/>
      <name val="Calibri Light"/>
      <family val="3"/>
      <charset val="134"/>
      <scheme val="major"/>
    </font>
    <font>
      <b/>
      <sz val="11"/>
      <color rgb="FFFF0000"/>
      <name val="Calibri Light"/>
      <family val="3"/>
      <charset val="134"/>
      <scheme val="major"/>
    </font>
    <font>
      <b/>
      <sz val="11"/>
      <color rgb="FF000000"/>
      <name val="Calibri Light"/>
      <family val="3"/>
      <charset val="134"/>
      <scheme val="major"/>
    </font>
    <font>
      <b/>
      <sz val="11"/>
      <color theme="4"/>
      <name val="Calibri Light"/>
      <family val="1"/>
      <scheme val="major"/>
    </font>
    <font>
      <b/>
      <sz val="11"/>
      <color rgb="FF000000"/>
      <name val="Calibri Light"/>
      <family val="1"/>
      <scheme val="major"/>
    </font>
    <font>
      <sz val="8"/>
      <color rgb="FFFF0000"/>
      <name val="Calibri"/>
      <family val="2"/>
    </font>
    <font>
      <sz val="9"/>
      <color indexed="81"/>
      <name val="Tahoma"/>
      <family val="2"/>
    </font>
    <font>
      <sz val="11"/>
      <color rgb="FFFF0000"/>
      <name val="Calibri Light"/>
      <charset val="134"/>
      <scheme val="major"/>
    </font>
  </fonts>
  <fills count="19">
    <fill>
      <patternFill patternType="none"/>
    </fill>
    <fill>
      <patternFill patternType="gray125"/>
    </fill>
    <fill>
      <patternFill patternType="solid">
        <fgColor rgb="FFFFFF00"/>
        <bgColor indexed="64"/>
      </patternFill>
    </fill>
    <fill>
      <patternFill patternType="solid">
        <fgColor rgb="FFFFFFFF"/>
        <bgColor rgb="FF000000"/>
      </patternFill>
    </fill>
    <fill>
      <patternFill patternType="solid">
        <fgColor theme="4" tint="0.39997558519241921"/>
        <bgColor indexed="64"/>
      </patternFill>
    </fill>
    <fill>
      <patternFill patternType="solid">
        <fgColor rgb="FFFFFF00"/>
        <bgColor rgb="FF000000"/>
      </patternFill>
    </fill>
    <fill>
      <patternFill patternType="solid">
        <fgColor rgb="FFD9D9D9"/>
        <bgColor rgb="FF000000"/>
      </patternFill>
    </fill>
    <fill>
      <patternFill patternType="solid">
        <fgColor theme="0" tint="-0.499984740745262"/>
        <bgColor indexed="64"/>
      </patternFill>
    </fill>
    <fill>
      <patternFill patternType="solid">
        <fgColor rgb="FF92D050"/>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rgb="FF00B0F0"/>
        <bgColor indexed="64"/>
      </patternFill>
    </fill>
    <fill>
      <patternFill patternType="solid">
        <fgColor rgb="FFFF66FF"/>
        <bgColor indexed="64"/>
      </patternFill>
    </fill>
    <fill>
      <patternFill patternType="solid">
        <fgColor theme="7" tint="0.79998168889431442"/>
        <bgColor indexed="64"/>
      </patternFill>
    </fill>
    <fill>
      <patternFill patternType="solid">
        <fgColor indexed="44"/>
        <bgColor indexed="64"/>
      </patternFill>
    </fill>
    <fill>
      <patternFill patternType="solid">
        <fgColor theme="0" tint="-0.14999847407452621"/>
        <bgColor indexed="64"/>
      </patternFill>
    </fill>
    <fill>
      <patternFill patternType="solid">
        <fgColor theme="0"/>
        <bgColor indexed="64"/>
      </patternFill>
    </fill>
    <fill>
      <patternFill patternType="solid">
        <fgColor theme="2" tint="-9.9978637043366805E-2"/>
        <bgColor indexed="64"/>
      </patternFill>
    </fill>
    <fill>
      <patternFill patternType="solid">
        <fgColor theme="5"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bottom/>
      <diagonal/>
    </border>
  </borders>
  <cellStyleXfs count="3">
    <xf numFmtId="0" fontId="0" fillId="0" borderId="0"/>
    <xf numFmtId="0" fontId="1" fillId="0" borderId="0"/>
    <xf numFmtId="0" fontId="20" fillId="0" borderId="0" applyNumberFormat="0" applyFill="0" applyBorder="0" applyAlignment="0"/>
  </cellStyleXfs>
  <cellXfs count="321">
    <xf numFmtId="0" fontId="0" fillId="0" borderId="0" xfId="0"/>
    <xf numFmtId="0" fontId="6" fillId="4" borderId="2" xfId="0" applyFont="1" applyFill="1" applyBorder="1" applyAlignment="1">
      <alignment horizontal="center" wrapText="1"/>
    </xf>
    <xf numFmtId="0" fontId="6" fillId="4" borderId="2" xfId="0" applyFont="1" applyFill="1" applyBorder="1"/>
    <xf numFmtId="0" fontId="0" fillId="0" borderId="2" xfId="0" applyBorder="1" applyAlignment="1">
      <alignment horizontal="center"/>
    </xf>
    <xf numFmtId="0" fontId="0" fillId="0" borderId="2" xfId="0" applyBorder="1" applyAlignment="1">
      <alignment horizontal="left" vertical="center"/>
    </xf>
    <xf numFmtId="0" fontId="0" fillId="0" borderId="2" xfId="0" applyBorder="1" applyAlignment="1">
      <alignment vertical="top" wrapText="1"/>
    </xf>
    <xf numFmtId="0" fontId="0" fillId="2" borderId="2" xfId="0" applyFill="1" applyBorder="1" applyAlignment="1">
      <alignment vertical="top"/>
    </xf>
    <xf numFmtId="0" fontId="0" fillId="0" borderId="2" xfId="0" applyBorder="1" applyAlignment="1">
      <alignment vertical="top"/>
    </xf>
    <xf numFmtId="0" fontId="0" fillId="0" borderId="2" xfId="0" applyBorder="1" applyAlignment="1">
      <alignment horizontal="left" vertical="top" wrapText="1"/>
    </xf>
    <xf numFmtId="0" fontId="0" fillId="0" borderId="2" xfId="0" applyBorder="1" applyAlignment="1">
      <alignment horizontal="left" vertical="center" wrapText="1"/>
    </xf>
    <xf numFmtId="0" fontId="0" fillId="0" borderId="2" xfId="0" applyBorder="1"/>
    <xf numFmtId="0" fontId="0" fillId="0" borderId="3" xfId="0" applyBorder="1" applyAlignment="1">
      <alignment horizontal="center" vertical="center"/>
    </xf>
    <xf numFmtId="0" fontId="0" fillId="0" borderId="3" xfId="0" applyBorder="1" applyAlignment="1">
      <alignment horizontal="center"/>
    </xf>
    <xf numFmtId="0" fontId="0" fillId="0" borderId="3" xfId="0" applyBorder="1" applyAlignment="1">
      <alignment horizontal="left" vertical="center"/>
    </xf>
    <xf numFmtId="0" fontId="0" fillId="0" borderId="3" xfId="0" applyBorder="1" applyAlignment="1">
      <alignment vertical="top"/>
    </xf>
    <xf numFmtId="0" fontId="0" fillId="0" borderId="3" xfId="0" applyBorder="1" applyAlignment="1">
      <alignment vertical="top" wrapText="1"/>
    </xf>
    <xf numFmtId="0" fontId="0" fillId="0" borderId="2" xfId="0" applyBorder="1" applyAlignment="1">
      <alignment wrapText="1"/>
    </xf>
    <xf numFmtId="0" fontId="3" fillId="0" borderId="2" xfId="0" applyFont="1" applyBorder="1" applyAlignment="1">
      <alignment horizontal="left" vertical="top" indent="1"/>
    </xf>
    <xf numFmtId="0" fontId="3" fillId="0" borderId="2" xfId="0" applyFont="1" applyBorder="1" applyAlignment="1">
      <alignment horizontal="center" vertical="top"/>
    </xf>
    <xf numFmtId="0" fontId="3" fillId="0" borderId="2" xfId="0" applyFont="1" applyBorder="1" applyAlignment="1">
      <alignment vertical="top" wrapText="1"/>
    </xf>
    <xf numFmtId="0" fontId="4" fillId="0" borderId="2" xfId="0" applyFont="1" applyBorder="1" applyAlignment="1">
      <alignment vertical="top" wrapText="1"/>
    </xf>
    <xf numFmtId="0" fontId="11" fillId="0" borderId="2" xfId="0" applyFont="1" applyBorder="1" applyAlignment="1">
      <alignment vertical="top" wrapText="1"/>
    </xf>
    <xf numFmtId="0" fontId="3" fillId="0" borderId="2" xfId="0" applyFont="1" applyBorder="1" applyAlignment="1">
      <alignment vertical="top"/>
    </xf>
    <xf numFmtId="0" fontId="3" fillId="2" borderId="2" xfId="0" applyFont="1" applyFill="1" applyBorder="1" applyAlignment="1">
      <alignment vertical="top" wrapText="1"/>
    </xf>
    <xf numFmtId="0" fontId="13" fillId="0" borderId="2" xfId="0" applyFont="1" applyBorder="1" applyAlignment="1">
      <alignment vertical="top" wrapText="1"/>
    </xf>
    <xf numFmtId="0" fontId="4" fillId="2" borderId="2" xfId="0" applyFont="1" applyFill="1" applyBorder="1" applyAlignment="1">
      <alignment vertical="top" wrapText="1"/>
    </xf>
    <xf numFmtId="0" fontId="14" fillId="0" borderId="2" xfId="0" applyFont="1" applyBorder="1" applyAlignment="1">
      <alignment vertical="top" wrapText="1"/>
    </xf>
    <xf numFmtId="0" fontId="3" fillId="0" borderId="2" xfId="0" applyFont="1" applyBorder="1" applyAlignment="1">
      <alignment wrapText="1"/>
    </xf>
    <xf numFmtId="0" fontId="13" fillId="0" borderId="2" xfId="0" applyFont="1" applyBorder="1" applyAlignment="1">
      <alignment wrapText="1"/>
    </xf>
    <xf numFmtId="0" fontId="12" fillId="0" borderId="2" xfId="0" applyFont="1" applyBorder="1" applyAlignment="1">
      <alignment vertical="top" wrapText="1"/>
    </xf>
    <xf numFmtId="0" fontId="3" fillId="0" borderId="2" xfId="0" applyFont="1" applyBorder="1" applyAlignment="1">
      <alignment horizontal="left" vertical="top" wrapText="1" indent="1"/>
    </xf>
    <xf numFmtId="0" fontId="9" fillId="6" borderId="2" xfId="0" applyFont="1" applyFill="1" applyBorder="1" applyAlignment="1">
      <alignment vertical="top" wrapText="1"/>
    </xf>
    <xf numFmtId="0" fontId="15" fillId="0" borderId="2" xfId="0" applyFont="1" applyBorder="1" applyAlignment="1">
      <alignment horizontal="left" vertical="center" wrapText="1"/>
    </xf>
    <xf numFmtId="0" fontId="3" fillId="3" borderId="2" xfId="0" applyFont="1" applyFill="1" applyBorder="1" applyAlignment="1">
      <alignment vertical="top" wrapText="1"/>
    </xf>
    <xf numFmtId="0" fontId="4" fillId="3" borderId="2" xfId="0" applyFont="1" applyFill="1" applyBorder="1" applyAlignment="1">
      <alignment vertical="top" wrapText="1"/>
    </xf>
    <xf numFmtId="0" fontId="3" fillId="5" borderId="2" xfId="0" applyFont="1" applyFill="1" applyBorder="1" applyAlignment="1">
      <alignment vertical="top" wrapText="1"/>
    </xf>
    <xf numFmtId="0" fontId="4" fillId="5" borderId="2" xfId="0" applyFont="1" applyFill="1" applyBorder="1" applyAlignment="1">
      <alignment vertical="top" wrapText="1"/>
    </xf>
    <xf numFmtId="0" fontId="17" fillId="2" borderId="2" xfId="0" applyFont="1" applyFill="1" applyBorder="1" applyAlignment="1">
      <alignment horizontal="left" vertical="center" wrapText="1"/>
    </xf>
    <xf numFmtId="0" fontId="3" fillId="0" borderId="2" xfId="0" applyFont="1" applyBorder="1" applyAlignment="1">
      <alignment horizontal="left" vertical="top" wrapText="1"/>
    </xf>
    <xf numFmtId="0" fontId="3" fillId="7" borderId="2" xfId="0" applyFont="1" applyFill="1" applyBorder="1" applyAlignment="1">
      <alignment vertical="top" wrapText="1"/>
    </xf>
    <xf numFmtId="0" fontId="21" fillId="0" borderId="0" xfId="0" applyFont="1"/>
    <xf numFmtId="0" fontId="22" fillId="8" borderId="1" xfId="0" applyFont="1" applyFill="1" applyBorder="1" applyAlignment="1">
      <alignment vertical="top" wrapText="1"/>
    </xf>
    <xf numFmtId="0" fontId="22" fillId="8" borderId="2" xfId="0" applyFont="1" applyFill="1" applyBorder="1" applyAlignment="1">
      <alignment vertical="top" wrapText="1"/>
    </xf>
    <xf numFmtId="0" fontId="22" fillId="9" borderId="1" xfId="0" applyFont="1" applyFill="1" applyBorder="1" applyAlignment="1">
      <alignment vertical="top" wrapText="1"/>
    </xf>
    <xf numFmtId="0" fontId="0" fillId="10" borderId="2" xfId="0" applyFill="1" applyBorder="1"/>
    <xf numFmtId="0" fontId="0" fillId="11" borderId="0" xfId="0" applyFill="1"/>
    <xf numFmtId="0" fontId="0" fillId="11" borderId="2" xfId="0" applyFill="1" applyBorder="1" applyAlignment="1">
      <alignment wrapText="1"/>
    </xf>
    <xf numFmtId="0" fontId="0" fillId="12" borderId="0" xfId="0" applyFill="1"/>
    <xf numFmtId="0" fontId="0" fillId="8" borderId="2" xfId="0" applyFill="1" applyBorder="1" applyAlignment="1">
      <alignment wrapText="1"/>
    </xf>
    <xf numFmtId="0" fontId="0" fillId="12" borderId="0" xfId="0" applyFill="1" applyAlignment="1">
      <alignment wrapText="1"/>
    </xf>
    <xf numFmtId="0" fontId="0" fillId="10" borderId="2" xfId="0" applyFill="1" applyBorder="1" applyAlignment="1">
      <alignment wrapText="1"/>
    </xf>
    <xf numFmtId="0" fontId="0" fillId="0" borderId="0" xfId="0" applyAlignment="1">
      <alignment wrapText="1"/>
    </xf>
    <xf numFmtId="0" fontId="0" fillId="0" borderId="0" xfId="0" applyAlignment="1">
      <alignment horizontal="center" vertical="center"/>
    </xf>
    <xf numFmtId="0" fontId="0" fillId="13" borderId="0" xfId="0" applyFill="1"/>
    <xf numFmtId="0" fontId="25" fillId="0" borderId="0" xfId="2" applyFont="1" applyAlignment="1">
      <alignment vertical="top"/>
    </xf>
    <xf numFmtId="0" fontId="26" fillId="0" borderId="0" xfId="2" applyFont="1" applyBorder="1" applyAlignment="1">
      <alignment horizontal="left" vertical="top"/>
    </xf>
    <xf numFmtId="0" fontId="25" fillId="0" borderId="0" xfId="2" applyFont="1" applyBorder="1" applyAlignment="1">
      <alignment vertical="top"/>
    </xf>
    <xf numFmtId="0" fontId="25" fillId="0" borderId="0" xfId="2" applyFont="1" applyBorder="1" applyAlignment="1">
      <alignment vertical="top" wrapText="1"/>
    </xf>
    <xf numFmtId="0" fontId="25" fillId="0" borderId="0" xfId="2" applyFont="1" applyBorder="1" applyAlignment="1">
      <alignment horizontal="left" vertical="top" wrapText="1"/>
    </xf>
    <xf numFmtId="0" fontId="25" fillId="0" borderId="0" xfId="2" applyFont="1" applyBorder="1" applyAlignment="1">
      <alignment horizontal="left" vertical="top"/>
    </xf>
    <xf numFmtId="0" fontId="27" fillId="0" borderId="0" xfId="2" applyFont="1" applyFill="1" applyBorder="1" applyAlignment="1">
      <alignment vertical="top" wrapText="1"/>
    </xf>
    <xf numFmtId="0" fontId="28" fillId="0" borderId="0" xfId="2" applyFont="1" applyBorder="1" applyAlignment="1">
      <alignment horizontal="left" vertical="top"/>
    </xf>
    <xf numFmtId="0" fontId="25" fillId="0" borderId="0" xfId="2" applyFont="1" applyBorder="1" applyAlignment="1">
      <alignment horizontal="center" vertical="center"/>
    </xf>
    <xf numFmtId="0" fontId="25" fillId="0" borderId="0" xfId="2" applyFont="1" applyFill="1" applyAlignment="1">
      <alignment vertical="top"/>
    </xf>
    <xf numFmtId="0" fontId="25" fillId="0" borderId="0" xfId="2" applyFont="1" applyAlignment="1">
      <alignment vertical="top" wrapText="1"/>
    </xf>
    <xf numFmtId="0" fontId="25" fillId="0" borderId="0" xfId="2" applyFont="1" applyBorder="1" applyAlignment="1">
      <alignment horizontal="center" vertical="top"/>
    </xf>
    <xf numFmtId="0" fontId="29" fillId="0" borderId="0" xfId="2" applyFont="1" applyBorder="1" applyAlignment="1">
      <alignment vertical="top" wrapText="1"/>
    </xf>
    <xf numFmtId="0" fontId="25" fillId="0" borderId="0" xfId="2" applyFont="1" applyFill="1" applyBorder="1" applyAlignment="1">
      <alignment vertical="top"/>
    </xf>
    <xf numFmtId="0" fontId="26" fillId="0" borderId="0" xfId="2" applyFont="1" applyFill="1" applyBorder="1" applyAlignment="1" applyProtection="1">
      <alignment horizontal="left" vertical="top" wrapText="1"/>
      <protection hidden="1"/>
    </xf>
    <xf numFmtId="0" fontId="25" fillId="0" borderId="0" xfId="2" applyFont="1" applyBorder="1" applyAlignment="1">
      <alignment horizontal="right" vertical="top"/>
    </xf>
    <xf numFmtId="164" fontId="25" fillId="0" borderId="0" xfId="2" applyNumberFormat="1" applyFont="1" applyBorder="1" applyAlignment="1">
      <alignment horizontal="left" vertical="top"/>
    </xf>
    <xf numFmtId="0" fontId="29" fillId="0" borderId="0" xfId="2" applyFont="1" applyBorder="1" applyAlignment="1">
      <alignment horizontal="right" vertical="top" wrapText="1"/>
    </xf>
    <xf numFmtId="165" fontId="25" fillId="2" borderId="0" xfId="2" applyNumberFormat="1" applyFont="1" applyFill="1" applyBorder="1" applyAlignment="1">
      <alignment horizontal="left" vertical="top" wrapText="1"/>
    </xf>
    <xf numFmtId="0" fontId="26" fillId="14" borderId="1" xfId="2" applyFont="1" applyFill="1" applyBorder="1" applyAlignment="1">
      <alignment horizontal="center" wrapText="1"/>
    </xf>
    <xf numFmtId="0" fontId="26" fillId="14" borderId="1" xfId="2" applyFont="1" applyFill="1" applyBorder="1" applyAlignment="1">
      <alignment horizontal="left" wrapText="1"/>
    </xf>
    <xf numFmtId="0" fontId="26" fillId="14" borderId="1" xfId="2" applyFont="1" applyFill="1" applyBorder="1" applyAlignment="1">
      <alignment wrapText="1"/>
    </xf>
    <xf numFmtId="0" fontId="26" fillId="14" borderId="1" xfId="2" applyFont="1" applyFill="1" applyBorder="1" applyAlignment="1">
      <alignment horizontal="center" vertical="center" textRotation="83"/>
    </xf>
    <xf numFmtId="0" fontId="30" fillId="14" borderId="1" xfId="2" applyFont="1" applyFill="1" applyBorder="1" applyAlignment="1">
      <alignment wrapText="1"/>
    </xf>
    <xf numFmtId="0" fontId="26" fillId="0" borderId="0" xfId="2" applyFont="1" applyBorder="1" applyAlignment="1">
      <alignment vertical="top" wrapText="1"/>
    </xf>
    <xf numFmtId="0" fontId="26" fillId="0" borderId="0" xfId="2" applyFont="1" applyBorder="1" applyAlignment="1">
      <alignment vertical="top"/>
    </xf>
    <xf numFmtId="0" fontId="25" fillId="15" borderId="1" xfId="2" applyFont="1" applyFill="1" applyBorder="1" applyAlignment="1">
      <alignment horizontal="left" vertical="top" wrapText="1" indent="1"/>
    </xf>
    <xf numFmtId="0" fontId="26" fillId="15" borderId="1" xfId="2" applyFont="1" applyFill="1" applyBorder="1" applyAlignment="1">
      <alignment horizontal="left" vertical="top"/>
    </xf>
    <xf numFmtId="0" fontId="26" fillId="15" borderId="1" xfId="2" applyFont="1" applyFill="1" applyBorder="1" applyAlignment="1">
      <alignment horizontal="center" vertical="top"/>
    </xf>
    <xf numFmtId="0" fontId="26" fillId="15" borderId="1" xfId="1" applyFont="1" applyFill="1" applyBorder="1" applyAlignment="1">
      <alignment vertical="top" wrapText="1"/>
    </xf>
    <xf numFmtId="0" fontId="26" fillId="15" borderId="1" xfId="2" applyFont="1" applyFill="1" applyBorder="1" applyAlignment="1">
      <alignment vertical="top" wrapText="1"/>
    </xf>
    <xf numFmtId="0" fontId="25" fillId="15" borderId="1" xfId="2" applyFont="1" applyFill="1" applyBorder="1" applyAlignment="1">
      <alignment vertical="top"/>
    </xf>
    <xf numFmtId="0" fontId="25" fillId="15" borderId="4" xfId="2" applyFont="1" applyFill="1" applyBorder="1" applyAlignment="1">
      <alignment vertical="top"/>
    </xf>
    <xf numFmtId="0" fontId="31" fillId="0" borderId="4" xfId="2" applyFont="1" applyBorder="1" applyAlignment="1">
      <alignment horizontal="center" vertical="center"/>
    </xf>
    <xf numFmtId="0" fontId="25" fillId="15" borderId="1" xfId="2" applyFont="1" applyFill="1" applyBorder="1" applyAlignment="1">
      <alignment horizontal="left" vertical="top" wrapText="1"/>
    </xf>
    <xf numFmtId="0" fontId="25" fillId="15" borderId="1" xfId="2" applyFont="1" applyFill="1" applyBorder="1" applyAlignment="1">
      <alignment horizontal="center" vertical="center"/>
    </xf>
    <xf numFmtId="0" fontId="32" fillId="15" borderId="1" xfId="2" applyFont="1" applyFill="1" applyBorder="1" applyAlignment="1">
      <alignment vertical="top" wrapText="1"/>
    </xf>
    <xf numFmtId="0" fontId="25" fillId="15" borderId="1" xfId="2" applyFont="1" applyFill="1" applyBorder="1" applyAlignment="1">
      <alignment vertical="top" wrapText="1"/>
    </xf>
    <xf numFmtId="0" fontId="29" fillId="15" borderId="1" xfId="2" applyFont="1" applyFill="1" applyBorder="1" applyAlignment="1">
      <alignment vertical="top" wrapText="1"/>
    </xf>
    <xf numFmtId="0" fontId="26" fillId="15" borderId="1" xfId="2" applyFont="1" applyFill="1" applyBorder="1" applyAlignment="1">
      <alignment horizontal="center" vertical="center"/>
    </xf>
    <xf numFmtId="0" fontId="26" fillId="15" borderId="5" xfId="2" applyFont="1" applyFill="1" applyBorder="1" applyAlignment="1">
      <alignment vertical="top"/>
    </xf>
    <xf numFmtId="0" fontId="25" fillId="15" borderId="0" xfId="2" applyFont="1" applyFill="1" applyBorder="1" applyAlignment="1">
      <alignment vertical="top"/>
    </xf>
    <xf numFmtId="0" fontId="25" fillId="0" borderId="1" xfId="2" applyFont="1" applyBorder="1" applyAlignment="1">
      <alignment horizontal="center" vertical="top"/>
    </xf>
    <xf numFmtId="0" fontId="25" fillId="0" borderId="1" xfId="2" applyFont="1" applyBorder="1" applyAlignment="1">
      <alignment horizontal="left" vertical="top" indent="1"/>
    </xf>
    <xf numFmtId="0" fontId="25" fillId="0" borderId="1" xfId="1" applyFont="1" applyBorder="1" applyAlignment="1">
      <alignment vertical="top" wrapText="1"/>
    </xf>
    <xf numFmtId="0" fontId="25" fillId="0" borderId="1" xfId="2" applyFont="1" applyBorder="1" applyAlignment="1">
      <alignment vertical="top" wrapText="1"/>
    </xf>
    <xf numFmtId="0" fontId="25" fillId="0" borderId="1" xfId="2" applyFont="1" applyBorder="1" applyAlignment="1">
      <alignment vertical="top"/>
    </xf>
    <xf numFmtId="0" fontId="25" fillId="0" borderId="4" xfId="2" applyFont="1" applyBorder="1" applyAlignment="1">
      <alignment vertical="top"/>
    </xf>
    <xf numFmtId="0" fontId="25" fillId="0" borderId="1" xfId="2" applyFont="1" applyBorder="1" applyAlignment="1">
      <alignment horizontal="left" vertical="top" wrapText="1"/>
    </xf>
    <xf numFmtId="0" fontId="25" fillId="0" borderId="1" xfId="2" applyFont="1" applyBorder="1" applyAlignment="1">
      <alignment horizontal="center" vertical="center"/>
    </xf>
    <xf numFmtId="0" fontId="32" fillId="0" borderId="1" xfId="2" applyFont="1" applyFill="1" applyBorder="1" applyAlignment="1">
      <alignment vertical="top" wrapText="1"/>
    </xf>
    <xf numFmtId="0" fontId="26" fillId="0" borderId="1" xfId="2" applyFont="1" applyBorder="1" applyAlignment="1">
      <alignment vertical="top" wrapText="1"/>
    </xf>
    <xf numFmtId="0" fontId="29" fillId="0" borderId="1" xfId="2" applyFont="1" applyBorder="1" applyAlignment="1">
      <alignment vertical="top" wrapText="1"/>
    </xf>
    <xf numFmtId="0" fontId="26" fillId="0" borderId="6" xfId="2" applyFont="1" applyBorder="1" applyAlignment="1">
      <alignment horizontal="center" vertical="center"/>
    </xf>
    <xf numFmtId="0" fontId="26" fillId="0" borderId="1" xfId="2" applyFont="1" applyBorder="1" applyAlignment="1">
      <alignment vertical="top"/>
    </xf>
    <xf numFmtId="0" fontId="25" fillId="0" borderId="1" xfId="2" applyFont="1" applyFill="1" applyBorder="1" applyAlignment="1">
      <alignment vertical="top" wrapText="1"/>
    </xf>
    <xf numFmtId="0" fontId="22" fillId="16" borderId="1" xfId="2" applyFont="1" applyFill="1" applyBorder="1" applyAlignment="1">
      <alignment vertical="top" wrapText="1"/>
    </xf>
    <xf numFmtId="0" fontId="32" fillId="17" borderId="1" xfId="2" applyFont="1" applyFill="1" applyBorder="1" applyAlignment="1">
      <alignment vertical="top" wrapText="1"/>
    </xf>
    <xf numFmtId="0" fontId="26" fillId="0" borderId="1" xfId="2" applyFont="1" applyBorder="1" applyAlignment="1">
      <alignment horizontal="center" vertical="center"/>
    </xf>
    <xf numFmtId="0" fontId="26" fillId="15" borderId="6" xfId="2" applyFont="1" applyFill="1" applyBorder="1" applyAlignment="1">
      <alignment horizontal="center" vertical="center"/>
    </xf>
    <xf numFmtId="0" fontId="26" fillId="15" borderId="1" xfId="2" applyFont="1" applyFill="1" applyBorder="1" applyAlignment="1">
      <alignment vertical="top"/>
    </xf>
    <xf numFmtId="0" fontId="22" fillId="0" borderId="1" xfId="2" applyFont="1" applyBorder="1" applyAlignment="1">
      <alignment vertical="top" wrapText="1"/>
    </xf>
    <xf numFmtId="0" fontId="26" fillId="0" borderId="5" xfId="2" applyFont="1" applyBorder="1" applyAlignment="1">
      <alignment vertical="top"/>
    </xf>
    <xf numFmtId="0" fontId="32" fillId="2" borderId="1" xfId="2" applyFont="1" applyFill="1" applyBorder="1" applyAlignment="1">
      <alignment vertical="top" wrapText="1"/>
    </xf>
    <xf numFmtId="0" fontId="22" fillId="0" borderId="1" xfId="2" applyFont="1" applyBorder="1" applyAlignment="1">
      <alignment wrapText="1"/>
    </xf>
    <xf numFmtId="0" fontId="25" fillId="15" borderId="0" xfId="2" applyFont="1" applyFill="1" applyAlignment="1">
      <alignment vertical="top"/>
    </xf>
    <xf numFmtId="0" fontId="25" fillId="16" borderId="1" xfId="1" applyFont="1" applyFill="1" applyBorder="1" applyAlignment="1">
      <alignment vertical="top" wrapText="1"/>
    </xf>
    <xf numFmtId="0" fontId="25" fillId="16" borderId="1" xfId="2" applyFont="1" applyFill="1" applyBorder="1" applyAlignment="1">
      <alignment vertical="top" wrapText="1"/>
    </xf>
    <xf numFmtId="0" fontId="25" fillId="0" borderId="4" xfId="2" applyFont="1" applyBorder="1" applyAlignment="1">
      <alignment horizontal="center" vertical="top"/>
    </xf>
    <xf numFmtId="0" fontId="25" fillId="0" borderId="4" xfId="2" applyFont="1" applyBorder="1" applyAlignment="1">
      <alignment horizontal="left" vertical="top" indent="1"/>
    </xf>
    <xf numFmtId="0" fontId="30" fillId="15" borderId="1" xfId="2" applyFont="1" applyFill="1" applyBorder="1" applyAlignment="1">
      <alignment vertical="top" wrapText="1"/>
    </xf>
    <xf numFmtId="0" fontId="25" fillId="8" borderId="0" xfId="2" applyFont="1" applyFill="1" applyBorder="1" applyAlignment="1">
      <alignment vertical="top"/>
    </xf>
    <xf numFmtId="0" fontId="25" fillId="8" borderId="1" xfId="2" applyFont="1" applyFill="1" applyBorder="1" applyAlignment="1">
      <alignment horizontal="center" vertical="top"/>
    </xf>
    <xf numFmtId="0" fontId="25" fillId="8" borderId="1" xfId="2" applyFont="1" applyFill="1" applyBorder="1" applyAlignment="1">
      <alignment horizontal="left" vertical="top" indent="1"/>
    </xf>
    <xf numFmtId="0" fontId="25" fillId="8" borderId="1" xfId="1" applyFont="1" applyFill="1" applyBorder="1" applyAlignment="1">
      <alignment vertical="top" wrapText="1"/>
    </xf>
    <xf numFmtId="0" fontId="25" fillId="8" borderId="1" xfId="2" applyFont="1" applyFill="1" applyBorder="1" applyAlignment="1">
      <alignment vertical="top" wrapText="1"/>
    </xf>
    <xf numFmtId="0" fontId="25" fillId="8" borderId="1" xfId="2" applyFont="1" applyFill="1" applyBorder="1" applyAlignment="1">
      <alignment vertical="top"/>
    </xf>
    <xf numFmtId="0" fontId="25" fillId="8" borderId="4" xfId="2" applyFont="1" applyFill="1" applyBorder="1" applyAlignment="1">
      <alignment vertical="top"/>
    </xf>
    <xf numFmtId="0" fontId="31" fillId="8" borderId="4" xfId="2" applyFont="1" applyFill="1" applyBorder="1" applyAlignment="1">
      <alignment horizontal="center" vertical="center"/>
    </xf>
    <xf numFmtId="0" fontId="25" fillId="8" borderId="1" xfId="2" applyFont="1" applyFill="1" applyBorder="1" applyAlignment="1">
      <alignment horizontal="left" vertical="top" wrapText="1"/>
    </xf>
    <xf numFmtId="0" fontId="25" fillId="8" borderId="1" xfId="2" applyFont="1" applyFill="1" applyBorder="1" applyAlignment="1">
      <alignment horizontal="center" vertical="center"/>
    </xf>
    <xf numFmtId="0" fontId="32" fillId="8" borderId="1" xfId="2" applyFont="1" applyFill="1" applyBorder="1" applyAlignment="1">
      <alignment vertical="top" wrapText="1"/>
    </xf>
    <xf numFmtId="0" fontId="26" fillId="8" borderId="1" xfId="2" applyFont="1" applyFill="1" applyBorder="1" applyAlignment="1">
      <alignment vertical="top" wrapText="1"/>
    </xf>
    <xf numFmtId="0" fontId="29" fillId="8" borderId="1" xfId="2" applyFont="1" applyFill="1" applyBorder="1" applyAlignment="1">
      <alignment vertical="top" wrapText="1"/>
    </xf>
    <xf numFmtId="0" fontId="26" fillId="8" borderId="6" xfId="2" applyFont="1" applyFill="1" applyBorder="1" applyAlignment="1">
      <alignment horizontal="center" vertical="center"/>
    </xf>
    <xf numFmtId="0" fontId="26" fillId="8" borderId="5" xfId="2" applyFont="1" applyFill="1" applyBorder="1" applyAlignment="1">
      <alignment vertical="top"/>
    </xf>
    <xf numFmtId="0" fontId="25" fillId="8" borderId="0" xfId="2" applyFont="1" applyFill="1" applyBorder="1" applyAlignment="1">
      <alignment vertical="top" wrapText="1"/>
    </xf>
    <xf numFmtId="0" fontId="35" fillId="0" borderId="1" xfId="2" applyFont="1" applyBorder="1" applyAlignment="1">
      <alignment vertical="top" wrapText="1"/>
    </xf>
    <xf numFmtId="0" fontId="23" fillId="0" borderId="1" xfId="2" applyFont="1" applyBorder="1" applyAlignment="1">
      <alignment vertical="top" wrapText="1"/>
    </xf>
    <xf numFmtId="0" fontId="26" fillId="15" borderId="0" xfId="2" applyFont="1" applyFill="1" applyBorder="1" applyAlignment="1">
      <alignment vertical="top" wrapText="1"/>
    </xf>
    <xf numFmtId="0" fontId="35" fillId="0" borderId="1" xfId="2" applyFont="1" applyFill="1" applyBorder="1" applyAlignment="1">
      <alignment vertical="top" wrapText="1"/>
    </xf>
    <xf numFmtId="0" fontId="23" fillId="0" borderId="1" xfId="2" applyFont="1" applyFill="1" applyBorder="1" applyAlignment="1">
      <alignment vertical="top" wrapText="1"/>
    </xf>
    <xf numFmtId="0" fontId="36" fillId="15" borderId="1" xfId="2" applyFont="1" applyFill="1" applyBorder="1" applyAlignment="1">
      <alignment vertical="top" wrapText="1"/>
    </xf>
    <xf numFmtId="0" fontId="25" fillId="8" borderId="0" xfId="2" applyFont="1" applyFill="1" applyAlignment="1">
      <alignment vertical="top"/>
    </xf>
    <xf numFmtId="0" fontId="34" fillId="8" borderId="1" xfId="1" applyFont="1" applyFill="1" applyBorder="1" applyAlignment="1">
      <alignment vertical="top" wrapText="1"/>
    </xf>
    <xf numFmtId="0" fontId="26" fillId="8" borderId="1" xfId="2" applyFont="1" applyFill="1" applyBorder="1" applyAlignment="1">
      <alignment horizontal="center" vertical="center"/>
    </xf>
    <xf numFmtId="0" fontId="25" fillId="0" borderId="1" xfId="2" applyFont="1" applyFill="1" applyBorder="1" applyAlignment="1">
      <alignment wrapText="1"/>
    </xf>
    <xf numFmtId="0" fontId="25" fillId="8" borderId="1" xfId="2" applyFont="1" applyFill="1" applyBorder="1" applyAlignment="1">
      <alignment wrapText="1"/>
    </xf>
    <xf numFmtId="0" fontId="32" fillId="15" borderId="0" xfId="2" applyFont="1" applyFill="1" applyBorder="1" applyAlignment="1">
      <alignment vertical="top" wrapText="1"/>
    </xf>
    <xf numFmtId="0" fontId="25" fillId="0" borderId="1" xfId="2" applyFont="1" applyFill="1" applyBorder="1" applyAlignment="1">
      <alignment vertical="top"/>
    </xf>
    <xf numFmtId="0" fontId="25" fillId="0" borderId="1" xfId="2" applyFont="1" applyBorder="1" applyAlignment="1">
      <alignment horizontal="left" vertical="top" indent="2"/>
    </xf>
    <xf numFmtId="0" fontId="25" fillId="0" borderId="1" xfId="2" applyFont="1" applyFill="1" applyBorder="1" applyAlignment="1">
      <alignment horizontal="center" vertical="top"/>
    </xf>
    <xf numFmtId="0" fontId="25" fillId="0" borderId="1" xfId="2" applyFont="1" applyFill="1" applyBorder="1" applyAlignment="1">
      <alignment horizontal="left" vertical="top" indent="2"/>
    </xf>
    <xf numFmtId="0" fontId="25" fillId="0" borderId="4" xfId="2" applyFont="1" applyFill="1" applyBorder="1" applyAlignment="1">
      <alignment vertical="top"/>
    </xf>
    <xf numFmtId="0" fontId="31" fillId="0" borderId="4" xfId="2" applyFont="1" applyFill="1" applyBorder="1" applyAlignment="1">
      <alignment horizontal="center" vertical="center"/>
    </xf>
    <xf numFmtId="0" fontId="25" fillId="0" borderId="1" xfId="2" applyFont="1" applyFill="1" applyBorder="1" applyAlignment="1">
      <alignment horizontal="left" vertical="top" wrapText="1"/>
    </xf>
    <xf numFmtId="0" fontId="25" fillId="0" borderId="1" xfId="2" applyFont="1" applyFill="1" applyBorder="1" applyAlignment="1">
      <alignment horizontal="center" vertical="center"/>
    </xf>
    <xf numFmtId="0" fontId="26" fillId="0" borderId="1" xfId="2" applyFont="1" applyFill="1" applyBorder="1" applyAlignment="1">
      <alignment vertical="top" wrapText="1"/>
    </xf>
    <xf numFmtId="0" fontId="29" fillId="0" borderId="1" xfId="2" applyFont="1" applyFill="1" applyBorder="1" applyAlignment="1">
      <alignment vertical="top" wrapText="1"/>
    </xf>
    <xf numFmtId="0" fontId="26" fillId="0" borderId="6" xfId="2" applyFont="1" applyFill="1" applyBorder="1" applyAlignment="1">
      <alignment horizontal="center" vertical="center"/>
    </xf>
    <xf numFmtId="0" fontId="26" fillId="0" borderId="5" xfId="2" applyFont="1" applyFill="1" applyBorder="1" applyAlignment="1">
      <alignment vertical="top"/>
    </xf>
    <xf numFmtId="0" fontId="25" fillId="0" borderId="0" xfId="2" applyFont="1" applyFill="1" applyBorder="1" applyAlignment="1">
      <alignment vertical="top" wrapText="1"/>
    </xf>
    <xf numFmtId="0" fontId="25" fillId="18" borderId="1" xfId="1" applyFont="1" applyFill="1" applyBorder="1" applyAlignment="1">
      <alignment vertical="top" wrapText="1"/>
    </xf>
    <xf numFmtId="0" fontId="25" fillId="18" borderId="1" xfId="2" applyFont="1" applyFill="1" applyBorder="1" applyAlignment="1">
      <alignment vertical="top" wrapText="1"/>
    </xf>
    <xf numFmtId="0" fontId="32" fillId="0" borderId="0" xfId="2" applyFont="1" applyFill="1" applyBorder="1" applyAlignment="1">
      <alignment vertical="top" wrapText="1"/>
    </xf>
    <xf numFmtId="0" fontId="25" fillId="0" borderId="1" xfId="1" applyFont="1" applyBorder="1" applyAlignment="1">
      <alignment horizontal="left" vertical="top" wrapText="1" indent="1"/>
    </xf>
    <xf numFmtId="0" fontId="32" fillId="0" borderId="1" xfId="2" applyFont="1" applyBorder="1" applyAlignment="1">
      <alignment vertical="top"/>
    </xf>
    <xf numFmtId="0" fontId="26" fillId="0" borderId="1" xfId="2" applyFont="1" applyFill="1" applyBorder="1" applyAlignment="1">
      <alignment vertical="top"/>
    </xf>
    <xf numFmtId="0" fontId="25" fillId="0" borderId="5" xfId="2" applyFont="1" applyBorder="1" applyAlignment="1">
      <alignment vertical="top"/>
    </xf>
    <xf numFmtId="0" fontId="25" fillId="0" borderId="1" xfId="2" applyFont="1" applyFill="1" applyBorder="1" applyAlignment="1">
      <alignment horizontal="left" vertical="top" indent="1"/>
    </xf>
    <xf numFmtId="0" fontId="25" fillId="2" borderId="1" xfId="1" applyFont="1" applyFill="1" applyBorder="1" applyAlignment="1">
      <alignment vertical="top" wrapText="1"/>
    </xf>
    <xf numFmtId="0" fontId="25" fillId="2" borderId="1" xfId="2" applyFont="1" applyFill="1" applyBorder="1" applyAlignment="1">
      <alignment vertical="top" wrapText="1"/>
    </xf>
    <xf numFmtId="0" fontId="26" fillId="0" borderId="1" xfId="2" applyFont="1" applyFill="1" applyBorder="1" applyAlignment="1">
      <alignment horizontal="center" vertical="center"/>
    </xf>
    <xf numFmtId="0" fontId="3" fillId="0" borderId="1" xfId="2" applyFont="1" applyFill="1" applyBorder="1" applyAlignment="1">
      <alignment vertical="top" wrapText="1"/>
    </xf>
    <xf numFmtId="0" fontId="25" fillId="0" borderId="4" xfId="2" applyFont="1" applyBorder="1" applyAlignment="1">
      <alignment horizontal="left" vertical="top" wrapText="1"/>
    </xf>
    <xf numFmtId="0" fontId="25" fillId="0" borderId="4" xfId="2" applyFont="1" applyBorder="1" applyAlignment="1">
      <alignment horizontal="center" vertical="center"/>
    </xf>
    <xf numFmtId="0" fontId="32" fillId="0" borderId="4" xfId="2" applyFont="1" applyFill="1" applyBorder="1" applyAlignment="1">
      <alignment vertical="top" wrapText="1"/>
    </xf>
    <xf numFmtId="0" fontId="25" fillId="0" borderId="4" xfId="2" applyFont="1" applyBorder="1" applyAlignment="1">
      <alignment vertical="top" wrapText="1"/>
    </xf>
    <xf numFmtId="0" fontId="26" fillId="0" borderId="4" xfId="2" applyFont="1" applyBorder="1" applyAlignment="1">
      <alignment vertical="top" wrapText="1"/>
    </xf>
    <xf numFmtId="0" fontId="26" fillId="0" borderId="7" xfId="2" applyFont="1" applyBorder="1" applyAlignment="1">
      <alignment horizontal="center" vertical="center"/>
    </xf>
    <xf numFmtId="0" fontId="32" fillId="2" borderId="4" xfId="2" applyFont="1" applyFill="1" applyBorder="1" applyAlignment="1">
      <alignment vertical="top" wrapText="1"/>
    </xf>
    <xf numFmtId="0" fontId="26" fillId="0" borderId="0" xfId="2" applyFont="1" applyFill="1" applyBorder="1" applyAlignment="1">
      <alignment vertical="top"/>
    </xf>
    <xf numFmtId="0" fontId="25" fillId="15" borderId="4" xfId="2" applyFont="1" applyFill="1" applyBorder="1" applyAlignment="1">
      <alignment horizontal="left" vertical="top" wrapText="1"/>
    </xf>
    <xf numFmtId="0" fontId="25" fillId="15" borderId="4" xfId="2" applyFont="1" applyFill="1" applyBorder="1" applyAlignment="1">
      <alignment horizontal="center" vertical="center"/>
    </xf>
    <xf numFmtId="0" fontId="32" fillId="15" borderId="4" xfId="2" applyFont="1" applyFill="1" applyBorder="1" applyAlignment="1">
      <alignment vertical="top" wrapText="1"/>
    </xf>
    <xf numFmtId="0" fontId="25" fillId="15" borderId="4" xfId="2" applyFont="1" applyFill="1" applyBorder="1" applyAlignment="1">
      <alignment vertical="top" wrapText="1"/>
    </xf>
    <xf numFmtId="0" fontId="26" fillId="15" borderId="4" xfId="2" applyFont="1" applyFill="1" applyBorder="1" applyAlignment="1">
      <alignment vertical="top" wrapText="1"/>
    </xf>
    <xf numFmtId="0" fontId="26" fillId="15" borderId="7" xfId="2" applyFont="1" applyFill="1" applyBorder="1" applyAlignment="1">
      <alignment horizontal="center" vertical="center"/>
    </xf>
    <xf numFmtId="0" fontId="25" fillId="8" borderId="0" xfId="2" applyFont="1" applyFill="1" applyBorder="1" applyAlignment="1">
      <alignment horizontal="center" vertical="top"/>
    </xf>
    <xf numFmtId="0" fontId="25" fillId="8" borderId="4" xfId="2" applyFont="1" applyFill="1" applyBorder="1" applyAlignment="1">
      <alignment horizontal="left" vertical="top" wrapText="1"/>
    </xf>
    <xf numFmtId="0" fontId="25" fillId="8" borderId="4" xfId="2" applyFont="1" applyFill="1" applyBorder="1" applyAlignment="1">
      <alignment horizontal="center" vertical="center"/>
    </xf>
    <xf numFmtId="0" fontId="32" fillId="8" borderId="4" xfId="2" applyFont="1" applyFill="1" applyBorder="1" applyAlignment="1">
      <alignment vertical="top" wrapText="1"/>
    </xf>
    <xf numFmtId="0" fontId="25" fillId="8" borderId="4" xfId="2" applyFont="1" applyFill="1" applyBorder="1" applyAlignment="1">
      <alignment vertical="top" wrapText="1"/>
    </xf>
    <xf numFmtId="0" fontId="26" fillId="8" borderId="4" xfId="2" applyFont="1" applyFill="1" applyBorder="1" applyAlignment="1">
      <alignment vertical="top" wrapText="1"/>
    </xf>
    <xf numFmtId="0" fontId="26" fillId="8" borderId="7" xfId="2" applyFont="1" applyFill="1" applyBorder="1" applyAlignment="1">
      <alignment horizontal="center" vertical="center"/>
    </xf>
    <xf numFmtId="0" fontId="26" fillId="8" borderId="0" xfId="2" applyFont="1" applyFill="1" applyBorder="1" applyAlignment="1">
      <alignment vertical="top"/>
    </xf>
    <xf numFmtId="0" fontId="34" fillId="0" borderId="4" xfId="2" applyFont="1" applyBorder="1" applyAlignment="1">
      <alignment vertical="top" wrapText="1"/>
    </xf>
    <xf numFmtId="0" fontId="34" fillId="0" borderId="1" xfId="2" applyFont="1" applyBorder="1" applyAlignment="1">
      <alignment vertical="top" wrapText="1"/>
    </xf>
    <xf numFmtId="0" fontId="25" fillId="0" borderId="4" xfId="1" applyFont="1" applyBorder="1" applyAlignment="1">
      <alignment vertical="top" wrapText="1"/>
    </xf>
    <xf numFmtId="0" fontId="26" fillId="15" borderId="4" xfId="2" applyFont="1" applyFill="1" applyBorder="1" applyAlignment="1">
      <alignment horizontal="center" vertical="top"/>
    </xf>
    <xf numFmtId="0" fontId="26" fillId="15" borderId="4" xfId="1" applyFont="1" applyFill="1" applyBorder="1" applyAlignment="1">
      <alignment vertical="top" wrapText="1"/>
    </xf>
    <xf numFmtId="0" fontId="25" fillId="0" borderId="4" xfId="2" applyFont="1" applyFill="1" applyBorder="1" applyAlignment="1">
      <alignment vertical="top" wrapText="1"/>
    </xf>
    <xf numFmtId="0" fontId="26" fillId="0" borderId="4" xfId="2" applyFont="1" applyBorder="1" applyAlignment="1">
      <alignment horizontal="center" vertical="center"/>
    </xf>
    <xf numFmtId="0" fontId="26" fillId="15" borderId="8" xfId="2" applyFont="1" applyFill="1" applyBorder="1" applyAlignment="1">
      <alignment vertical="top"/>
    </xf>
    <xf numFmtId="0" fontId="26" fillId="0" borderId="8" xfId="2" applyFont="1" applyBorder="1" applyAlignment="1">
      <alignment vertical="top"/>
    </xf>
    <xf numFmtId="0" fontId="26" fillId="15" borderId="4" xfId="2" applyFont="1" applyFill="1" applyBorder="1" applyAlignment="1">
      <alignment horizontal="center" vertical="center"/>
    </xf>
    <xf numFmtId="0" fontId="26" fillId="15" borderId="4" xfId="2" applyFont="1" applyFill="1" applyBorder="1" applyAlignment="1">
      <alignment vertical="top"/>
    </xf>
    <xf numFmtId="0" fontId="39" fillId="16" borderId="1" xfId="2" applyFont="1" applyFill="1" applyBorder="1" applyAlignment="1">
      <alignment vertical="top" wrapText="1"/>
    </xf>
    <xf numFmtId="0" fontId="40" fillId="16" borderId="1" xfId="2" applyFont="1" applyFill="1" applyBorder="1" applyAlignment="1">
      <alignment vertical="top" wrapText="1"/>
    </xf>
    <xf numFmtId="0" fontId="40" fillId="8" borderId="1" xfId="2" applyFont="1" applyFill="1" applyBorder="1" applyAlignment="1">
      <alignment vertical="top" wrapText="1"/>
    </xf>
    <xf numFmtId="0" fontId="39" fillId="0" borderId="1" xfId="2" applyFont="1" applyFill="1" applyBorder="1" applyAlignment="1">
      <alignment vertical="top" wrapText="1"/>
    </xf>
    <xf numFmtId="0" fontId="25" fillId="0" borderId="4" xfId="2" applyFont="1" applyFill="1" applyBorder="1" applyAlignment="1">
      <alignment horizontal="left" vertical="top" wrapText="1"/>
    </xf>
    <xf numFmtId="0" fontId="25" fillId="0" borderId="4" xfId="2" applyFont="1" applyFill="1" applyBorder="1" applyAlignment="1">
      <alignment horizontal="center" vertical="top"/>
    </xf>
    <xf numFmtId="0" fontId="26" fillId="0" borderId="4" xfId="2" applyFont="1" applyFill="1" applyBorder="1" applyAlignment="1">
      <alignment vertical="top" wrapText="1"/>
    </xf>
    <xf numFmtId="0" fontId="26" fillId="0" borderId="4" xfId="2" applyFont="1" applyFill="1" applyBorder="1" applyAlignment="1">
      <alignment horizontal="center" vertical="center"/>
    </xf>
    <xf numFmtId="0" fontId="26" fillId="0" borderId="4" xfId="2" applyFont="1" applyBorder="1" applyAlignment="1">
      <alignment vertical="top"/>
    </xf>
    <xf numFmtId="0" fontId="26" fillId="0" borderId="8" xfId="2" applyFont="1" applyFill="1" applyBorder="1" applyAlignment="1">
      <alignment vertical="top"/>
    </xf>
    <xf numFmtId="0" fontId="25" fillId="0" borderId="0" xfId="2" applyFont="1" applyFill="1" applyAlignment="1">
      <alignment vertical="top" wrapText="1"/>
    </xf>
    <xf numFmtId="0" fontId="40" fillId="0" borderId="1" xfId="2" applyFont="1" applyBorder="1" applyAlignment="1">
      <alignment vertical="top" wrapText="1"/>
    </xf>
    <xf numFmtId="0" fontId="39" fillId="0" borderId="1" xfId="2" applyFont="1" applyBorder="1" applyAlignment="1">
      <alignment vertical="top" wrapText="1"/>
    </xf>
    <xf numFmtId="0" fontId="25" fillId="0" borderId="8" xfId="2" applyFont="1" applyBorder="1" applyAlignment="1">
      <alignment vertical="top"/>
    </xf>
    <xf numFmtId="0" fontId="25" fillId="8" borderId="4" xfId="2" applyFont="1" applyFill="1" applyBorder="1" applyAlignment="1">
      <alignment horizontal="center" vertical="top"/>
    </xf>
    <xf numFmtId="0" fontId="25" fillId="8" borderId="4" xfId="1" applyFont="1" applyFill="1" applyBorder="1" applyAlignment="1">
      <alignment vertical="top" wrapText="1"/>
    </xf>
    <xf numFmtId="0" fontId="26" fillId="8" borderId="4" xfId="2" applyFont="1" applyFill="1" applyBorder="1" applyAlignment="1">
      <alignment vertical="top"/>
    </xf>
    <xf numFmtId="0" fontId="26" fillId="8" borderId="1" xfId="2" applyFont="1" applyFill="1" applyBorder="1" applyAlignment="1">
      <alignment vertical="top"/>
    </xf>
    <xf numFmtId="0" fontId="25" fillId="8" borderId="0" xfId="2" applyFont="1" applyFill="1" applyAlignment="1">
      <alignment vertical="top" wrapText="1"/>
    </xf>
    <xf numFmtId="0" fontId="25" fillId="16" borderId="4" xfId="2" applyFont="1" applyFill="1" applyBorder="1" applyAlignment="1">
      <alignment vertical="top" wrapText="1"/>
    </xf>
    <xf numFmtId="0" fontId="34" fillId="0" borderId="1" xfId="2" applyFont="1" applyFill="1" applyBorder="1" applyAlignment="1">
      <alignment vertical="top" wrapText="1"/>
    </xf>
    <xf numFmtId="0" fontId="34" fillId="0" borderId="4" xfId="2" applyFont="1" applyFill="1" applyBorder="1" applyAlignment="1">
      <alignment vertical="top" wrapText="1"/>
    </xf>
    <xf numFmtId="0" fontId="26" fillId="0" borderId="4" xfId="2" applyFont="1" applyFill="1" applyBorder="1" applyAlignment="1">
      <alignment vertical="top"/>
    </xf>
    <xf numFmtId="0" fontId="26" fillId="15" borderId="4" xfId="2" applyFont="1" applyFill="1" applyBorder="1" applyAlignment="1">
      <alignment horizontal="left" vertical="top"/>
    </xf>
    <xf numFmtId="0" fontId="41" fillId="0" borderId="0" xfId="2" applyFont="1" applyAlignment="1">
      <alignment wrapText="1"/>
    </xf>
    <xf numFmtId="14" fontId="25" fillId="8" borderId="1" xfId="2" applyNumberFormat="1" applyFont="1" applyFill="1" applyBorder="1" applyAlignment="1">
      <alignment horizontal="left" vertical="top" indent="1"/>
    </xf>
    <xf numFmtId="0" fontId="34" fillId="8" borderId="1" xfId="2" applyFont="1" applyFill="1" applyBorder="1" applyAlignment="1">
      <alignment vertical="top" wrapText="1"/>
    </xf>
    <xf numFmtId="14" fontId="25" fillId="0" borderId="1" xfId="2" applyNumberFormat="1" applyFont="1" applyBorder="1" applyAlignment="1">
      <alignment horizontal="left" vertical="top" indent="1"/>
    </xf>
    <xf numFmtId="14" fontId="25" fillId="0" borderId="4" xfId="2" applyNumberFormat="1" applyFont="1" applyFill="1" applyBorder="1" applyAlignment="1">
      <alignment horizontal="left" vertical="top" indent="1"/>
    </xf>
    <xf numFmtId="14" fontId="25" fillId="0" borderId="4" xfId="2" applyNumberFormat="1" applyFont="1" applyFill="1" applyBorder="1" applyAlignment="1">
      <alignment horizontal="center" vertical="top"/>
    </xf>
    <xf numFmtId="0" fontId="27" fillId="0" borderId="4" xfId="2" applyFont="1" applyBorder="1" applyAlignment="1">
      <alignment vertical="top" wrapText="1"/>
    </xf>
    <xf numFmtId="0" fontId="25" fillId="2" borderId="4" xfId="2" applyFont="1" applyFill="1" applyBorder="1" applyAlignment="1">
      <alignment vertical="top" wrapText="1"/>
    </xf>
    <xf numFmtId="14" fontId="25" fillId="8" borderId="4" xfId="2" applyNumberFormat="1" applyFont="1" applyFill="1" applyBorder="1" applyAlignment="1">
      <alignment horizontal="left" vertical="top" indent="1"/>
    </xf>
    <xf numFmtId="0" fontId="26" fillId="8" borderId="4" xfId="2" applyFont="1" applyFill="1" applyBorder="1" applyAlignment="1">
      <alignment horizontal="center" vertical="center"/>
    </xf>
    <xf numFmtId="0" fontId="26" fillId="8" borderId="8" xfId="2" applyFont="1" applyFill="1" applyBorder="1" applyAlignment="1">
      <alignment vertical="top"/>
    </xf>
    <xf numFmtId="0" fontId="40" fillId="0" borderId="1" xfId="2" applyFont="1" applyFill="1" applyBorder="1" applyAlignment="1">
      <alignment vertical="top" wrapText="1"/>
    </xf>
    <xf numFmtId="14" fontId="25" fillId="0" borderId="1" xfId="2" applyNumberFormat="1" applyFont="1" applyFill="1" applyBorder="1" applyAlignment="1">
      <alignment horizontal="left" vertical="top" indent="1"/>
    </xf>
    <xf numFmtId="0" fontId="40" fillId="0" borderId="4" xfId="2" applyFont="1" applyBorder="1" applyAlignment="1">
      <alignment vertical="top" wrapText="1"/>
    </xf>
    <xf numFmtId="0" fontId="40" fillId="0" borderId="4" xfId="2" applyFont="1" applyFill="1" applyBorder="1" applyAlignment="1">
      <alignment vertical="top" wrapText="1"/>
    </xf>
    <xf numFmtId="0" fontId="40" fillId="2" borderId="4" xfId="2" applyFont="1" applyFill="1" applyBorder="1" applyAlignment="1">
      <alignment vertical="top" wrapText="1"/>
    </xf>
    <xf numFmtId="0" fontId="29" fillId="0" borderId="0" xfId="2" applyFont="1" applyFill="1" applyBorder="1" applyAlignment="1">
      <alignment vertical="top" wrapText="1"/>
    </xf>
    <xf numFmtId="0" fontId="26" fillId="0" borderId="0" xfId="2" applyFont="1" applyBorder="1" applyAlignment="1">
      <alignment horizontal="center" vertical="center"/>
    </xf>
    <xf numFmtId="0" fontId="25" fillId="15" borderId="0" xfId="2" applyFont="1" applyFill="1" applyBorder="1" applyAlignment="1">
      <alignment vertical="top" wrapText="1"/>
    </xf>
    <xf numFmtId="0" fontId="29" fillId="15" borderId="0" xfId="2" applyFont="1" applyFill="1" applyBorder="1" applyAlignment="1">
      <alignment vertical="top" wrapText="1"/>
    </xf>
    <xf numFmtId="0" fontId="26" fillId="15" borderId="0" xfId="2" applyFont="1" applyFill="1" applyBorder="1" applyAlignment="1">
      <alignment horizontal="center" vertical="center"/>
    </xf>
    <xf numFmtId="0" fontId="26" fillId="15" borderId="0" xfId="2" applyFont="1" applyFill="1" applyBorder="1" applyAlignment="1">
      <alignment vertical="top"/>
    </xf>
    <xf numFmtId="0" fontId="35" fillId="0" borderId="4" xfId="2" applyFont="1" applyBorder="1" applyAlignment="1">
      <alignment vertical="top" wrapText="1"/>
    </xf>
    <xf numFmtId="0" fontId="35" fillId="0" borderId="4" xfId="2" applyFont="1" applyFill="1" applyBorder="1" applyAlignment="1">
      <alignment vertical="top" wrapText="1"/>
    </xf>
    <xf numFmtId="0" fontId="32" fillId="0" borderId="4" xfId="2" applyFont="1" applyFill="1" applyBorder="1" applyAlignment="1">
      <alignment vertical="top"/>
    </xf>
    <xf numFmtId="14" fontId="25" fillId="16" borderId="1" xfId="2" applyNumberFormat="1" applyFont="1" applyFill="1" applyBorder="1" applyAlignment="1">
      <alignment horizontal="left" vertical="top" indent="1"/>
    </xf>
    <xf numFmtId="0" fontId="32" fillId="0" borderId="1" xfId="2" applyFont="1" applyFill="1" applyBorder="1" applyAlignment="1">
      <alignment vertical="top"/>
    </xf>
    <xf numFmtId="14" fontId="25" fillId="16" borderId="4" xfId="2" applyNumberFormat="1" applyFont="1" applyFill="1" applyBorder="1" applyAlignment="1">
      <alignment horizontal="left" vertical="top" indent="1"/>
    </xf>
    <xf numFmtId="0" fontId="25" fillId="0" borderId="4" xfId="2" applyFont="1" applyFill="1" applyBorder="1" applyAlignment="1">
      <alignment horizontal="center" vertical="center"/>
    </xf>
    <xf numFmtId="0" fontId="32" fillId="0" borderId="1" xfId="2" applyFont="1" applyBorder="1" applyAlignment="1">
      <alignment vertical="top" wrapText="1"/>
    </xf>
    <xf numFmtId="0" fontId="32" fillId="0" borderId="4" xfId="2" applyFont="1" applyBorder="1" applyAlignment="1">
      <alignment vertical="top" wrapText="1"/>
    </xf>
    <xf numFmtId="0" fontId="44" fillId="0" borderId="4" xfId="2" applyFont="1" applyFill="1" applyBorder="1" applyAlignment="1">
      <alignment vertical="top" wrapText="1"/>
    </xf>
    <xf numFmtId="0" fontId="25" fillId="0" borderId="1" xfId="1" applyFont="1" applyBorder="1" applyAlignment="1">
      <alignment horizontal="center" vertical="top"/>
    </xf>
    <xf numFmtId="14" fontId="25" fillId="0" borderId="4" xfId="2" applyNumberFormat="1" applyFont="1" applyBorder="1" applyAlignment="1">
      <alignment horizontal="left" vertical="top" indent="1"/>
    </xf>
    <xf numFmtId="0" fontId="25" fillId="0" borderId="4" xfId="1" applyFont="1" applyBorder="1" applyAlignment="1">
      <alignment vertical="top"/>
    </xf>
    <xf numFmtId="0" fontId="25" fillId="0" borderId="4" xfId="1" applyFont="1" applyBorder="1" applyAlignment="1">
      <alignment horizontal="center" vertical="center"/>
    </xf>
    <xf numFmtId="0" fontId="25" fillId="0" borderId="1" xfId="1" applyFont="1" applyBorder="1" applyAlignment="1">
      <alignment vertical="top"/>
    </xf>
    <xf numFmtId="0" fontId="32" fillId="0" borderId="1" xfId="1" applyFont="1" applyBorder="1" applyAlignment="1">
      <alignment vertical="top" wrapText="1"/>
    </xf>
    <xf numFmtId="0" fontId="25" fillId="0" borderId="1" xfId="1" applyFont="1" applyBorder="1" applyAlignment="1">
      <alignment horizontal="center" vertical="center"/>
    </xf>
    <xf numFmtId="0" fontId="25" fillId="0" borderId="4" xfId="1" applyFont="1" applyBorder="1" applyAlignment="1">
      <alignment horizontal="left" vertical="top" indent="1"/>
    </xf>
    <xf numFmtId="0" fontId="25" fillId="0" borderId="1" xfId="1" applyFont="1" applyBorder="1" applyAlignment="1">
      <alignment horizontal="left" vertical="top" indent="1"/>
    </xf>
    <xf numFmtId="0" fontId="25" fillId="0" borderId="1" xfId="1" applyFont="1" applyBorder="1" applyAlignment="1">
      <alignment horizontal="left" vertical="top" wrapText="1"/>
    </xf>
    <xf numFmtId="0" fontId="25" fillId="16" borderId="1" xfId="1" applyFont="1" applyFill="1" applyBorder="1" applyAlignment="1">
      <alignment vertical="top"/>
    </xf>
    <xf numFmtId="0" fontId="25" fillId="16" borderId="1" xfId="1" applyFont="1" applyFill="1" applyBorder="1" applyAlignment="1">
      <alignment horizontal="left" vertical="top" wrapText="1"/>
    </xf>
    <xf numFmtId="0" fontId="25" fillId="17" borderId="1" xfId="1" applyFont="1" applyFill="1" applyBorder="1" applyAlignment="1">
      <alignment horizontal="left" vertical="top" wrapText="1"/>
    </xf>
    <xf numFmtId="0" fontId="27" fillId="0" borderId="1" xfId="2" applyFont="1" applyFill="1" applyBorder="1" applyAlignment="1">
      <alignment vertical="top" wrapText="1"/>
    </xf>
    <xf numFmtId="0" fontId="25" fillId="16" borderId="1" xfId="2" applyFont="1" applyFill="1" applyBorder="1" applyAlignment="1">
      <alignment vertical="top"/>
    </xf>
    <xf numFmtId="0" fontId="25" fillId="15" borderId="4" xfId="2" applyFont="1" applyFill="1" applyBorder="1" applyAlignment="1">
      <alignment horizontal="left" vertical="top" wrapText="1" indent="1"/>
    </xf>
    <xf numFmtId="0" fontId="25" fillId="0" borderId="6" xfId="2" applyFont="1" applyBorder="1" applyAlignment="1">
      <alignment horizontal="center" vertical="center"/>
    </xf>
    <xf numFmtId="0" fontId="25" fillId="2" borderId="1" xfId="2" applyFont="1" applyFill="1" applyBorder="1" applyAlignment="1">
      <alignment vertical="top"/>
    </xf>
    <xf numFmtId="0" fontId="25" fillId="0" borderId="4" xfId="2" applyFont="1" applyBorder="1" applyAlignment="1">
      <alignment horizontal="left" vertical="top"/>
    </xf>
    <xf numFmtId="0" fontId="25" fillId="0" borderId="1" xfId="2" applyFont="1" applyBorder="1" applyAlignment="1">
      <alignment horizontal="left" vertical="top"/>
    </xf>
    <xf numFmtId="0" fontId="25" fillId="0" borderId="1" xfId="0" applyFont="1" applyBorder="1" applyAlignment="1">
      <alignment horizontal="left" vertical="top" indent="2"/>
    </xf>
    <xf numFmtId="0" fontId="25" fillId="0" borderId="1" xfId="0" applyFont="1" applyBorder="1" applyAlignment="1">
      <alignment vertical="top" wrapText="1"/>
    </xf>
    <xf numFmtId="0" fontId="25" fillId="0" borderId="1" xfId="0" applyFont="1" applyBorder="1" applyAlignment="1">
      <alignment vertical="top"/>
    </xf>
    <xf numFmtId="0" fontId="25" fillId="0" borderId="4" xfId="0" applyFont="1" applyBorder="1" applyAlignment="1">
      <alignment vertical="top"/>
    </xf>
    <xf numFmtId="0" fontId="25" fillId="0" borderId="1" xfId="0" applyFont="1" applyBorder="1" applyAlignment="1">
      <alignment horizontal="left" vertical="top" indent="1"/>
    </xf>
    <xf numFmtId="0" fontId="25" fillId="0" borderId="1" xfId="0" applyFont="1" applyBorder="1" applyAlignment="1">
      <alignment horizontal="center" vertical="top"/>
    </xf>
    <xf numFmtId="0" fontId="25" fillId="16" borderId="1" xfId="0" applyFont="1" applyFill="1" applyBorder="1" applyAlignment="1">
      <alignment vertical="top" wrapText="1"/>
    </xf>
    <xf numFmtId="0" fontId="40" fillId="16" borderId="1" xfId="0" applyFont="1" applyFill="1" applyBorder="1" applyAlignment="1">
      <alignment vertical="top" wrapText="1"/>
    </xf>
    <xf numFmtId="14" fontId="25" fillId="0" borderId="4" xfId="0" applyNumberFormat="1" applyFont="1" applyBorder="1" applyAlignment="1">
      <alignment horizontal="left" vertical="top" indent="1"/>
    </xf>
    <xf numFmtId="0" fontId="25" fillId="0" borderId="4" xfId="0" applyFont="1" applyBorder="1" applyAlignment="1">
      <alignment vertical="top" wrapText="1"/>
    </xf>
    <xf numFmtId="14" fontId="25" fillId="0" borderId="1" xfId="0" applyNumberFormat="1" applyFont="1" applyBorder="1" applyAlignment="1">
      <alignment horizontal="left" vertical="top" indent="1"/>
    </xf>
    <xf numFmtId="0" fontId="40" fillId="2" borderId="4" xfId="0" applyFont="1" applyFill="1" applyBorder="1" applyAlignment="1">
      <alignment vertical="top" wrapText="1"/>
    </xf>
    <xf numFmtId="0" fontId="35" fillId="0" borderId="4" xfId="0" applyFont="1" applyBorder="1" applyAlignment="1">
      <alignment vertical="top" wrapText="1"/>
    </xf>
    <xf numFmtId="14" fontId="25" fillId="16" borderId="4" xfId="0" applyNumberFormat="1" applyFont="1" applyFill="1" applyBorder="1" applyAlignment="1">
      <alignment horizontal="left" vertical="top" indent="1"/>
    </xf>
    <xf numFmtId="0" fontId="25" fillId="0" borderId="4" xfId="0" applyFont="1" applyBorder="1" applyAlignment="1">
      <alignment horizontal="center" vertical="top"/>
    </xf>
    <xf numFmtId="0" fontId="22" fillId="8" borderId="0" xfId="0" applyFont="1" applyFill="1" applyAlignment="1">
      <alignment vertical="top" wrapText="1"/>
    </xf>
    <xf numFmtId="0" fontId="25" fillId="16" borderId="1" xfId="0" applyFont="1" applyFill="1" applyBorder="1" applyAlignment="1">
      <alignment vertical="top"/>
    </xf>
    <xf numFmtId="0" fontId="25" fillId="0" borderId="0" xfId="0" applyFont="1" applyAlignment="1">
      <alignment vertical="top"/>
    </xf>
    <xf numFmtId="0" fontId="25" fillId="8" borderId="0" xfId="0" applyFont="1" applyFill="1" applyAlignment="1">
      <alignment vertical="top"/>
    </xf>
    <xf numFmtId="9" fontId="21" fillId="0" borderId="0" xfId="0" applyNumberFormat="1" applyFont="1"/>
    <xf numFmtId="0" fontId="0" fillId="8" borderId="0" xfId="0" applyFill="1"/>
    <xf numFmtId="0" fontId="25" fillId="2" borderId="4" xfId="0" applyFont="1" applyFill="1" applyBorder="1" applyAlignment="1">
      <alignment vertical="top" wrapText="1"/>
    </xf>
    <xf numFmtId="0" fontId="25" fillId="8" borderId="4" xfId="0" applyFont="1" applyFill="1" applyBorder="1" applyAlignment="1">
      <alignment vertical="top" wrapText="1"/>
    </xf>
    <xf numFmtId="0" fontId="15" fillId="0" borderId="0" xfId="0" applyFont="1" applyAlignment="1">
      <alignment vertical="center" wrapText="1"/>
    </xf>
    <xf numFmtId="0" fontId="0" fillId="0" borderId="0" xfId="0" applyAlignment="1">
      <alignment vertical="top" wrapText="1"/>
    </xf>
    <xf numFmtId="0" fontId="25" fillId="0" borderId="0" xfId="0" applyFont="1" applyAlignment="1">
      <alignment vertical="top" wrapText="1"/>
    </xf>
    <xf numFmtId="0" fontId="25" fillId="2" borderId="0" xfId="0" applyFont="1" applyFill="1" applyAlignment="1">
      <alignment vertical="top" wrapText="1"/>
    </xf>
    <xf numFmtId="0" fontId="25" fillId="8" borderId="9" xfId="0" applyFont="1" applyFill="1" applyBorder="1" applyAlignment="1">
      <alignment vertical="top" wrapText="1"/>
    </xf>
    <xf numFmtId="0" fontId="0" fillId="0" borderId="1" xfId="0" applyBorder="1"/>
    <xf numFmtId="14" fontId="25" fillId="2" borderId="1" xfId="0" applyNumberFormat="1" applyFont="1" applyFill="1" applyBorder="1" applyAlignment="1">
      <alignment horizontal="left" vertical="top" indent="1"/>
    </xf>
    <xf numFmtId="0" fontId="25" fillId="2" borderId="1" xfId="0" applyFont="1" applyFill="1" applyBorder="1" applyAlignment="1">
      <alignment vertical="top" wrapText="1"/>
    </xf>
    <xf numFmtId="0" fontId="0" fillId="0" borderId="2" xfId="0" applyBorder="1" applyAlignment="1">
      <alignment horizontal="center" vertical="center"/>
    </xf>
    <xf numFmtId="0" fontId="0" fillId="0" borderId="2" xfId="0" applyBorder="1" applyAlignment="1">
      <alignment horizontal="center" vertical="center" wrapText="1"/>
    </xf>
    <xf numFmtId="0" fontId="0" fillId="8" borderId="9" xfId="0" applyFill="1" applyBorder="1" applyAlignment="1">
      <alignment horizontal="left" vertical="center" wrapText="1"/>
    </xf>
  </cellXfs>
  <cellStyles count="3">
    <cellStyle name="Normal" xfId="0" builtinId="0"/>
    <cellStyle name="Normal 2" xfId="1" xr:uid="{EDE846FF-7062-4D3D-B45E-3288CB321C6B}"/>
    <cellStyle name="常规 2" xfId="2" xr:uid="{887FCBC2-C196-4C82-A8C7-8D7854941326}"/>
  </cellStyles>
  <dxfs count="407">
    <dxf>
      <fill>
        <patternFill>
          <bgColor indexed="11"/>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10"/>
        </patternFill>
      </fill>
    </dxf>
    <dxf>
      <fill>
        <patternFill>
          <bgColor indexed="52"/>
        </patternFill>
      </fill>
    </dxf>
    <dxf>
      <fill>
        <patternFill>
          <bgColor indexed="11"/>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52"/>
        </patternFill>
      </fill>
    </dxf>
    <dxf>
      <fill>
        <patternFill>
          <bgColor indexed="10"/>
        </patternFill>
      </fill>
    </dxf>
    <dxf>
      <fill>
        <patternFill>
          <bgColor indexed="11"/>
        </patternFill>
      </fill>
    </dxf>
    <dxf>
      <fill>
        <patternFill>
          <bgColor indexed="11"/>
        </patternFill>
      </fill>
    </dxf>
    <dxf>
      <fill>
        <patternFill>
          <bgColor indexed="52"/>
        </patternFill>
      </fill>
    </dxf>
    <dxf>
      <fill>
        <patternFill>
          <bgColor indexed="10"/>
        </patternFill>
      </fill>
    </dxf>
    <dxf>
      <fill>
        <patternFill>
          <bgColor indexed="10"/>
        </patternFill>
      </fill>
    </dxf>
    <dxf>
      <fill>
        <patternFill>
          <bgColor indexed="52"/>
        </patternFill>
      </fill>
    </dxf>
    <dxf>
      <fill>
        <patternFill>
          <bgColor indexed="11"/>
        </patternFill>
      </fill>
    </dxf>
    <dxf>
      <fill>
        <patternFill>
          <bgColor indexed="11"/>
        </patternFill>
      </fill>
    </dxf>
    <dxf>
      <fill>
        <patternFill>
          <bgColor indexed="52"/>
        </patternFill>
      </fill>
    </dxf>
    <dxf>
      <fill>
        <patternFill>
          <bgColor indexed="10"/>
        </patternFill>
      </fill>
    </dxf>
    <dxf>
      <fill>
        <patternFill>
          <bgColor indexed="10"/>
        </patternFill>
      </fill>
    </dxf>
    <dxf>
      <fill>
        <patternFill>
          <bgColor indexed="11"/>
        </patternFill>
      </fill>
    </dxf>
    <dxf>
      <fill>
        <patternFill>
          <bgColor indexed="52"/>
        </patternFill>
      </fill>
    </dxf>
    <dxf>
      <fill>
        <patternFill>
          <bgColor indexed="52"/>
        </patternFill>
      </fill>
    </dxf>
    <dxf>
      <fill>
        <patternFill>
          <bgColor indexed="10"/>
        </patternFill>
      </fill>
    </dxf>
    <dxf>
      <fill>
        <patternFill>
          <bgColor indexed="11"/>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52"/>
        </patternFill>
      </fill>
    </dxf>
    <dxf>
      <fill>
        <patternFill>
          <bgColor indexed="11"/>
        </patternFill>
      </fill>
    </dxf>
    <dxf>
      <fill>
        <patternFill>
          <bgColor indexed="11"/>
        </patternFill>
      </fill>
    </dxf>
    <dxf>
      <fill>
        <patternFill>
          <bgColor indexed="52"/>
        </patternFill>
      </fill>
    </dxf>
    <dxf>
      <fill>
        <patternFill>
          <bgColor indexed="10"/>
        </patternFill>
      </fill>
    </dxf>
    <dxf>
      <fill>
        <patternFill>
          <bgColor indexed="52"/>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52"/>
        </patternFill>
      </fill>
    </dxf>
    <dxf>
      <fill>
        <patternFill>
          <bgColor indexed="11"/>
        </patternFill>
      </fill>
    </dxf>
    <dxf>
      <fill>
        <patternFill>
          <bgColor indexed="11"/>
        </patternFill>
      </fill>
    </dxf>
    <dxf>
      <fill>
        <patternFill>
          <bgColor indexed="10"/>
        </patternFill>
      </fill>
    </dxf>
    <dxf>
      <fill>
        <patternFill>
          <bgColor indexed="52"/>
        </patternFill>
      </fill>
    </dxf>
    <dxf>
      <fill>
        <patternFill>
          <bgColor indexed="52"/>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52"/>
        </patternFill>
      </fill>
    </dxf>
    <dxf>
      <fill>
        <patternFill>
          <bgColor indexed="10"/>
        </patternFill>
      </fill>
    </dxf>
    <dxf>
      <fill>
        <gradientFill type="path" left="0.5" right="0.5" top="0.5" bottom="0.5">
          <stop position="0">
            <color rgb="FF00B050"/>
          </stop>
          <stop position="1">
            <color rgb="FF92D050"/>
          </stop>
        </gradientFill>
      </fill>
    </dxf>
    <dxf>
      <fill>
        <gradientFill type="path" left="0.5" right="0.5" top="0.5" bottom="0.5">
          <stop position="0">
            <color rgb="FF00B050"/>
          </stop>
          <stop position="1">
            <color rgb="FF92D050"/>
          </stop>
        </gradientFill>
      </fill>
    </dxf>
    <dxf>
      <fill>
        <gradientFill type="path" left="0.5" right="0.5" top="0.5" bottom="0.5">
          <stop position="0">
            <color rgb="FF00B050"/>
          </stop>
          <stop position="1">
            <color rgb="FF92D050"/>
          </stop>
        </gradientFill>
      </fill>
    </dxf>
    <dxf>
      <fill>
        <gradientFill type="path" left="0.5" right="0.5" top="0.5" bottom="0.5">
          <stop position="0">
            <color rgb="FF00B050"/>
          </stop>
          <stop position="1">
            <color rgb="FF92D050"/>
          </stop>
        </gradientFill>
      </fill>
    </dxf>
    <dxf>
      <fill>
        <gradientFill type="path" left="0.5" right="0.5" top="0.5" bottom="0.5">
          <stop position="0">
            <color rgb="FF00B050"/>
          </stop>
          <stop position="1">
            <color rgb="FF92D050"/>
          </stop>
        </gradientFill>
      </fill>
    </dxf>
    <dxf>
      <fill>
        <gradientFill type="path" left="0.5" right="0.5" top="0.5" bottom="0.5">
          <stop position="0">
            <color rgb="FF00B050"/>
          </stop>
          <stop position="1">
            <color rgb="FF92D050"/>
          </stop>
        </gradientFill>
      </fill>
    </dxf>
    <dxf>
      <fill>
        <gradientFill type="path" left="0.5" right="0.5" top="0.5" bottom="0.5">
          <stop position="0">
            <color rgb="FF00B050"/>
          </stop>
          <stop position="1">
            <color rgb="FF92D050"/>
          </stop>
        </gradientFill>
      </fill>
    </dxf>
    <dxf>
      <fill>
        <gradientFill type="path" left="0.5" right="0.5" top="0.5" bottom="0.5">
          <stop position="0">
            <color rgb="FF00B050"/>
          </stop>
          <stop position="1">
            <color rgb="FF92D050"/>
          </stop>
        </gradientFill>
      </fill>
    </dxf>
    <dxf>
      <fill>
        <gradientFill type="path" left="0.5" right="0.5" top="0.5" bottom="0.5">
          <stop position="0">
            <color rgb="FF00B050"/>
          </stop>
          <stop position="1">
            <color rgb="FF92D050"/>
          </stop>
        </gradientFill>
      </fill>
    </dxf>
    <dxf>
      <fill>
        <gradientFill type="path" left="0.5" right="0.5" top="0.5" bottom="0.5">
          <stop position="0">
            <color rgb="FF00B050"/>
          </stop>
          <stop position="1">
            <color rgb="FF92D050"/>
          </stop>
        </gradientFill>
      </fill>
    </dxf>
    <dxf>
      <fill>
        <gradientFill type="path" left="0.5" right="0.5" top="0.5" bottom="0.5">
          <stop position="0">
            <color rgb="FF00B050"/>
          </stop>
          <stop position="1">
            <color rgb="FF92D050"/>
          </stop>
        </gradientFill>
      </fill>
    </dxf>
    <dxf>
      <fill>
        <gradientFill type="path" left="0.5" right="0.5" top="0.5" bottom="0.5">
          <stop position="0">
            <color rgb="FF00B050"/>
          </stop>
          <stop position="1">
            <color rgb="FF92D050"/>
          </stop>
        </gradientFill>
      </fill>
    </dxf>
    <dxf>
      <fill>
        <gradientFill type="path" left="0.5" right="0.5" top="0.5" bottom="0.5">
          <stop position="0">
            <color theme="5" tint="-0.25098422193060094"/>
          </stop>
          <stop position="1">
            <color theme="5" tint="0.40000610370189521"/>
          </stop>
        </gradientFill>
      </fill>
    </dxf>
    <dxf>
      <fill>
        <gradientFill type="path" left="0.5" right="0.5" top="0.5" bottom="0.5">
          <stop position="0">
            <color rgb="FF00B050"/>
          </stop>
          <stop position="1">
            <color rgb="FF92D050"/>
          </stop>
        </gradientFill>
      </fill>
    </dxf>
    <dxf>
      <fill>
        <gradientFill type="path" left="0.5" right="0.5" top="0.5" bottom="0.5">
          <stop position="0">
            <color rgb="FF00B050"/>
          </stop>
          <stop position="1">
            <color rgb="FF92D050"/>
          </stop>
        </gradientFill>
      </fill>
    </dxf>
    <dxf>
      <fill>
        <patternFill>
          <bgColor indexed="52"/>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50"/>
        </patternFill>
      </fill>
    </dxf>
    <dxf>
      <fill>
        <patternFill>
          <bgColor indexed="52"/>
        </patternFill>
      </fill>
    </dxf>
    <dxf>
      <fill>
        <patternFill>
          <bgColor indexed="10"/>
        </patternFill>
      </fill>
    </dxf>
    <dxf>
      <fill>
        <patternFill>
          <bgColor indexed="50"/>
        </patternFill>
      </fill>
    </dxf>
    <dxf>
      <fill>
        <patternFill>
          <bgColor indexed="52"/>
        </patternFill>
      </fill>
    </dxf>
  </dxfs>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wmf"/></Relationships>
</file>

<file path=xl/drawings/drawing1.xml><?xml version="1.0" encoding="utf-8"?>
<xdr:wsDr xmlns:xdr="http://schemas.openxmlformats.org/drawingml/2006/spreadsheetDrawing" xmlns:a="http://schemas.openxmlformats.org/drawingml/2006/main">
  <xdr:oneCellAnchor>
    <xdr:from>
      <xdr:col>8</xdr:col>
      <xdr:colOff>879324</xdr:colOff>
      <xdr:row>1</xdr:row>
      <xdr:rowOff>159957</xdr:rowOff>
    </xdr:from>
    <xdr:ext cx="1599291" cy="318105"/>
    <xdr:pic>
      <xdr:nvPicPr>
        <xdr:cNvPr id="2" name="Picture 2" descr="ThermoScientific_032-Bk_1in_25mm.jpg">
          <a:extLst>
            <a:ext uri="{FF2B5EF4-FFF2-40B4-BE49-F238E27FC236}">
              <a16:creationId xmlns:a16="http://schemas.microsoft.com/office/drawing/2014/main" id="{9C9EA7E8-BB80-4FDD-92B2-040099E0335E}"/>
            </a:ext>
          </a:extLst>
        </xdr:cNvPr>
        <xdr:cNvPicPr>
          <a:picLocks noChangeAspect="1"/>
        </xdr:cNvPicPr>
      </xdr:nvPicPr>
      <xdr:blipFill>
        <a:blip xmlns:r="http://schemas.openxmlformats.org/officeDocument/2006/relationships" r:embed="rId1" cstate="print"/>
        <a:stretch>
          <a:fillRect/>
        </a:stretch>
      </xdr:blipFill>
      <xdr:spPr>
        <a:xfrm>
          <a:off x="11880699" y="331407"/>
          <a:ext cx="1599291" cy="31810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14</xdr:row>
      <xdr:rowOff>0</xdr:rowOff>
    </xdr:from>
    <xdr:to>
      <xdr:col>3</xdr:col>
      <xdr:colOff>4751753</xdr:colOff>
      <xdr:row>42</xdr:row>
      <xdr:rowOff>180319</xdr:rowOff>
    </xdr:to>
    <xdr:pic>
      <xdr:nvPicPr>
        <xdr:cNvPr id="2" name="图片 1">
          <a:extLst>
            <a:ext uri="{FF2B5EF4-FFF2-40B4-BE49-F238E27FC236}">
              <a16:creationId xmlns:a16="http://schemas.microsoft.com/office/drawing/2014/main" id="{24AA061D-D8C5-73CC-96FA-10F7909E2B89}"/>
            </a:ext>
          </a:extLst>
        </xdr:cNvPr>
        <xdr:cNvPicPr>
          <a:picLocks noChangeAspect="1"/>
        </xdr:cNvPicPr>
      </xdr:nvPicPr>
      <xdr:blipFill>
        <a:blip xmlns:r="http://schemas.openxmlformats.org/officeDocument/2006/relationships" r:embed="rId1"/>
        <a:stretch>
          <a:fillRect/>
        </a:stretch>
      </xdr:blipFill>
      <xdr:spPr>
        <a:xfrm>
          <a:off x="1581150" y="4162425"/>
          <a:ext cx="9771428" cy="524761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henkelgroup.sharepoint.com/Documents%20and%20Settings/gambiea/My%20Documents/4_Sight_RTM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irements"/>
      <sheetName val="Design Details"/>
      <sheetName val="Customisation"/>
      <sheetName val="Configuration"/>
      <sheetName val="Categories"/>
      <sheetName val="Dialog1"/>
      <sheetName val="Module1"/>
      <sheetName val="Module2"/>
      <sheetName val="Module3"/>
    </sheetNames>
    <sheetDataSet>
      <sheetData sheetId="0"/>
      <sheetData sheetId="1"/>
      <sheetData sheetId="2"/>
      <sheetData sheetId="3"/>
      <sheetData sheetId="4">
        <row r="3">
          <cell r="C3" t="str">
            <v>þ</v>
          </cell>
        </row>
        <row r="4">
          <cell r="C4" t="str">
            <v>ý</v>
          </cell>
        </row>
      </sheetData>
      <sheetData sheetId="5"/>
      <sheetData sheetId="6" refreshError="1"/>
      <sheetData sheetId="7" refreshError="1"/>
      <sheetData sheetId="8" refreshError="1"/>
    </sheetDataSet>
  </externalBook>
</externalLink>
</file>

<file path=xl/persons/person.xml><?xml version="1.0" encoding="utf-8"?>
<personList xmlns="http://schemas.microsoft.com/office/spreadsheetml/2018/threadedcomments" xmlns:x="http://schemas.openxmlformats.org/spreadsheetml/2006/main">
  <person displayName="Frank Shen" id="{9E391544-F222-4EB9-9380-AE100FDE9069}" userId="S::frank.shen@henkel.com::00d47b21-dccf-4c3f-ae8f-ea5d5a02d0e0" providerId="AD"/>
  <person displayName="Neelima Rajesh" id="{451C4618-4FB8-4C8D-B82E-C503A46CD9DF}" userId="S::neelima.rajesh@henkel.com::e9b51af5-5a03-4d45-baba-6827527d3602" providerId="AD"/>
  <person displayName="Xiao, Mengran" id="{B6688F19-A308-40E8-BED8-A297F30B5405}" userId="S::mengran.xiao@thermofisher.com::0331391d-0438-4e9d-b2f6-46790c92e18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1" dT="2024-06-13T05:03:40.19" personId="{451C4618-4FB8-4C8D-B82E-C503A46CD9DF}" id="{3D0E20A8-DACE-48A1-850F-11783F4B57A6}" done="1">
    <text>It should be used also for standard testing. Ex: Truck RM, 903 - IPQC, non MES plants. Need a configuration to identify these scenarios</text>
  </threadedComment>
  <threadedComment ref="G13" dT="2024-06-13T05:06:41.59" personId="{451C4618-4FB8-4C8D-B82E-C503A46CD9DF}" id="{F6A7690A-6C8F-42CB-8E83-26C0064E9417}" done="1">
    <text>System shall be able to create sample based on events scheduled within QCLAD</text>
  </threadedComment>
  <threadedComment ref="G14" dT="2024-06-14T02:22:55.51" personId="{451C4618-4FB8-4C8D-B82E-C503A46CD9DF}" id="{E4CA2AAF-C0CF-4C51-8BE7-E60243FE23C9}" done="1">
    <text>Which has an inspection lot(automatic)</text>
  </threadedComment>
  <threadedComment ref="G24" dT="2024-06-13T05:07:25.92" personId="{451C4618-4FB8-4C8D-B82E-C503A46CD9DF}" id="{1E9FB461-81AC-4662-A565-71EF63D61952}" done="1">
    <text>Date and time</text>
  </threadedComment>
  <threadedComment ref="G26" dT="2024-06-14T02:24:22.87" personId="{451C4618-4FB8-4C8D-B82E-C503A46CD9DF}" id="{3DD9F0AB-D1BF-4428-9445-6AD0FBA4F1D3}" done="1">
    <text>Need to add a mandatory comment for the cancellation.</text>
  </threadedComment>
  <threadedComment ref="G29" dT="2024-06-13T05:08:17.49" personId="{451C4618-4FB8-4C8D-B82E-C503A46CD9DF}" id="{D843472F-0943-42C5-9122-86C37D702691}" done="1">
    <text>Do we need to mention some examples of configurable attributes  to ensure both teams are on same page?</text>
  </threadedComment>
  <threadedComment ref="G29" dT="2024-06-18T07:39:26.92" personId="{9E391544-F222-4EB9-9380-AE100FDE9069}" id="{462751FB-2213-4F8F-BDA2-F1CBCF3DCA36}" parentId="{D843472F-0943-42C5-9122-86C37D702691}">
    <text>Thermofisher will provide the details for henkel to choose</text>
  </threadedComment>
  <threadedComment ref="G37" dT="2024-06-14T02:27:06.61" personId="{451C4618-4FB8-4C8D-B82E-C503A46CD9DF}" id="{F1561533-9886-4323-A6B6-4232871D7C0F}" done="1">
    <text>Provision for traceability of split samples with a parent sample should be available</text>
  </threadedComment>
  <threadedComment ref="G41" dT="2024-06-13T05:11:08.82" personId="{451C4618-4FB8-4C8D-B82E-C503A46CD9DF}" id="{441CAA9B-A2A4-4371-8F35-5371537DA636}" done="1">
    <text>Should be access driven, only specific users with right roles can create or modify</text>
  </threadedComment>
  <threadedComment ref="G43" dT="2024-06-14T02:28:33.85" personId="{451C4618-4FB8-4C8D-B82E-C503A46CD9DF}" id="{A52C04AE-DFEE-4251-98FB-5950E453CE69}">
    <text>If the test is failed and need to retest - Based on the sample number, multiple inspection points to be created in SAP for all standard testing flows. This is to record all failure as well as success of parameters in SAP.</text>
  </threadedComment>
  <threadedComment ref="I45" dT="2024-06-18T07:41:55.22" personId="{9E391544-F222-4EB9-9380-AE100FDE9069}" id="{9B543679-9A75-4879-8D6D-AE14F3C68CF8}">
    <text>Why is this item customisation as it is standard functionality</text>
  </threadedComment>
  <threadedComment ref="I45" dT="2024-06-19T02:15:46.95" personId="{B6688F19-A308-40E8-BED8-A297F30B5405}" id="{CB560A60-FEB4-4B99-8C26-A506D89DDA14}" parentId="{9B543679-9A75-4879-8D6D-AE14F3C68CF8}">
    <text>All with interface is customisation for us</text>
  </threadedComment>
  <threadedComment ref="G49" dT="2024-06-14T02:30:12.19" personId="{451C4618-4FB8-4C8D-B82E-C503A46CD9DF}" id="{F987E196-E39A-4248-BC50-952AE60A11E8}" done="1">
    <text>Specification limit to be pulled from SAP inspection plan</text>
  </threadedComment>
  <threadedComment ref="G57" dT="2024-06-13T05:13:03.10" personId="{451C4618-4FB8-4C8D-B82E-C503A46CD9DF}" id="{454C5E7F-6ACB-4AAF-8D49-29290FBCA969}" done="1">
    <text>It can be barcode or QRCode</text>
  </threadedComment>
  <threadedComment ref="G70" dT="2024-06-13T05:14:44.81" personId="{451C4618-4FB8-4C8D-B82E-C503A46CD9DF}" id="{21D27FC2-E002-4173-9D89-D64C1598790D}">
    <text>What all attributes can be modified should be configurable and access driven.</text>
  </threadedComment>
  <threadedComment ref="G77" dT="2024-06-14T02:35:15.65" personId="{451C4618-4FB8-4C8D-B82E-C503A46CD9DF}" id="{3C3578A1-351B-4D6F-8606-E6DBCD8D8FCA}" done="1">
    <text>For RM, in case CoA data already available in SAP inspection lot, the details should be displayed even if the data entry is not required in QCLAD</text>
  </threadedComment>
  <threadedComment ref="G77" dT="2024-06-18T07:46:24.75" personId="{9E391544-F222-4EB9-9380-AE100FDE9069}" id="{E97246E1-768A-4490-B55D-EE037D5D8923}" parentId="{3C3578A1-351B-4D6F-8606-E6DBCD8D8FCA}">
    <text>Details: Data recorded within inspection lot, MIC, Spec, Test result</text>
  </threadedComment>
  <threadedComment ref="G81" dT="2024-06-14T02:36:04.77" personId="{451C4618-4FB8-4C8D-B82E-C503A46CD9DF}" id="{44F8609C-84EB-4D74-9CC4-195D37F3CFC3}" done="1">
    <text>The instructions of calculations, lab instruments to be pulled from SOP.</text>
  </threadedComment>
  <threadedComment ref="G81" dT="2024-06-18T07:50:25.21" personId="{9E391544-F222-4EB9-9380-AE100FDE9069}" id="{A923DFE5-614C-4EFB-978A-AA14E02CFA4C}" parentId="{44F8609C-84EB-4D74-9CC4-195D37F3CFC3}">
    <text>Approved by Thermofisher 2024/06/18</text>
  </threadedComment>
  <threadedComment ref="G92" dT="2024-06-14T02:39:21.78" personId="{451C4618-4FB8-4C8D-B82E-C503A46CD9DF}" id="{2F0A6179-68FC-4911-A21A-330AB00AE4BE}" done="1">
    <text>Multiple test, samples can be from different materials, material types(Raw material, Semi finished goods, finished goods)</text>
  </threadedComment>
  <threadedComment ref="G92" dT="2024-06-18T07:49:42.57" personId="{9E391544-F222-4EB9-9380-AE100FDE9069}" id="{CB9DD04C-EE86-487C-876A-435B869BEC2A}" parentId="{2F0A6179-68FC-4911-A21A-330AB00AE4BE}">
    <text>Approved by Thermofisher 2024/06/18</text>
  </threadedComment>
  <threadedComment ref="G96" dT="2024-06-14T02:40:50.41" personId="{451C4618-4FB8-4C8D-B82E-C503A46CD9DF}" id="{1D75A36D-ABC3-4CDB-A66F-14DBAEB21B1A}" done="1">
    <text xml:space="preserve">Only for active samples. </text>
  </threadedComment>
  <threadedComment ref="G99" dT="2024-06-14T02:41:35.34" personId="{451C4618-4FB8-4C8D-B82E-C503A46CD9DF}" id="{057A52C6-A81D-4544-9E36-380DBF049584}">
    <text>What data to be captured need to be aligned with Henkel team</text>
  </threadedComment>
  <threadedComment ref="G99" dT="2024-06-18T07:51:20.66" personId="{9E391544-F222-4EB9-9380-AE100FDE9069}" id="{C261D47F-04A4-4AC2-9102-996644660343}" parentId="{057A52C6-A81D-4544-9E36-380DBF049584}">
    <text>Need more discussion</text>
  </threadedComment>
  <threadedComment ref="G115" dT="2024-06-14T02:44:44.18" personId="{451C4618-4FB8-4C8D-B82E-C503A46CD9DF}" id="{6A2527A8-7259-4056-8665-7150124F8ECB}" done="1">
    <text>Test method</text>
  </threadedComment>
  <threadedComment ref="G118" dT="2024-06-14T02:45:44.85" personId="{451C4618-4FB8-4C8D-B82E-C503A46CD9DF}" id="{827BED32-B981-48B6-AE58-EE81BFDF7067}" done="1">
    <text>Need to record the information who/what/when changed for audit purpose</text>
  </threadedComment>
  <threadedComment ref="G123" dT="2024-06-14T02:47:16.40" personId="{451C4618-4FB8-4C8D-B82E-C503A46CD9DF}" id="{FFBB8566-0018-49BD-A435-FD8FED7EA301}" done="1">
    <text>Recording one result should be 1 user responsibility but test can be started by one person and continued by another person.</text>
  </threadedComment>
  <threadedComment ref="G123" dT="2024-06-18T07:53:03.00" personId="{9E391544-F222-4EB9-9380-AE100FDE9069}" id="{23609B86-BF05-4374-85CE-51AAF017489F}" parentId="{FFBB8566-0018-49BD-A435-FD8FED7EA301}">
    <text>Confimed with Thermofisher 2024/06/18</text>
  </threadedComment>
  <threadedComment ref="G132" dT="2024-06-14T02:48:20.76" personId="{451C4618-4FB8-4C8D-B82E-C503A46CD9DF}" id="{0F5775C7-CF62-45DA-9B62-84BAA9D87A4C}" done="1">
    <text>Peer review should be configurable at material group level</text>
  </threadedComment>
  <threadedComment ref="G132" dT="2024-06-18T07:53:52.42" personId="{9E391544-F222-4EB9-9380-AE100FDE9069}" id="{9DC9D885-9E75-4BF5-A2AA-6A568F6944E1}" parentId="{0F5775C7-CF62-45DA-9B62-84BAA9D87A4C}">
    <text>There should be configurable option.</text>
  </threadedComment>
  <threadedComment ref="G148" dT="2024-06-14T02:52:35.27" personId="{451C4618-4FB8-4C8D-B82E-C503A46CD9DF}" id="{E1F845A8-974B-4346-8E1E-7D483ECBEE9A}" done="1">
    <text>Return to tester - reviewer should be able to select the operator and sample status have to be changed back to test status</text>
  </threadedComment>
  <threadedComment ref="G173" dT="2024-06-14T02:57:16.03" personId="{451C4618-4FB8-4C8D-B82E-C503A46CD9DF}" id="{6FFA18C1-7B68-4153-98B2-EFFA775AB7B9}" done="1">
    <text>Loading of reports should be in seconds. If user selects a range which will take time system should give warning of response time so that user can change the date range or wait for the delay</text>
  </threadedComment>
  <threadedComment ref="G181" dT="2024-06-14T02:57:58.06" personId="{451C4618-4FB8-4C8D-B82E-C503A46CD9DF}" id="{C8927CF8-7421-452E-9BA5-96C026975E3A}" done="1">
    <text>Or store the file in a configurable shared drive</text>
  </threadedComment>
  <threadedComment ref="G181" dT="2024-06-18T04:28:54.15" personId="{B6688F19-A308-40E8-BED8-A297F30B5405}" id="{8F2FE721-8AC7-4199-9B67-87C76F906BCA}" parentId="{C8927CF8-7421-452E-9BA5-96C026975E3A}">
    <text>Manually or automatically</text>
  </threadedComment>
  <threadedComment ref="G181" dT="2024-06-18T07:58:05.13" personId="{9E391544-F222-4EB9-9380-AE100FDE9069}" id="{A31FCBBB-3BCC-495D-A603-9AD813AC790D}" parentId="{C8927CF8-7421-452E-9BA5-96C026975E3A}">
    <text>Automatically to a sharefolder</text>
  </threadedComment>
  <threadedComment ref="G300" dT="2024-06-26T03:21:54.97" personId="{451C4618-4FB8-4C8D-B82E-C503A46CD9DF}" id="{DBCDC110-107F-4B62-B13B-7BB0FCEC8955}" done="1">
    <text>For Type C and type D only manual entry. It should also override the results recorded from Type A and Type B in case there are any issues in data capture.</text>
  </threadedComment>
  <threadedComment ref="G303" dT="2024-06-26T03:22:59.77" personId="{451C4618-4FB8-4C8D-B82E-C503A46CD9DF}" id="{3750931A-1C88-4D84-82DB-34DB886D84C9}" done="1">
    <text>what is export readable file?</text>
  </threadedComment>
  <threadedComment ref="G303" dT="2024-06-27T02:37:35.66" personId="{9E391544-F222-4EB9-9380-AE100FDE9069}" id="{B81E70F8-BDF7-4028-945F-7773EC6465A7}" parentId="{3750931A-1C88-4D84-82DB-34DB886D84C9}">
    <text>That means readable files generated by Type B instrument software should be exported to QCLaD for test result</text>
  </threadedComment>
  <threadedComment ref="G303" dT="2024-06-27T06:08:06.44" personId="{451C4618-4FB8-4C8D-B82E-C503A46CD9DF}" id="{68A79B5E-A38C-48BE-BD44-B266E61D17E9}" parentId="{3750931A-1C88-4D84-82DB-34DB886D84C9}">
    <text xml:space="preserve">If Type B instrument can generate a file, the integration should be possible. For Type A, there wont be any file
</text>
  </threadedComment>
  <threadedComment ref="G315" dT="2024-06-26T03:26:53.30" personId="{451C4618-4FB8-4C8D-B82E-C503A46CD9DF}" id="{784A5EC9-B7BD-487D-A99E-12D37BE254D6}" done="1">
    <text>System shall display standard cycle time, operator id who is performing the task, items consumed in the test process and its quantity. We also need to check whether it is possible to get actual cycle time of sample testing.</text>
  </threadedComment>
  <threadedComment ref="G315" dT="2024-07-01T03:49:03.30" personId="{9E391544-F222-4EB9-9380-AE100FDE9069}" id="{C978373F-37A7-4C14-9503-4F9AE72A87DD}" parentId="{784A5EC9-B7BD-487D-A99E-12D37BE254D6}">
    <text>For cycle time of test under MIC level, the system should be able to compare standard cycle time to actual cycle time.</text>
  </threadedComment>
  <threadedComment ref="G315" dT="2024-07-01T08:11:28.79" personId="{B6688F19-A308-40E8-BED8-A297F30B5405}" id="{4192A52D-75A2-4E28-A1A0-4DBEE243B1A2}" parentId="{784A5EC9-B7BD-487D-A99E-12D37BE254D6}">
    <text>Update</text>
  </threadedComment>
  <threadedComment ref="G325" dT="2024-06-26T03:29:22.81" personId="{451C4618-4FB8-4C8D-B82E-C503A46CD9DF}" id="{B16A1CC2-27A5-4A82-ADDE-87C22D7492C6}" done="1">
    <text>Should be "click and view" the hyperlink as hyperlink url to be added in master data as part of SOP/workflow.</text>
  </threadedComment>
  <threadedComment ref="G325" dT="2024-07-01T08:11:16.90" personId="{B6688F19-A308-40E8-BED8-A297F30B5405}" id="{23D2B798-64C9-4F35-B627-2BC6658859F8}" parentId="{B16A1CC2-27A5-4A82-ADDE-87C22D7492C6}">
    <text>Updated</text>
  </threadedComment>
  <threadedComment ref="G328" dT="2024-06-26T03:30:36.54" personId="{451C4618-4FB8-4C8D-B82E-C503A46CD9DF}" id="{C69D83CB-F088-4A67-AA64-C30B4B4D11C7}">
    <text xml:space="preserve">System should allow scanning of labels or QR code from iPAD or tablet. </text>
  </threadedComment>
  <threadedComment ref="G328" dT="2024-07-01T08:16:23.27" personId="{B6688F19-A308-40E8-BED8-A297F30B5405}" id="{59385754-687B-45DE-BF47-FCE4489CB3EB}" parentId="{C69D83CB-F088-4A67-AA64-C30B4B4D11C7}">
    <text>Ipad cannot scan label or QR directly, need a tablet with a scanning camera.</text>
  </threadedComment>
  <threadedComment ref="G328" dT="2024-07-02T04:35:53.55" personId="{9E391544-F222-4EB9-9380-AE100FDE9069}" id="{A8979422-5DF2-46FB-BCDA-D365AE2CC13B}" parentId="{C69D83CB-F088-4A67-AA64-C30B4B4D11C7}">
    <text>What they mention tablet is a Ipad slightly bigger than the normal one for better handling and it has the scanning function. Henkel need to understand whether we can utilize the existing Ipads and scanning guns to realize the operation of QCLaD.</text>
  </threadedComment>
  <threadedComment ref="G338" dT="2024-06-26T03:31:27.96" personId="{451C4618-4FB8-4C8D-B82E-C503A46CD9DF}" id="{56E7EAF8-7DEB-4DF3-8BD8-135512400FF2}" done="1">
    <text>what does remote location means?</text>
  </threadedComment>
  <threadedComment ref="G338" dT="2024-06-27T02:49:35.40" personId="{9E391544-F222-4EB9-9380-AE100FDE9069}" id="{D99A722F-4AE4-4D3C-A2A9-56008C91E2A4}" parentId="{56E7EAF8-7DEB-4DF3-8BD8-135512400FF2}">
    <text>Maybe refer to client?</text>
  </threadedComment>
  <threadedComment ref="G338" dT="2024-07-01T08:19:10.49" personId="{B6688F19-A308-40E8-BED8-A297F30B5405}" id="{C14CE129-35AF-48DF-9B1D-DE77798BB24D}" parentId="{56E7EAF8-7DEB-4DF3-8BD8-135512400FF2}">
    <text>This is what we want to confirm with you . Our understanding is system support remote operation</text>
  </threadedComment>
  <threadedComment ref="G338" dT="2024-07-02T04:37:23.38" personId="{9E391544-F222-4EB9-9380-AE100FDE9069}" id="{01090364-BABD-477F-A3BC-8F378E791992}" parentId="{56E7EAF8-7DEB-4DF3-8BD8-135512400FF2}">
    <text>Confirmed, the sample entry and test instrument  may not be in the same room.</text>
  </threadedComment>
  <threadedComment ref="G480" dT="2024-06-26T03:52:48.77" personId="{451C4618-4FB8-4C8D-B82E-C503A46CD9DF}" id="{2FED1468-254D-4FCC-A837-A431A356DC55}" done="1">
    <text xml:space="preserve">Specification and parameters have to be maintained in equipment master data whereas the details of spare parts, calibration and maintenance requirements to be available in their respective SOPs. </text>
  </threadedComment>
  <threadedComment ref="G480" dT="2024-07-01T08:27:35.06" personId="{B6688F19-A308-40E8-BED8-A297F30B5405}" id="{62412130-B93B-487A-89DD-F21CC1B32212}" parentId="{2FED1468-254D-4FCC-A837-A431A356DC55}">
    <text>Update</text>
  </threadedComment>
  <threadedComment ref="G489" dT="2024-06-26T10:57:05.03" personId="{451C4618-4FB8-4C8D-B82E-C503A46CD9DF}" id="{3EF0B6A9-8E51-4F85-8BC0-D5F2928D4256}" done="1">
    <text>Instrument is out of scope in alerting users of expiry</text>
  </threadedComment>
  <threadedComment ref="G489" dT="2024-07-01T08:29:19.29" personId="{B6688F19-A308-40E8-BED8-A297F30B5405}" id="{C6AD8DF9-464E-48D9-ACE9-09468DF46337}" parentId="{3EF0B6A9-8E51-4F85-8BC0-D5F2928D4256}">
    <text>Yes，update</text>
  </threadedComment>
  <threadedComment ref="G491" dT="2024-06-26T10:58:14.18" personId="{451C4618-4FB8-4C8D-B82E-C503A46CD9DF}" id="{258ABBAB-8F9A-4E86-B9FB-0D79A0275BAA}" done="1">
    <text>System should not allow the user to take a testing task if the operator is not qualified</text>
  </threadedComment>
  <threadedComment ref="G491" dT="2024-06-27T03:02:45.07" personId="{9E391544-F222-4EB9-9380-AE100FDE9069}" id="{138D5150-4F24-47F3-BA3D-B32E7983B4FD}" parentId="{258ABBAB-8F9A-4E86-B9FB-0D79A0275BAA}">
    <text>Agreed.</text>
  </threadedComment>
  <threadedComment ref="G491" dT="2024-07-01T08:34:06.92" personId="{B6688F19-A308-40E8-BED8-A297F30B5405}" id="{618541C5-4B9A-41A0-80D9-7B4D8ACAE2D5}" parentId="{258ABBAB-8F9A-4E86-B9FB-0D79A0275BAA}">
    <text xml:space="preserve">Update
</text>
  </threadedComment>
  <threadedComment ref="G498" dT="2024-06-26T10:59:20.43" personId="{451C4618-4FB8-4C8D-B82E-C503A46CD9DF}" id="{3F19113F-7CD6-4B0F-BBD6-ABDB5EF00E54}" done="1">
    <text>The fields for master data to be agreed by both teams</text>
  </threadedComment>
  <threadedComment ref="G498" dT="2024-07-01T08:35:10.68" personId="{B6688F19-A308-40E8-BED8-A297F30B5405}" id="{C54BD0B0-6DDE-4956-80C4-48261CA1D403}" parentId="{3F19113F-7CD6-4B0F-BBD6-ABDB5EF00E54}">
    <text>Agree</text>
  </threadedComment>
  <threadedComment ref="G506" dT="2024-06-26T14:12:02.97" personId="{451C4618-4FB8-4C8D-B82E-C503A46CD9DF}" id="{8AD3B62E-7515-48EF-B890-9B6B00B11800}" done="1">
    <text>User's training module should be a part of OSDP. It is out of scope based on our pre-alignment with Anson</text>
  </threadedComment>
  <threadedComment ref="G514" dT="2024-06-26T14:12:58.70" personId="{451C4618-4FB8-4C8D-B82E-C503A46CD9DF}" id="{7AE60D78-B66F-481C-9092-BA7FCF1D650E}" done="1">
    <text>do we need to mention where all the custom calculations are required?</text>
  </threadedComment>
  <threadedComment ref="G514" dT="2024-06-28T01:11:47.71" personId="{9E391544-F222-4EB9-9380-AE100FDE9069}" id="{01A9AAAF-D0D8-482C-ADA3-F30F6C6E3B74}" parentId="{7AE60D78-B66F-481C-9092-BA7FCF1D650E}">
    <text>Custom calculations means there are some intermediate result for some tests. The final result should be calculated according to the intermediate results and a configurable formula.</text>
  </threadedComment>
  <threadedComment ref="G514" dT="2024-07-01T08:40:31.59" personId="{B6688F19-A308-40E8-BED8-A297F30B5405}" id="{46F88F06-4394-4C83-8BCD-240E0BE2B331}" parentId="{7AE60D78-B66F-481C-9092-BA7FCF1D650E}">
    <text>We will reach an agreement during implementation.</text>
  </threadedComment>
  <threadedComment ref="G518" dT="2024-06-26T14:13:46.14" personId="{451C4618-4FB8-4C8D-B82E-C503A46CD9DF}" id="{10651365-38E8-4813-BDC9-8BC0B66587FD}" done="1">
    <text>what is multi level product specification? Do we need to mention the details?</text>
  </threadedComment>
  <threadedComment ref="G518" dT="2024-06-27T03:23:48.00" personId="{9E391544-F222-4EB9-9380-AE100FDE9069}" id="{D6341FBB-6041-4F0D-B2A4-7C3777C45328}" parentId="{10651365-38E8-4813-BDC9-8BC0B66587FD}">
    <text>Like internal spec for Summer and spec for winter.</text>
  </threadedComment>
  <threadedComment ref="G518" dT="2024-06-27T07:59:52.64" personId="{451C4618-4FB8-4C8D-B82E-C503A46CD9DF}" id="{6976002D-AD46-42E7-B9DE-EA8F2841E299}" parentId="{10651365-38E8-4813-BDC9-8BC0B66587FD}">
    <text>We can omit multi-level product specification part.</text>
  </threadedComment>
  <threadedComment ref="G527" dT="2024-06-26T14:14:55.67" personId="{451C4618-4FB8-4C8D-B82E-C503A46CD9DF}" id="{5FF0988F-D630-4927-8610-3C5ADE36ABA6}" done="1">
    <text>do we also need maximum quantity?</text>
  </threadedComment>
  <threadedComment ref="G527" dT="2024-06-27T03:33:26.02" personId="{9E391544-F222-4EB9-9380-AE100FDE9069}" id="{D782A97E-CAF2-4FB1-8A29-5A165C6D7196}" parentId="{5FF0988F-D630-4927-8610-3C5ADE36ABA6}">
    <text xml:space="preserve">Yes, for flammable and explosive reagents </text>
  </threadedComment>
  <threadedComment ref="G527" dT="2024-06-27T08:01:19.61" personId="{451C4618-4FB8-4C8D-B82E-C503A46CD9DF}" id="{9B65EB06-002F-4AFC-9C7D-E6FF5CD92311}" parentId="{5FF0988F-D630-4927-8610-3C5ADE36ABA6}">
    <text>TF need to add maximum part also</text>
  </threadedComment>
  <threadedComment ref="G527" dT="2024-07-01T08:44:44.61" personId="{B6688F19-A308-40E8-BED8-A297F30B5405}" id="{D523D0D2-A34A-46B3-8E10-616B443D3750}" parentId="{5FF0988F-D630-4927-8610-3C5ADE36ABA6}">
    <text>update</text>
  </threadedComment>
  <threadedComment ref="G534" dT="2024-06-26T14:17:30.90" personId="{451C4618-4FB8-4C8D-B82E-C503A46CD9DF}" id="{D70F3C17-7737-4723-862D-42D87C80A996}" done="1">
    <text>The understanding, by giving the material and batch, we should be able to retrieve the storage location for consumables, retain sample</text>
  </threadedComment>
  <threadedComment ref="G534" dT="2024-06-27T03:34:32.07" personId="{9E391544-F222-4EB9-9380-AE100FDE9069}" id="{5E29B1F0-3051-4850-9595-9D82DDFDA7DA}" parentId="{D70F3C17-7737-4723-862D-42D87C80A996}">
    <text>Exactly</text>
  </threadedComment>
  <threadedComment ref="G534" dT="2024-07-01T08:47:25.23" personId="{B6688F19-A308-40E8-BED8-A297F30B5405}" id="{B504FE62-0023-4D24-9EE9-DDA43F670527}" parentId="{D70F3C17-7737-4723-862D-42D87C80A996}">
    <text>update</text>
  </threadedComment>
  <threadedComment ref="G538" dT="2024-06-26T14:18:53.68" personId="{451C4618-4FB8-4C8D-B82E-C503A46CD9DF}" id="{C826A44B-B959-40BA-9A46-151DD9C298E1}" done="1">
    <text>Stock solution is an intermediate solution created from two or more consumables</text>
  </threadedComment>
  <threadedComment ref="G538" dT="2024-06-27T03:35:09.04" personId="{9E391544-F222-4EB9-9380-AE100FDE9069}" id="{482F5156-5661-4BD8-9BB1-85C525EB477E}" parentId="{C826A44B-B959-40BA-9A46-151DD9C298E1}">
    <text>Yes</text>
  </threadedComment>
  <threadedComment ref="G551" dT="2024-06-26T14:21:58.12" personId="{451C4618-4FB8-4C8D-B82E-C503A46CD9DF}" id="{079D2EE5-4A2A-4EB6-9565-AF54C8767BF2}" done="1">
    <text>what is the basis of automatic assignment?</text>
  </threadedComment>
  <threadedComment ref="G551" dT="2024-06-27T03:36:38.53" personId="{9E391544-F222-4EB9-9380-AE100FDE9069}" id="{F99B2963-7BB4-44B3-A2D9-1CE2D5774F98}" parentId="{079D2EE5-4A2A-4EB6-9565-AF54C8767BF2}">
    <text>Can be found in task list</text>
  </threadedComment>
  <threadedComment ref="G551" dT="2024-06-27T08:04:02.82" personId="{451C4618-4FB8-4C8D-B82E-C503A46CD9DF}" id="{EAB87D78-49AD-42FE-88BF-3D416C99FF69}" parentId="{079D2EE5-4A2A-4EB6-9565-AF54C8767BF2}">
    <text xml:space="preserve">Solution preparation will also be maintained in skill matrix. </text>
  </threadedComment>
  <threadedComment ref="G552" dT="2024-06-26T14:24:00.12" personId="{451C4618-4FB8-4C8D-B82E-C503A46CD9DF}" id="{A21B35D1-586D-4A9F-88E1-52FEB94B8B66}" done="1">
    <text>need to add the maintenance of instruments in OSDP as one skill. This should be available for each equipment</text>
  </threadedComment>
  <threadedComment ref="G555" dT="2024-06-26T14:24:40.64" personId="{451C4618-4FB8-4C8D-B82E-C503A46CD9DF}" id="{8B207976-54FF-4C47-87E5-ACF908435DEA}" done="1">
    <text>GHS information to be pulled from SAP system</text>
  </threadedComment>
  <threadedComment ref="G555" dT="2024-07-01T09:14:35.04" personId="{B6688F19-A308-40E8-BED8-A297F30B5405}" id="{D43402BE-3C8B-4F15-B8F9-DD95D835F08C}" parentId="{8B207976-54FF-4C47-87E5-ACF908435DEA}">
    <text>update</text>
  </threadedComment>
</ThreadedComments>
</file>

<file path=xl/threadedComments/threadedComment2.xml><?xml version="1.0" encoding="utf-8"?>
<ThreadedComments xmlns="http://schemas.microsoft.com/office/spreadsheetml/2018/threadedcomments" xmlns:x="http://schemas.openxmlformats.org/spreadsheetml/2006/main">
  <threadedComment ref="H2" dT="2024-06-14T02:22:55.51" personId="{451C4618-4FB8-4C8D-B82E-C503A46CD9DF}" id="{A5C94EE2-B369-4018-BACC-0C733790F83F}" done="1">
    <text>Which has an inspection lot(automatic)</text>
  </threadedComment>
  <threadedComment ref="K5" dT="2024-06-18T07:41:55.22" personId="{9E391544-F222-4EB9-9380-AE100FDE9069}" id="{77B1EAB3-D656-41B0-A9E9-D9D2DF563897}">
    <text>Why is this item customisation as it is standard functionality</text>
  </threadedComment>
  <threadedComment ref="K5" dT="2024-06-19T02:15:46.95" personId="{B6688F19-A308-40E8-BED8-A297F30B5405}" id="{709B4D8C-D4DC-45D6-9A82-C74B5F941E9B}" parentId="{77B1EAB3-D656-41B0-A9E9-D9D2DF563897}">
    <text>All with interface is customisation for us</text>
  </threadedComment>
  <threadedComment ref="H7" dT="2024-06-13T05:13:03.10" personId="{451C4618-4FB8-4C8D-B82E-C503A46CD9DF}" id="{955DA227-A5C8-4025-8802-80C1B1E71DBA}" done="1">
    <text>It can be barcode or QRCode</text>
  </threadedComment>
  <threadedComment ref="H103" dT="2024-06-26T14:21:58.12" personId="{451C4618-4FB8-4C8D-B82E-C503A46CD9DF}" id="{047121DE-2100-4E40-AC42-6E7D073C36A0}" done="1">
    <text>what is the basis of automatic assignment?</text>
  </threadedComment>
  <threadedComment ref="H103" dT="2024-06-27T03:36:38.53" personId="{9E391544-F222-4EB9-9380-AE100FDE9069}" id="{19C7204E-8341-456C-ADEC-C8E0B3CEB991}" parentId="{047121DE-2100-4E40-AC42-6E7D073C36A0}">
    <text>Can be found in task list</text>
  </threadedComment>
  <threadedComment ref="H103" dT="2024-06-27T08:04:02.82" personId="{451C4618-4FB8-4C8D-B82E-C503A46CD9DF}" id="{A9A8F3CB-21D8-420B-9F58-83A7C53C24A5}" parentId="{047121DE-2100-4E40-AC42-6E7D073C36A0}">
    <text xml:space="preserve">Solution preparation will also be maintained in skill matrix. </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2.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3.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40D4A-4C49-4427-B608-E412C8435B26}">
  <dimension ref="A1:AM902"/>
  <sheetViews>
    <sheetView topLeftCell="A7" zoomScaleNormal="100" workbookViewId="0">
      <pane ySplit="1" topLeftCell="A234" activePane="bottomLeft" state="frozen"/>
      <selection activeCell="A7" sqref="A7"/>
      <selection pane="bottomLeft" activeCell="G237" sqref="G237"/>
    </sheetView>
  </sheetViews>
  <sheetFormatPr defaultColWidth="8.109375" defaultRowHeight="14.4"/>
  <cols>
    <col min="1" max="1" width="9" style="54" customWidth="1"/>
    <col min="2" max="2" width="12.88671875" style="54" customWidth="1"/>
    <col min="3" max="3" width="6" style="96" customWidth="1"/>
    <col min="4" max="5" width="13.33203125" style="286" customWidth="1"/>
    <col min="6" max="6" width="12.44140625" style="100" customWidth="1"/>
    <col min="7" max="7" width="68.77734375" style="99" customWidth="1"/>
    <col min="8" max="8" width="8.44140625" style="100" customWidth="1"/>
    <col min="9" max="9" width="14" style="101" customWidth="1"/>
    <col min="10" max="22" width="8.88671875" style="87" hidden="1" customWidth="1"/>
    <col min="23" max="24" width="8.88671875" style="102" hidden="1" customWidth="1"/>
    <col min="25" max="25" width="8.88671875" style="96" hidden="1" customWidth="1"/>
    <col min="26" max="26" width="17.33203125" style="280" hidden="1" customWidth="1"/>
    <col min="27" max="27" width="8.88671875" style="99" hidden="1" customWidth="1"/>
    <col min="28" max="28" width="13.109375" style="99" hidden="1" customWidth="1"/>
    <col min="29" max="29" width="9.88671875" style="99" hidden="1" customWidth="1"/>
    <col min="30" max="30" width="13.33203125" style="99" hidden="1" customWidth="1"/>
    <col min="31" max="31" width="21.21875" style="99" hidden="1" customWidth="1"/>
    <col min="32" max="32" width="19.44140625" style="99" hidden="1" customWidth="1"/>
    <col min="33" max="33" width="17.77734375" style="106" hidden="1" customWidth="1"/>
    <col min="34" max="34" width="54" style="99" hidden="1" customWidth="1"/>
    <col min="35" max="35" width="13.6640625" style="103" bestFit="1" customWidth="1"/>
    <col min="36" max="36" width="8.109375" style="100"/>
    <col min="37" max="37" width="10.88671875" style="100" bestFit="1" customWidth="1"/>
    <col min="38" max="38" width="10.21875" style="54" bestFit="1" customWidth="1"/>
    <col min="39" max="39" width="23.33203125" style="64" bestFit="1" customWidth="1"/>
    <col min="40" max="16384" width="8.109375" style="54"/>
  </cols>
  <sheetData>
    <row r="1" spans="1:39">
      <c r="C1" s="55" t="s">
        <v>407</v>
      </c>
      <c r="D1" s="55"/>
      <c r="E1" s="55"/>
      <c r="F1" s="56"/>
      <c r="G1" s="57"/>
      <c r="H1" s="56"/>
      <c r="I1" s="56"/>
      <c r="J1" s="54"/>
      <c r="K1" s="54"/>
      <c r="L1" s="54"/>
      <c r="M1" s="54"/>
      <c r="N1" s="54"/>
      <c r="O1" s="54"/>
      <c r="P1" s="54"/>
      <c r="Q1" s="54"/>
      <c r="R1" s="56"/>
      <c r="S1" s="56"/>
      <c r="T1" s="56"/>
      <c r="U1" s="56"/>
      <c r="V1" s="56"/>
      <c r="W1" s="58"/>
      <c r="X1" s="58"/>
      <c r="Y1" s="59"/>
      <c r="Z1" s="60"/>
      <c r="AA1" s="57"/>
      <c r="AB1" s="57"/>
      <c r="AC1" s="57"/>
      <c r="AD1" s="57"/>
      <c r="AE1" s="57"/>
      <c r="AF1" s="57"/>
      <c r="AG1" s="61"/>
      <c r="AH1" s="57"/>
      <c r="AI1" s="62"/>
      <c r="AJ1" s="63"/>
      <c r="AK1" s="63"/>
      <c r="AL1" s="63"/>
    </row>
    <row r="2" spans="1:39" s="56" customFormat="1">
      <c r="C2" s="65"/>
      <c r="D2" s="59"/>
      <c r="E2" s="59"/>
      <c r="G2" s="57"/>
      <c r="J2" s="54"/>
      <c r="K2" s="54"/>
      <c r="L2" s="54"/>
      <c r="M2" s="54"/>
      <c r="N2" s="54"/>
      <c r="O2" s="54"/>
      <c r="P2" s="54"/>
      <c r="Q2" s="54"/>
      <c r="W2" s="58"/>
      <c r="X2" s="58"/>
      <c r="Y2" s="59"/>
      <c r="Z2" s="60"/>
      <c r="AA2" s="57"/>
      <c r="AB2" s="57"/>
      <c r="AC2" s="57"/>
      <c r="AD2" s="57"/>
      <c r="AE2" s="57"/>
      <c r="AF2" s="57"/>
      <c r="AG2" s="66"/>
      <c r="AH2" s="57"/>
      <c r="AI2" s="62"/>
      <c r="AJ2" s="67"/>
      <c r="AK2" s="68"/>
      <c r="AL2" s="67"/>
      <c r="AM2" s="57"/>
    </row>
    <row r="3" spans="1:39" s="56" customFormat="1">
      <c r="C3" s="65"/>
      <c r="D3" s="59"/>
      <c r="E3" s="59"/>
      <c r="F3" s="69" t="s">
        <v>408</v>
      </c>
      <c r="G3" s="58" t="s">
        <v>409</v>
      </c>
      <c r="J3" s="54"/>
      <c r="K3" s="54"/>
      <c r="L3" s="54"/>
      <c r="M3" s="54"/>
      <c r="N3" s="54"/>
      <c r="O3" s="54"/>
      <c r="P3" s="54"/>
      <c r="Q3" s="54"/>
      <c r="W3" s="58"/>
      <c r="X3" s="58"/>
      <c r="Y3" s="70"/>
      <c r="Z3" s="60"/>
      <c r="AA3" s="57"/>
      <c r="AB3" s="57"/>
      <c r="AC3" s="57"/>
      <c r="AD3" s="57"/>
      <c r="AE3" s="57"/>
      <c r="AF3" s="57"/>
      <c r="AG3" s="71"/>
      <c r="AH3" s="57"/>
      <c r="AI3" s="62"/>
      <c r="AJ3" s="67"/>
      <c r="AK3" s="68"/>
      <c r="AL3" s="67"/>
      <c r="AM3" s="57"/>
    </row>
    <row r="4" spans="1:39" s="56" customFormat="1">
      <c r="C4" s="65"/>
      <c r="D4" s="59"/>
      <c r="E4" s="59"/>
      <c r="F4" s="69" t="s">
        <v>410</v>
      </c>
      <c r="G4" s="58">
        <v>1</v>
      </c>
      <c r="J4" s="54"/>
      <c r="K4" s="54"/>
      <c r="L4" s="54"/>
      <c r="M4" s="54"/>
      <c r="N4" s="54"/>
      <c r="O4" s="54"/>
      <c r="P4" s="54"/>
      <c r="Q4" s="54"/>
      <c r="W4" s="58"/>
      <c r="X4" s="58"/>
      <c r="Z4" s="60"/>
      <c r="AA4" s="57"/>
      <c r="AB4" s="57"/>
      <c r="AC4" s="57"/>
      <c r="AD4" s="57"/>
      <c r="AE4" s="57"/>
      <c r="AF4" s="57"/>
      <c r="AG4" s="71"/>
      <c r="AH4" s="57"/>
      <c r="AI4" s="62"/>
      <c r="AJ4" s="63"/>
      <c r="AK4" s="63"/>
      <c r="AL4" s="63"/>
      <c r="AM4" s="57"/>
    </row>
    <row r="5" spans="1:39" s="56" customFormat="1">
      <c r="C5" s="65"/>
      <c r="D5" s="59"/>
      <c r="E5" s="59"/>
      <c r="F5" s="69" t="s">
        <v>411</v>
      </c>
      <c r="G5" s="72">
        <v>45447</v>
      </c>
      <c r="J5" s="54"/>
      <c r="K5" s="54"/>
      <c r="L5" s="54"/>
      <c r="M5" s="54"/>
      <c r="N5" s="54"/>
      <c r="O5" s="54"/>
      <c r="P5" s="54"/>
      <c r="Q5" s="54"/>
      <c r="W5" s="58"/>
      <c r="X5" s="58"/>
      <c r="Y5" s="70"/>
      <c r="Z5" s="60"/>
      <c r="AA5" s="57"/>
      <c r="AB5" s="57"/>
      <c r="AC5" s="57"/>
      <c r="AD5" s="57"/>
      <c r="AE5" s="57"/>
      <c r="AF5" s="57"/>
      <c r="AG5" s="71"/>
      <c r="AH5" s="57"/>
      <c r="AI5" s="62"/>
      <c r="AJ5" s="54"/>
      <c r="AK5" s="54"/>
      <c r="AL5" s="54"/>
      <c r="AM5" s="57"/>
    </row>
    <row r="6" spans="1:39" s="56" customFormat="1" ht="6.75" customHeight="1">
      <c r="C6" s="65"/>
      <c r="D6" s="59"/>
      <c r="E6" s="59"/>
      <c r="G6" s="57"/>
      <c r="J6" s="54"/>
      <c r="K6" s="54"/>
      <c r="L6" s="54"/>
      <c r="M6" s="54"/>
      <c r="N6" s="54"/>
      <c r="O6" s="54"/>
      <c r="P6" s="54"/>
      <c r="Q6" s="54"/>
      <c r="W6" s="58"/>
      <c r="X6" s="58"/>
      <c r="Z6" s="60"/>
      <c r="AA6" s="57"/>
      <c r="AB6" s="57"/>
      <c r="AC6" s="57"/>
      <c r="AD6" s="57"/>
      <c r="AE6" s="57"/>
      <c r="AF6" s="57"/>
      <c r="AG6" s="66"/>
      <c r="AH6" s="57"/>
      <c r="AI6" s="62"/>
      <c r="AJ6" s="54"/>
      <c r="AK6" s="54"/>
      <c r="AL6" s="54"/>
      <c r="AM6" s="57"/>
    </row>
    <row r="7" spans="1:39" s="79" customFormat="1" ht="105" customHeight="1">
      <c r="A7" s="73" t="s">
        <v>412</v>
      </c>
      <c r="B7" s="73" t="s">
        <v>413</v>
      </c>
      <c r="C7" s="73" t="s">
        <v>414</v>
      </c>
      <c r="D7" s="74" t="s">
        <v>415</v>
      </c>
      <c r="E7" s="74" t="s">
        <v>416</v>
      </c>
      <c r="F7" s="75" t="s">
        <v>417</v>
      </c>
      <c r="G7" s="75" t="s">
        <v>418</v>
      </c>
      <c r="H7" s="75" t="s">
        <v>6</v>
      </c>
      <c r="I7" s="73" t="s">
        <v>419</v>
      </c>
      <c r="J7" s="76" t="s">
        <v>420</v>
      </c>
      <c r="K7" s="76" t="s">
        <v>421</v>
      </c>
      <c r="L7" s="76" t="s">
        <v>422</v>
      </c>
      <c r="M7" s="76" t="s">
        <v>423</v>
      </c>
      <c r="N7" s="76" t="s">
        <v>424</v>
      </c>
      <c r="O7" s="76" t="s">
        <v>425</v>
      </c>
      <c r="P7" s="76" t="s">
        <v>426</v>
      </c>
      <c r="Q7" s="76" t="s">
        <v>427</v>
      </c>
      <c r="R7" s="76" t="s">
        <v>428</v>
      </c>
      <c r="S7" s="76" t="s">
        <v>429</v>
      </c>
      <c r="T7" s="76" t="s">
        <v>430</v>
      </c>
      <c r="U7" s="76" t="s">
        <v>431</v>
      </c>
      <c r="V7" s="76" t="s">
        <v>432</v>
      </c>
      <c r="W7" s="73" t="s">
        <v>433</v>
      </c>
      <c r="X7" s="73" t="s">
        <v>434</v>
      </c>
      <c r="Y7" s="75" t="s">
        <v>435</v>
      </c>
      <c r="Z7" s="75" t="s">
        <v>436</v>
      </c>
      <c r="AA7" s="75" t="s">
        <v>437</v>
      </c>
      <c r="AB7" s="75" t="s">
        <v>438</v>
      </c>
      <c r="AC7" s="75" t="s">
        <v>439</v>
      </c>
      <c r="AD7" s="75" t="s">
        <v>440</v>
      </c>
      <c r="AE7" s="75" t="s">
        <v>441</v>
      </c>
      <c r="AF7" s="75" t="s">
        <v>442</v>
      </c>
      <c r="AG7" s="77" t="s">
        <v>443</v>
      </c>
      <c r="AH7" s="75" t="s">
        <v>444</v>
      </c>
      <c r="AI7" s="73" t="s">
        <v>445</v>
      </c>
      <c r="AJ7" s="75"/>
      <c r="AK7" s="75"/>
      <c r="AL7" s="75"/>
      <c r="AM7" s="78"/>
    </row>
    <row r="8" spans="1:39" s="56" customFormat="1" ht="101.7" customHeight="1">
      <c r="A8" s="56" t="s">
        <v>446</v>
      </c>
      <c r="C8" s="80"/>
      <c r="D8" s="81" t="s">
        <v>447</v>
      </c>
      <c r="E8" s="82"/>
      <c r="F8" s="83" t="s">
        <v>448</v>
      </c>
      <c r="G8" s="84" t="s">
        <v>449</v>
      </c>
      <c r="H8" s="85" t="s">
        <v>41</v>
      </c>
      <c r="I8" s="86"/>
      <c r="J8" s="87"/>
      <c r="K8" s="87"/>
      <c r="L8" s="87"/>
      <c r="M8" s="87"/>
      <c r="N8" s="87"/>
      <c r="O8" s="87"/>
      <c r="P8" s="87"/>
      <c r="Q8" s="87"/>
      <c r="R8" s="87"/>
      <c r="S8" s="87"/>
      <c r="T8" s="87"/>
      <c r="U8" s="87"/>
      <c r="V8" s="87"/>
      <c r="W8" s="88"/>
      <c r="X8" s="88"/>
      <c r="Y8" s="89"/>
      <c r="Z8" s="90"/>
      <c r="AA8" s="91"/>
      <c r="AB8" s="91"/>
      <c r="AC8" s="91"/>
      <c r="AD8" s="91"/>
      <c r="AE8" s="91"/>
      <c r="AF8" s="84"/>
      <c r="AG8" s="92"/>
      <c r="AH8" s="91"/>
      <c r="AI8" s="93"/>
      <c r="AJ8" s="94"/>
      <c r="AK8" s="95"/>
      <c r="AL8" s="95"/>
      <c r="AM8" s="57"/>
    </row>
    <row r="9" spans="1:39" s="56" customFormat="1" ht="43.2">
      <c r="A9" s="56" t="s">
        <v>446</v>
      </c>
      <c r="B9" s="56" t="s">
        <v>450</v>
      </c>
      <c r="C9" s="96" t="s">
        <v>451</v>
      </c>
      <c r="D9" s="97" t="s">
        <v>452</v>
      </c>
      <c r="E9" s="96" t="s">
        <v>11</v>
      </c>
      <c r="F9" s="98"/>
      <c r="G9" s="99" t="s">
        <v>453</v>
      </c>
      <c r="H9" s="100" t="s">
        <v>41</v>
      </c>
      <c r="I9" s="101" t="s">
        <v>454</v>
      </c>
      <c r="J9" s="87" t="s">
        <v>455</v>
      </c>
      <c r="K9" s="87" t="s">
        <v>455</v>
      </c>
      <c r="L9" s="87" t="s">
        <v>455</v>
      </c>
      <c r="M9" s="87" t="s">
        <v>455</v>
      </c>
      <c r="N9" s="87" t="s">
        <v>455</v>
      </c>
      <c r="O9" s="87" t="s">
        <v>455</v>
      </c>
      <c r="P9" s="87" t="s">
        <v>455</v>
      </c>
      <c r="Q9" s="87" t="s">
        <v>456</v>
      </c>
      <c r="R9" s="87" t="s">
        <v>455</v>
      </c>
      <c r="S9" s="87" t="s">
        <v>455</v>
      </c>
      <c r="T9" s="87" t="s">
        <v>455</v>
      </c>
      <c r="U9" s="87" t="s">
        <v>456</v>
      </c>
      <c r="V9" s="87" t="s">
        <v>456</v>
      </c>
      <c r="W9" s="102"/>
      <c r="X9" s="102"/>
      <c r="Y9" s="103"/>
      <c r="Z9" s="104" t="s">
        <v>457</v>
      </c>
      <c r="AA9" s="99"/>
      <c r="AB9" s="99"/>
      <c r="AC9" s="99"/>
      <c r="AD9" s="99"/>
      <c r="AE9" s="99"/>
      <c r="AF9" s="105"/>
      <c r="AG9" s="106"/>
      <c r="AH9" s="99"/>
      <c r="AI9" s="107">
        <v>6</v>
      </c>
      <c r="AJ9" s="108"/>
      <c r="AK9" s="100"/>
      <c r="AL9" s="100"/>
      <c r="AM9" s="57"/>
    </row>
    <row r="10" spans="1:39" s="56" customFormat="1">
      <c r="A10" s="56" t="s">
        <v>458</v>
      </c>
      <c r="C10" s="96"/>
      <c r="D10" s="97" t="s">
        <v>459</v>
      </c>
      <c r="E10" s="96"/>
      <c r="F10" s="98" t="s">
        <v>102</v>
      </c>
      <c r="G10" s="109" t="s">
        <v>460</v>
      </c>
      <c r="H10" s="100"/>
      <c r="I10" s="101"/>
      <c r="J10" s="87"/>
      <c r="K10" s="87"/>
      <c r="L10" s="87"/>
      <c r="M10" s="87"/>
      <c r="N10" s="87"/>
      <c r="O10" s="87"/>
      <c r="P10" s="87"/>
      <c r="Q10" s="87"/>
      <c r="R10" s="87"/>
      <c r="S10" s="87"/>
      <c r="T10" s="87"/>
      <c r="U10" s="87"/>
      <c r="V10" s="87"/>
      <c r="W10" s="102"/>
      <c r="X10" s="102"/>
      <c r="Y10" s="103"/>
      <c r="Z10" s="104"/>
      <c r="AA10" s="99"/>
      <c r="AB10" s="99"/>
      <c r="AC10" s="99"/>
      <c r="AD10" s="99"/>
      <c r="AE10" s="99"/>
      <c r="AF10" s="105"/>
      <c r="AG10" s="106"/>
      <c r="AH10" s="99"/>
      <c r="AI10" s="107"/>
      <c r="AJ10" s="108"/>
      <c r="AK10" s="100"/>
      <c r="AL10" s="100"/>
      <c r="AM10" s="57"/>
    </row>
    <row r="11" spans="1:39" s="56" customFormat="1" ht="35.1" customHeight="1">
      <c r="A11" s="56" t="s">
        <v>458</v>
      </c>
      <c r="B11" s="56" t="s">
        <v>450</v>
      </c>
      <c r="C11" s="96" t="s">
        <v>461</v>
      </c>
      <c r="D11" s="97" t="s">
        <v>462</v>
      </c>
      <c r="E11" s="96" t="s">
        <v>11</v>
      </c>
      <c r="F11" s="98"/>
      <c r="G11" s="110" t="s">
        <v>463</v>
      </c>
      <c r="H11" s="100" t="s">
        <v>41</v>
      </c>
      <c r="I11" s="101" t="s">
        <v>454</v>
      </c>
      <c r="J11" s="87" t="s">
        <v>455</v>
      </c>
      <c r="K11" s="87" t="s">
        <v>455</v>
      </c>
      <c r="L11" s="87" t="s">
        <v>455</v>
      </c>
      <c r="M11" s="87" t="s">
        <v>456</v>
      </c>
      <c r="N11" s="87" t="s">
        <v>456</v>
      </c>
      <c r="O11" s="87" t="s">
        <v>456</v>
      </c>
      <c r="P11" s="87" t="s">
        <v>456</v>
      </c>
      <c r="Q11" s="87" t="s">
        <v>456</v>
      </c>
      <c r="R11" s="87" t="s">
        <v>456</v>
      </c>
      <c r="S11" s="87" t="s">
        <v>456</v>
      </c>
      <c r="T11" s="87" t="s">
        <v>456</v>
      </c>
      <c r="U11" s="87" t="s">
        <v>456</v>
      </c>
      <c r="V11" s="87" t="s">
        <v>456</v>
      </c>
      <c r="W11" s="102"/>
      <c r="X11" s="102"/>
      <c r="Y11" s="103"/>
      <c r="Z11" s="111" t="s">
        <v>464</v>
      </c>
      <c r="AA11" s="99"/>
      <c r="AB11" s="99"/>
      <c r="AC11" s="99"/>
      <c r="AD11" s="99"/>
      <c r="AE11" s="99"/>
      <c r="AF11" s="105"/>
      <c r="AG11" s="106"/>
      <c r="AH11" s="99"/>
      <c r="AI11" s="107" t="s">
        <v>465</v>
      </c>
      <c r="AJ11" s="108"/>
      <c r="AK11" s="100"/>
      <c r="AL11" s="100"/>
      <c r="AM11" s="57"/>
    </row>
    <row r="12" spans="1:39" ht="72">
      <c r="A12" s="54" t="s">
        <v>446</v>
      </c>
      <c r="B12" s="56" t="s">
        <v>450</v>
      </c>
      <c r="C12" s="96" t="s">
        <v>466</v>
      </c>
      <c r="D12" s="97" t="s">
        <v>467</v>
      </c>
      <c r="E12" s="96" t="s">
        <v>11</v>
      </c>
      <c r="F12" s="98"/>
      <c r="G12" s="110" t="s">
        <v>468</v>
      </c>
      <c r="H12" s="100" t="s">
        <v>41</v>
      </c>
      <c r="I12" s="101" t="s">
        <v>454</v>
      </c>
      <c r="J12" s="87" t="s">
        <v>456</v>
      </c>
      <c r="K12" s="87" t="s">
        <v>456</v>
      </c>
      <c r="L12" s="87" t="s">
        <v>456</v>
      </c>
      <c r="M12" s="87" t="s">
        <v>455</v>
      </c>
      <c r="N12" s="87" t="s">
        <v>455</v>
      </c>
      <c r="O12" s="87" t="s">
        <v>455</v>
      </c>
      <c r="P12" s="87" t="s">
        <v>455</v>
      </c>
      <c r="Q12" s="87" t="s">
        <v>456</v>
      </c>
      <c r="R12" s="87" t="s">
        <v>455</v>
      </c>
      <c r="S12" s="87" t="s">
        <v>455</v>
      </c>
      <c r="T12" s="87" t="s">
        <v>455</v>
      </c>
      <c r="U12" s="87" t="s">
        <v>456</v>
      </c>
      <c r="V12" s="87" t="s">
        <v>456</v>
      </c>
      <c r="Y12" s="103"/>
      <c r="Z12" s="111" t="s">
        <v>464</v>
      </c>
      <c r="AF12" s="105"/>
      <c r="AI12" s="112" t="s">
        <v>465</v>
      </c>
      <c r="AJ12" s="108"/>
      <c r="AL12" s="56"/>
    </row>
    <row r="13" spans="1:39" s="56" customFormat="1" ht="28.8">
      <c r="A13" s="56" t="s">
        <v>446</v>
      </c>
      <c r="C13" s="80"/>
      <c r="D13" s="81" t="s">
        <v>469</v>
      </c>
      <c r="E13" s="82"/>
      <c r="F13" s="83"/>
      <c r="G13" s="84" t="s">
        <v>470</v>
      </c>
      <c r="H13" s="85" t="s">
        <v>41</v>
      </c>
      <c r="I13" s="86"/>
      <c r="J13" s="87"/>
      <c r="K13" s="87"/>
      <c r="L13" s="87"/>
      <c r="M13" s="87"/>
      <c r="N13" s="87"/>
      <c r="O13" s="87"/>
      <c r="P13" s="87"/>
      <c r="Q13" s="87"/>
      <c r="R13" s="87"/>
      <c r="S13" s="87"/>
      <c r="T13" s="87"/>
      <c r="U13" s="87"/>
      <c r="V13" s="87"/>
      <c r="W13" s="88"/>
      <c r="X13" s="88"/>
      <c r="Y13" s="89"/>
      <c r="Z13" s="90"/>
      <c r="AA13" s="91"/>
      <c r="AB13" s="91"/>
      <c r="AC13" s="91"/>
      <c r="AD13" s="91"/>
      <c r="AE13" s="91"/>
      <c r="AF13" s="84"/>
      <c r="AG13" s="92"/>
      <c r="AH13" s="91"/>
      <c r="AI13" s="113"/>
      <c r="AJ13" s="114"/>
      <c r="AK13" s="85"/>
      <c r="AL13" s="85"/>
      <c r="AM13" s="57"/>
    </row>
    <row r="14" spans="1:39" s="56" customFormat="1" ht="28.8">
      <c r="A14" s="56" t="s">
        <v>446</v>
      </c>
      <c r="B14" s="56" t="s">
        <v>172</v>
      </c>
      <c r="C14" s="96" t="s">
        <v>471</v>
      </c>
      <c r="D14" s="97" t="s">
        <v>472</v>
      </c>
      <c r="E14" s="96" t="s">
        <v>11</v>
      </c>
      <c r="F14" s="98"/>
      <c r="G14" s="115" t="s">
        <v>473</v>
      </c>
      <c r="H14" s="100"/>
      <c r="I14" s="101" t="s">
        <v>14</v>
      </c>
      <c r="J14" s="87" t="s">
        <v>455</v>
      </c>
      <c r="K14" s="87" t="s">
        <v>455</v>
      </c>
      <c r="L14" s="87" t="s">
        <v>455</v>
      </c>
      <c r="M14" s="87" t="s">
        <v>456</v>
      </c>
      <c r="N14" s="87" t="s">
        <v>455</v>
      </c>
      <c r="O14" s="87" t="s">
        <v>456</v>
      </c>
      <c r="P14" s="87" t="s">
        <v>456</v>
      </c>
      <c r="Q14" s="87" t="s">
        <v>456</v>
      </c>
      <c r="R14" s="87" t="s">
        <v>455</v>
      </c>
      <c r="S14" s="87" t="s">
        <v>455</v>
      </c>
      <c r="T14" s="87" t="s">
        <v>455</v>
      </c>
      <c r="U14" s="87" t="s">
        <v>456</v>
      </c>
      <c r="V14" s="87" t="s">
        <v>455</v>
      </c>
      <c r="W14" s="102"/>
      <c r="X14" s="102"/>
      <c r="Y14" s="103"/>
      <c r="Z14" s="104" t="s">
        <v>474</v>
      </c>
      <c r="AA14" s="99"/>
      <c r="AB14" s="99"/>
      <c r="AC14" s="99"/>
      <c r="AD14" s="99"/>
      <c r="AE14" s="99"/>
      <c r="AF14" s="105"/>
      <c r="AG14" s="106"/>
      <c r="AH14" s="99"/>
      <c r="AI14" s="107"/>
      <c r="AJ14" s="116"/>
      <c r="AM14" s="57"/>
    </row>
    <row r="15" spans="1:39" s="56" customFormat="1" ht="34.5" customHeight="1">
      <c r="A15" s="56" t="s">
        <v>446</v>
      </c>
      <c r="B15" s="56" t="s">
        <v>172</v>
      </c>
      <c r="C15" s="96" t="s">
        <v>475</v>
      </c>
      <c r="D15" s="97" t="s">
        <v>16</v>
      </c>
      <c r="E15" s="96" t="s">
        <v>17</v>
      </c>
      <c r="F15" s="98"/>
      <c r="G15" s="99" t="s">
        <v>476</v>
      </c>
      <c r="H15" s="100"/>
      <c r="I15" s="101" t="s">
        <v>14</v>
      </c>
      <c r="J15" s="87"/>
      <c r="K15" s="87" t="s">
        <v>455</v>
      </c>
      <c r="L15" s="87"/>
      <c r="M15" s="87"/>
      <c r="N15" s="87"/>
      <c r="O15" s="87"/>
      <c r="P15" s="87"/>
      <c r="Q15" s="87"/>
      <c r="R15" s="87"/>
      <c r="S15" s="87"/>
      <c r="T15" s="87"/>
      <c r="U15" s="87"/>
      <c r="V15" s="87"/>
      <c r="W15" s="102"/>
      <c r="X15" s="102"/>
      <c r="Y15" s="103"/>
      <c r="Z15" s="117" t="s">
        <v>477</v>
      </c>
      <c r="AA15" s="99"/>
      <c r="AB15" s="99"/>
      <c r="AC15" s="99"/>
      <c r="AD15" s="99"/>
      <c r="AE15" s="99"/>
      <c r="AF15" s="105"/>
      <c r="AG15" s="106"/>
      <c r="AH15" s="99"/>
      <c r="AI15" s="112"/>
      <c r="AJ15" s="116"/>
      <c r="AM15" s="57"/>
    </row>
    <row r="16" spans="1:39" s="56" customFormat="1" ht="34.5" customHeight="1">
      <c r="A16" s="56" t="s">
        <v>446</v>
      </c>
      <c r="B16" s="56" t="s">
        <v>450</v>
      </c>
      <c r="C16" s="96" t="s">
        <v>478</v>
      </c>
      <c r="D16" s="97" t="s">
        <v>479</v>
      </c>
      <c r="E16" s="96" t="s">
        <v>11</v>
      </c>
      <c r="F16" s="98"/>
      <c r="G16" s="118" t="s">
        <v>480</v>
      </c>
      <c r="H16" s="100"/>
      <c r="I16" s="101" t="s">
        <v>481</v>
      </c>
      <c r="J16" s="87" t="s">
        <v>455</v>
      </c>
      <c r="K16" s="87" t="s">
        <v>455</v>
      </c>
      <c r="L16" s="87" t="s">
        <v>455</v>
      </c>
      <c r="M16" s="87" t="s">
        <v>455</v>
      </c>
      <c r="N16" s="87" t="s">
        <v>455</v>
      </c>
      <c r="O16" s="87" t="s">
        <v>455</v>
      </c>
      <c r="P16" s="87" t="s">
        <v>455</v>
      </c>
      <c r="Q16" s="87"/>
      <c r="R16" s="87" t="s">
        <v>455</v>
      </c>
      <c r="S16" s="87" t="s">
        <v>455</v>
      </c>
      <c r="T16" s="87" t="s">
        <v>455</v>
      </c>
      <c r="U16" s="87"/>
      <c r="V16" s="87" t="s">
        <v>455</v>
      </c>
      <c r="W16" s="102"/>
      <c r="X16" s="102"/>
      <c r="Y16" s="103"/>
      <c r="Z16" s="104"/>
      <c r="AA16" s="99"/>
      <c r="AB16" s="99"/>
      <c r="AC16" s="99"/>
      <c r="AD16" s="99"/>
      <c r="AE16" s="99"/>
      <c r="AF16" s="105"/>
      <c r="AG16" s="106"/>
      <c r="AH16" s="99"/>
      <c r="AI16" s="112">
        <v>2</v>
      </c>
      <c r="AJ16" s="116"/>
      <c r="AM16" s="57"/>
    </row>
    <row r="17" spans="1:39" s="56" customFormat="1" ht="43.2">
      <c r="A17" s="56" t="s">
        <v>446</v>
      </c>
      <c r="C17" s="80"/>
      <c r="D17" s="81" t="s">
        <v>482</v>
      </c>
      <c r="E17" s="82"/>
      <c r="F17" s="83"/>
      <c r="G17" s="84" t="s">
        <v>483</v>
      </c>
      <c r="H17" s="85" t="s">
        <v>41</v>
      </c>
      <c r="I17" s="86"/>
      <c r="J17" s="87"/>
      <c r="K17" s="87"/>
      <c r="L17" s="87"/>
      <c r="M17" s="87"/>
      <c r="N17" s="87"/>
      <c r="O17" s="87"/>
      <c r="P17" s="87"/>
      <c r="Q17" s="87"/>
      <c r="R17" s="87"/>
      <c r="S17" s="87"/>
      <c r="T17" s="87"/>
      <c r="U17" s="87"/>
      <c r="V17" s="87"/>
      <c r="W17" s="88"/>
      <c r="X17" s="88"/>
      <c r="Y17" s="89"/>
      <c r="Z17" s="90"/>
      <c r="AA17" s="91"/>
      <c r="AB17" s="91"/>
      <c r="AC17" s="91"/>
      <c r="AD17" s="91"/>
      <c r="AE17" s="91"/>
      <c r="AF17" s="84"/>
      <c r="AG17" s="92"/>
      <c r="AH17" s="91"/>
      <c r="AI17" s="113"/>
      <c r="AJ17" s="116"/>
      <c r="AM17" s="57"/>
    </row>
    <row r="18" spans="1:39" s="56" customFormat="1" ht="34.5" customHeight="1">
      <c r="A18" s="56" t="s">
        <v>446</v>
      </c>
      <c r="B18" s="56" t="s">
        <v>450</v>
      </c>
      <c r="C18" s="96" t="s">
        <v>484</v>
      </c>
      <c r="D18" s="97" t="s">
        <v>485</v>
      </c>
      <c r="E18" s="96" t="s">
        <v>11</v>
      </c>
      <c r="F18" s="98"/>
      <c r="G18" s="99" t="s">
        <v>486</v>
      </c>
      <c r="H18" s="100" t="s">
        <v>41</v>
      </c>
      <c r="I18" s="101" t="s">
        <v>454</v>
      </c>
      <c r="J18" s="87" t="s">
        <v>455</v>
      </c>
      <c r="K18" s="87" t="s">
        <v>455</v>
      </c>
      <c r="L18" s="87" t="s">
        <v>455</v>
      </c>
      <c r="M18" s="87" t="s">
        <v>455</v>
      </c>
      <c r="N18" s="87" t="s">
        <v>455</v>
      </c>
      <c r="O18" s="87" t="s">
        <v>455</v>
      </c>
      <c r="P18" s="87" t="s">
        <v>455</v>
      </c>
      <c r="Q18" s="87"/>
      <c r="R18" s="87" t="s">
        <v>455</v>
      </c>
      <c r="S18" s="87" t="s">
        <v>455</v>
      </c>
      <c r="T18" s="87" t="s">
        <v>455</v>
      </c>
      <c r="U18" s="87"/>
      <c r="V18" s="87" t="s">
        <v>455</v>
      </c>
      <c r="W18" s="102"/>
      <c r="X18" s="102"/>
      <c r="Y18" s="103"/>
      <c r="Z18" s="104" t="s">
        <v>487</v>
      </c>
      <c r="AA18" s="99"/>
      <c r="AB18" s="99"/>
      <c r="AC18" s="99"/>
      <c r="AD18" s="99"/>
      <c r="AE18" s="99"/>
      <c r="AF18" s="105"/>
      <c r="AG18" s="106"/>
      <c r="AH18" s="99"/>
      <c r="AI18" s="112">
        <v>1</v>
      </c>
      <c r="AJ18" s="94"/>
      <c r="AK18" s="95"/>
      <c r="AL18" s="95"/>
      <c r="AM18" s="57"/>
    </row>
    <row r="19" spans="1:39" s="56" customFormat="1" ht="72">
      <c r="A19" s="56" t="s">
        <v>446</v>
      </c>
      <c r="B19" s="56" t="s">
        <v>450</v>
      </c>
      <c r="C19" s="96" t="s">
        <v>488</v>
      </c>
      <c r="D19" s="97" t="s">
        <v>20</v>
      </c>
      <c r="E19" s="96" t="s">
        <v>11</v>
      </c>
      <c r="F19" s="98"/>
      <c r="G19" s="99" t="s">
        <v>21</v>
      </c>
      <c r="H19" s="100"/>
      <c r="I19" s="101" t="s">
        <v>14</v>
      </c>
      <c r="J19" s="87"/>
      <c r="K19" s="87"/>
      <c r="L19" s="87"/>
      <c r="M19" s="87"/>
      <c r="N19" s="87"/>
      <c r="O19" s="87"/>
      <c r="P19" s="87"/>
      <c r="Q19" s="87"/>
      <c r="R19" s="87"/>
      <c r="S19" s="87"/>
      <c r="T19" s="87"/>
      <c r="U19" s="87"/>
      <c r="V19" s="87"/>
      <c r="W19" s="102"/>
      <c r="X19" s="102"/>
      <c r="Y19" s="103"/>
      <c r="Z19" s="104" t="s">
        <v>489</v>
      </c>
      <c r="AA19" s="99"/>
      <c r="AB19" s="99"/>
      <c r="AC19" s="99"/>
      <c r="AD19" s="99"/>
      <c r="AE19" s="99"/>
      <c r="AF19" s="105"/>
      <c r="AG19" s="106"/>
      <c r="AH19" s="99"/>
      <c r="AI19" s="107"/>
      <c r="AJ19" s="108"/>
      <c r="AK19" s="100"/>
      <c r="AL19" s="100"/>
      <c r="AM19" s="57"/>
    </row>
    <row r="20" spans="1:39" s="56" customFormat="1" ht="34.5" customHeight="1">
      <c r="A20" s="56" t="s">
        <v>446</v>
      </c>
      <c r="C20" s="96"/>
      <c r="D20" s="97" t="s">
        <v>490</v>
      </c>
      <c r="E20" s="96"/>
      <c r="F20" s="98" t="s">
        <v>64</v>
      </c>
      <c r="G20" s="109" t="s">
        <v>491</v>
      </c>
      <c r="H20" s="100"/>
      <c r="I20" s="101"/>
      <c r="J20" s="87"/>
      <c r="K20" s="87"/>
      <c r="L20" s="87"/>
      <c r="M20" s="87"/>
      <c r="N20" s="87"/>
      <c r="O20" s="87"/>
      <c r="P20" s="87"/>
      <c r="Q20" s="87"/>
      <c r="R20" s="87"/>
      <c r="S20" s="87"/>
      <c r="T20" s="87"/>
      <c r="U20" s="87"/>
      <c r="V20" s="87"/>
      <c r="W20" s="102"/>
      <c r="X20" s="102"/>
      <c r="Y20" s="103"/>
      <c r="Z20" s="104"/>
      <c r="AA20" s="99"/>
      <c r="AB20" s="99"/>
      <c r="AC20" s="99"/>
      <c r="AD20" s="99"/>
      <c r="AE20" s="99"/>
      <c r="AF20" s="105"/>
      <c r="AG20" s="106"/>
      <c r="AH20" s="99"/>
      <c r="AI20" s="112"/>
      <c r="AJ20" s="94"/>
      <c r="AK20" s="119"/>
      <c r="AL20" s="119"/>
      <c r="AM20" s="57"/>
    </row>
    <row r="21" spans="1:39" s="56" customFormat="1">
      <c r="A21" s="56" t="s">
        <v>446</v>
      </c>
      <c r="B21" s="56" t="s">
        <v>450</v>
      </c>
      <c r="C21" s="96" t="s">
        <v>492</v>
      </c>
      <c r="D21" s="97" t="s">
        <v>493</v>
      </c>
      <c r="E21" s="96" t="s">
        <v>11</v>
      </c>
      <c r="F21" s="98"/>
      <c r="G21" s="99" t="s">
        <v>494</v>
      </c>
      <c r="H21" s="100" t="s">
        <v>41</v>
      </c>
      <c r="I21" s="101" t="s">
        <v>481</v>
      </c>
      <c r="J21" s="87"/>
      <c r="K21" s="87"/>
      <c r="L21" s="87"/>
      <c r="M21" s="87"/>
      <c r="N21" s="87"/>
      <c r="O21" s="87"/>
      <c r="P21" s="87"/>
      <c r="Q21" s="87"/>
      <c r="R21" s="87"/>
      <c r="S21" s="87"/>
      <c r="T21" s="87"/>
      <c r="U21" s="87"/>
      <c r="V21" s="87"/>
      <c r="W21" s="102"/>
      <c r="X21" s="102"/>
      <c r="Y21" s="103"/>
      <c r="Z21" s="104" t="s">
        <v>495</v>
      </c>
      <c r="AA21" s="99"/>
      <c r="AB21" s="99"/>
      <c r="AC21" s="99"/>
      <c r="AD21" s="99"/>
      <c r="AE21" s="99"/>
      <c r="AF21" s="105"/>
      <c r="AG21" s="106"/>
      <c r="AH21" s="99"/>
      <c r="AI21" s="107" t="s">
        <v>465</v>
      </c>
      <c r="AJ21" s="108"/>
      <c r="AK21" s="100"/>
      <c r="AL21" s="100"/>
      <c r="AM21" s="57"/>
    </row>
    <row r="22" spans="1:39" s="56" customFormat="1" ht="28.8">
      <c r="A22" s="56" t="s">
        <v>446</v>
      </c>
      <c r="C22" s="96"/>
      <c r="D22" s="97" t="s">
        <v>496</v>
      </c>
      <c r="E22" s="96"/>
      <c r="F22" s="120" t="s">
        <v>497</v>
      </c>
      <c r="G22" s="121" t="s">
        <v>498</v>
      </c>
      <c r="H22" s="100"/>
      <c r="I22" s="101"/>
      <c r="J22" s="87"/>
      <c r="K22" s="87"/>
      <c r="L22" s="87"/>
      <c r="M22" s="87"/>
      <c r="N22" s="87"/>
      <c r="O22" s="87"/>
      <c r="P22" s="87"/>
      <c r="Q22" s="87"/>
      <c r="R22" s="87"/>
      <c r="S22" s="87"/>
      <c r="T22" s="87"/>
      <c r="U22" s="87"/>
      <c r="V22" s="87"/>
      <c r="W22" s="102"/>
      <c r="X22" s="102"/>
      <c r="Y22" s="103"/>
      <c r="Z22" s="104"/>
      <c r="AA22" s="99"/>
      <c r="AB22" s="99"/>
      <c r="AC22" s="99"/>
      <c r="AD22" s="99"/>
      <c r="AE22" s="99"/>
      <c r="AF22" s="105"/>
      <c r="AG22" s="106"/>
      <c r="AH22" s="99"/>
      <c r="AI22" s="107"/>
      <c r="AJ22" s="94"/>
      <c r="AK22" s="95"/>
      <c r="AL22" s="95"/>
      <c r="AM22" s="57"/>
    </row>
    <row r="23" spans="1:39" s="56" customFormat="1" ht="45" customHeight="1">
      <c r="A23" s="56" t="s">
        <v>446</v>
      </c>
      <c r="C23" s="80"/>
      <c r="D23" s="81" t="s">
        <v>499</v>
      </c>
      <c r="E23" s="82"/>
      <c r="F23" s="83"/>
      <c r="G23" s="84" t="s">
        <v>500</v>
      </c>
      <c r="H23" s="85" t="s">
        <v>41</v>
      </c>
      <c r="I23" s="86"/>
      <c r="J23" s="87"/>
      <c r="K23" s="87"/>
      <c r="L23" s="87"/>
      <c r="M23" s="87"/>
      <c r="N23" s="87"/>
      <c r="O23" s="87"/>
      <c r="P23" s="87"/>
      <c r="Q23" s="87"/>
      <c r="R23" s="87"/>
      <c r="S23" s="87"/>
      <c r="T23" s="87"/>
      <c r="U23" s="87"/>
      <c r="V23" s="87"/>
      <c r="W23" s="88"/>
      <c r="X23" s="88"/>
      <c r="Y23" s="89"/>
      <c r="Z23" s="90"/>
      <c r="AA23" s="91"/>
      <c r="AB23" s="91"/>
      <c r="AC23" s="91"/>
      <c r="AD23" s="91"/>
      <c r="AE23" s="91"/>
      <c r="AF23" s="84"/>
      <c r="AG23" s="92"/>
      <c r="AH23" s="91"/>
      <c r="AI23" s="93"/>
      <c r="AJ23" s="116"/>
      <c r="AM23" s="57"/>
    </row>
    <row r="24" spans="1:39" s="56" customFormat="1">
      <c r="A24" s="56" t="s">
        <v>446</v>
      </c>
      <c r="B24" s="56" t="s">
        <v>450</v>
      </c>
      <c r="C24" s="96" t="s">
        <v>501</v>
      </c>
      <c r="D24" s="97" t="s">
        <v>502</v>
      </c>
      <c r="E24" s="96" t="s">
        <v>11</v>
      </c>
      <c r="F24" s="98"/>
      <c r="G24" s="115" t="s">
        <v>503</v>
      </c>
      <c r="H24" s="100" t="s">
        <v>41</v>
      </c>
      <c r="I24" s="101" t="s">
        <v>481</v>
      </c>
      <c r="J24" s="87"/>
      <c r="K24" s="87"/>
      <c r="L24" s="87"/>
      <c r="M24" s="87"/>
      <c r="N24" s="87"/>
      <c r="O24" s="87"/>
      <c r="P24" s="87"/>
      <c r="Q24" s="87"/>
      <c r="R24" s="87"/>
      <c r="S24" s="87"/>
      <c r="T24" s="87"/>
      <c r="U24" s="87"/>
      <c r="V24" s="87"/>
      <c r="W24" s="102"/>
      <c r="X24" s="102"/>
      <c r="Y24" s="103"/>
      <c r="Z24" s="104" t="s">
        <v>504</v>
      </c>
      <c r="AA24" s="99"/>
      <c r="AB24" s="99"/>
      <c r="AC24" s="99"/>
      <c r="AD24" s="99"/>
      <c r="AE24" s="99"/>
      <c r="AF24" s="105"/>
      <c r="AG24" s="106"/>
      <c r="AH24" s="99"/>
      <c r="AI24" s="107" t="s">
        <v>465</v>
      </c>
      <c r="AJ24" s="114"/>
      <c r="AK24" s="85"/>
      <c r="AL24" s="85"/>
      <c r="AM24" s="57"/>
    </row>
    <row r="25" spans="1:39" s="56" customFormat="1" ht="28.8">
      <c r="A25" s="56" t="s">
        <v>446</v>
      </c>
      <c r="C25" s="80"/>
      <c r="D25" s="81" t="s">
        <v>505</v>
      </c>
      <c r="E25" s="82"/>
      <c r="F25" s="83"/>
      <c r="G25" s="84" t="s">
        <v>506</v>
      </c>
      <c r="H25" s="85" t="s">
        <v>41</v>
      </c>
      <c r="I25" s="86"/>
      <c r="J25" s="87"/>
      <c r="K25" s="87"/>
      <c r="L25" s="87"/>
      <c r="M25" s="87"/>
      <c r="N25" s="87"/>
      <c r="O25" s="87"/>
      <c r="P25" s="87"/>
      <c r="Q25" s="87"/>
      <c r="R25" s="87"/>
      <c r="S25" s="87"/>
      <c r="T25" s="87"/>
      <c r="U25" s="87"/>
      <c r="V25" s="87"/>
      <c r="W25" s="88"/>
      <c r="X25" s="88"/>
      <c r="Y25" s="89"/>
      <c r="Z25" s="90"/>
      <c r="AA25" s="91"/>
      <c r="AB25" s="91"/>
      <c r="AC25" s="91"/>
      <c r="AD25" s="91"/>
      <c r="AE25" s="91"/>
      <c r="AF25" s="84"/>
      <c r="AG25" s="92"/>
      <c r="AH25" s="91"/>
      <c r="AI25" s="113"/>
      <c r="AJ25" s="116"/>
      <c r="AM25" s="57"/>
    </row>
    <row r="26" spans="1:39" s="56" customFormat="1" ht="34.5" customHeight="1">
      <c r="A26" s="56" t="s">
        <v>446</v>
      </c>
      <c r="B26" s="56" t="s">
        <v>450</v>
      </c>
      <c r="C26" s="96" t="s">
        <v>507</v>
      </c>
      <c r="D26" s="97" t="s">
        <v>508</v>
      </c>
      <c r="E26" s="96" t="s">
        <v>11</v>
      </c>
      <c r="F26" s="98"/>
      <c r="G26" s="99" t="s">
        <v>509</v>
      </c>
      <c r="H26" s="100" t="s">
        <v>41</v>
      </c>
      <c r="I26" s="101" t="s">
        <v>481</v>
      </c>
      <c r="J26" s="87"/>
      <c r="K26" s="87"/>
      <c r="L26" s="87"/>
      <c r="M26" s="87"/>
      <c r="N26" s="87"/>
      <c r="O26" s="87"/>
      <c r="P26" s="87"/>
      <c r="Q26" s="87"/>
      <c r="R26" s="87"/>
      <c r="S26" s="87"/>
      <c r="T26" s="87"/>
      <c r="U26" s="87"/>
      <c r="V26" s="87"/>
      <c r="W26" s="102"/>
      <c r="X26" s="102"/>
      <c r="Y26" s="103"/>
      <c r="Z26" s="104" t="s">
        <v>510</v>
      </c>
      <c r="AA26" s="99"/>
      <c r="AB26" s="99"/>
      <c r="AC26" s="99"/>
      <c r="AD26" s="99"/>
      <c r="AE26" s="99"/>
      <c r="AF26" s="105"/>
      <c r="AG26" s="106"/>
      <c r="AH26" s="99"/>
      <c r="AI26" s="65" t="s">
        <v>465</v>
      </c>
      <c r="AJ26" s="112"/>
      <c r="AM26" s="57"/>
    </row>
    <row r="27" spans="1:39">
      <c r="A27" s="54" t="s">
        <v>446</v>
      </c>
      <c r="B27" s="56" t="s">
        <v>450</v>
      </c>
      <c r="C27" s="122" t="s">
        <v>511</v>
      </c>
      <c r="D27" s="123" t="s">
        <v>512</v>
      </c>
      <c r="E27" s="96" t="s">
        <v>11</v>
      </c>
      <c r="F27" s="98"/>
      <c r="G27" s="118" t="s">
        <v>513</v>
      </c>
      <c r="I27" s="101" t="s">
        <v>454</v>
      </c>
      <c r="Y27" s="103"/>
      <c r="Z27" s="104"/>
      <c r="AF27" s="105"/>
      <c r="AI27" s="112">
        <v>1</v>
      </c>
      <c r="AJ27" s="108"/>
      <c r="AL27" s="56"/>
    </row>
    <row r="28" spans="1:39" s="56" customFormat="1" ht="28.8">
      <c r="A28" s="56" t="s">
        <v>446</v>
      </c>
      <c r="C28" s="80"/>
      <c r="D28" s="81" t="s">
        <v>514</v>
      </c>
      <c r="E28" s="82"/>
      <c r="F28" s="83"/>
      <c r="G28" s="84" t="s">
        <v>515</v>
      </c>
      <c r="H28" s="85" t="s">
        <v>41</v>
      </c>
      <c r="I28" s="86"/>
      <c r="J28" s="87"/>
      <c r="K28" s="87"/>
      <c r="L28" s="87"/>
      <c r="M28" s="87"/>
      <c r="N28" s="87"/>
      <c r="O28" s="87"/>
      <c r="P28" s="87"/>
      <c r="Q28" s="87"/>
      <c r="R28" s="87"/>
      <c r="S28" s="87"/>
      <c r="T28" s="87"/>
      <c r="U28" s="87"/>
      <c r="V28" s="87"/>
      <c r="W28" s="88"/>
      <c r="X28" s="88"/>
      <c r="Y28" s="89"/>
      <c r="Z28" s="90"/>
      <c r="AA28" s="91"/>
      <c r="AB28" s="91"/>
      <c r="AC28" s="91"/>
      <c r="AD28" s="91"/>
      <c r="AE28" s="91"/>
      <c r="AF28" s="84"/>
      <c r="AG28" s="92"/>
      <c r="AH28" s="91"/>
      <c r="AI28" s="113"/>
      <c r="AJ28" s="108"/>
      <c r="AK28" s="100"/>
      <c r="AL28" s="100"/>
      <c r="AM28" s="57"/>
    </row>
    <row r="29" spans="1:39" s="56" customFormat="1" ht="34.5" customHeight="1">
      <c r="A29" s="56" t="s">
        <v>446</v>
      </c>
      <c r="B29" s="56" t="s">
        <v>450</v>
      </c>
      <c r="C29" s="96" t="s">
        <v>516</v>
      </c>
      <c r="D29" s="97" t="s">
        <v>517</v>
      </c>
      <c r="E29" s="96" t="s">
        <v>11</v>
      </c>
      <c r="F29" s="98"/>
      <c r="G29" s="99" t="s">
        <v>518</v>
      </c>
      <c r="H29" s="100" t="s">
        <v>41</v>
      </c>
      <c r="I29" s="101" t="s">
        <v>481</v>
      </c>
      <c r="J29" s="87"/>
      <c r="K29" s="87"/>
      <c r="L29" s="87"/>
      <c r="M29" s="87"/>
      <c r="N29" s="87"/>
      <c r="O29" s="87"/>
      <c r="P29" s="87"/>
      <c r="Q29" s="87"/>
      <c r="R29" s="87"/>
      <c r="S29" s="87"/>
      <c r="T29" s="87"/>
      <c r="U29" s="87"/>
      <c r="V29" s="87"/>
      <c r="W29" s="102"/>
      <c r="X29" s="102"/>
      <c r="Y29" s="103"/>
      <c r="Z29" s="104" t="s">
        <v>504</v>
      </c>
      <c r="AA29" s="99"/>
      <c r="AB29" s="99"/>
      <c r="AC29" s="99"/>
      <c r="AD29" s="99"/>
      <c r="AE29" s="99"/>
      <c r="AF29" s="105"/>
      <c r="AG29" s="106"/>
      <c r="AH29" s="99"/>
      <c r="AI29" s="112" t="s">
        <v>465</v>
      </c>
      <c r="AJ29" s="94"/>
      <c r="AK29" s="95"/>
      <c r="AL29" s="95"/>
      <c r="AM29" s="57"/>
    </row>
    <row r="30" spans="1:39" s="56" customFormat="1" ht="57.6">
      <c r="A30" s="56" t="s">
        <v>446</v>
      </c>
      <c r="C30" s="80"/>
      <c r="D30" s="81" t="s">
        <v>519</v>
      </c>
      <c r="E30" s="82"/>
      <c r="F30" s="83"/>
      <c r="G30" s="124" t="s">
        <v>520</v>
      </c>
      <c r="H30" s="85" t="s">
        <v>41</v>
      </c>
      <c r="I30" s="86"/>
      <c r="J30" s="87"/>
      <c r="K30" s="87"/>
      <c r="L30" s="87"/>
      <c r="M30" s="87"/>
      <c r="N30" s="87"/>
      <c r="O30" s="87"/>
      <c r="P30" s="87"/>
      <c r="Q30" s="87"/>
      <c r="R30" s="87"/>
      <c r="S30" s="87"/>
      <c r="T30" s="87"/>
      <c r="U30" s="87"/>
      <c r="V30" s="87"/>
      <c r="W30" s="88"/>
      <c r="X30" s="88"/>
      <c r="Y30" s="89"/>
      <c r="Z30" s="90"/>
      <c r="AA30" s="91"/>
      <c r="AB30" s="91"/>
      <c r="AC30" s="91"/>
      <c r="AD30" s="91"/>
      <c r="AE30" s="91"/>
      <c r="AF30" s="84"/>
      <c r="AG30" s="92"/>
      <c r="AH30" s="91"/>
      <c r="AI30" s="113"/>
      <c r="AJ30" s="108"/>
      <c r="AK30" s="100"/>
      <c r="AL30" s="100"/>
      <c r="AM30" s="57"/>
    </row>
    <row r="31" spans="1:39" s="56" customFormat="1" ht="34.5" customHeight="1">
      <c r="A31" s="56" t="s">
        <v>446</v>
      </c>
      <c r="B31" s="56" t="s">
        <v>450</v>
      </c>
      <c r="C31" s="96" t="s">
        <v>521</v>
      </c>
      <c r="D31" s="97" t="s">
        <v>522</v>
      </c>
      <c r="E31" s="96" t="s">
        <v>11</v>
      </c>
      <c r="F31" s="98"/>
      <c r="G31" s="99" t="s">
        <v>523</v>
      </c>
      <c r="H31" s="100" t="s">
        <v>41</v>
      </c>
      <c r="I31" s="101" t="s">
        <v>481</v>
      </c>
      <c r="J31" s="87"/>
      <c r="K31" s="87"/>
      <c r="L31" s="87"/>
      <c r="M31" s="87"/>
      <c r="N31" s="87"/>
      <c r="O31" s="87"/>
      <c r="P31" s="87"/>
      <c r="Q31" s="87"/>
      <c r="R31" s="87"/>
      <c r="S31" s="87"/>
      <c r="T31" s="87"/>
      <c r="U31" s="87"/>
      <c r="V31" s="87"/>
      <c r="W31" s="102"/>
      <c r="X31" s="102"/>
      <c r="Y31" s="103"/>
      <c r="Z31" s="104" t="s">
        <v>504</v>
      </c>
      <c r="AA31" s="99"/>
      <c r="AB31" s="99"/>
      <c r="AC31" s="99"/>
      <c r="AD31" s="99"/>
      <c r="AE31" s="99"/>
      <c r="AF31" s="105"/>
      <c r="AG31" s="106"/>
      <c r="AH31" s="99"/>
      <c r="AI31" s="112">
        <v>1</v>
      </c>
      <c r="AJ31" s="94"/>
      <c r="AK31" s="95"/>
      <c r="AL31" s="95"/>
      <c r="AM31" s="57"/>
    </row>
    <row r="32" spans="1:39" s="56" customFormat="1" ht="28.8">
      <c r="A32" s="56" t="s">
        <v>446</v>
      </c>
      <c r="C32" s="96"/>
      <c r="D32" s="97" t="s">
        <v>524</v>
      </c>
      <c r="E32" s="96"/>
      <c r="F32" s="120" t="s">
        <v>102</v>
      </c>
      <c r="G32" s="121" t="s">
        <v>525</v>
      </c>
      <c r="H32" s="100"/>
      <c r="I32" s="101"/>
      <c r="J32" s="87"/>
      <c r="K32" s="87"/>
      <c r="L32" s="87"/>
      <c r="M32" s="87"/>
      <c r="N32" s="87"/>
      <c r="O32" s="87"/>
      <c r="P32" s="87"/>
      <c r="Q32" s="87"/>
      <c r="R32" s="87"/>
      <c r="S32" s="87"/>
      <c r="T32" s="87"/>
      <c r="U32" s="87"/>
      <c r="V32" s="87"/>
      <c r="W32" s="102"/>
      <c r="X32" s="102"/>
      <c r="Y32" s="103"/>
      <c r="Z32" s="104"/>
      <c r="AA32" s="99"/>
      <c r="AB32" s="99"/>
      <c r="AC32" s="99"/>
      <c r="AD32" s="99"/>
      <c r="AE32" s="99"/>
      <c r="AF32" s="105"/>
      <c r="AG32" s="106"/>
      <c r="AH32" s="99"/>
      <c r="AI32" s="107"/>
      <c r="AJ32" s="108"/>
      <c r="AK32" s="100"/>
      <c r="AL32" s="100"/>
      <c r="AM32" s="57"/>
    </row>
    <row r="33" spans="1:39" s="125" customFormat="1" ht="43.5" customHeight="1">
      <c r="A33" s="125" t="s">
        <v>446</v>
      </c>
      <c r="B33" s="125" t="s">
        <v>172</v>
      </c>
      <c r="C33" s="126" t="s">
        <v>526</v>
      </c>
      <c r="D33" s="127" t="s">
        <v>527</v>
      </c>
      <c r="E33" s="126" t="s">
        <v>11</v>
      </c>
      <c r="F33" s="128"/>
      <c r="G33" s="129" t="s">
        <v>528</v>
      </c>
      <c r="H33" s="130" t="s">
        <v>41</v>
      </c>
      <c r="I33" s="131" t="s">
        <v>454</v>
      </c>
      <c r="J33" s="132"/>
      <c r="K33" s="132"/>
      <c r="L33" s="132"/>
      <c r="M33" s="132"/>
      <c r="N33" s="132"/>
      <c r="O33" s="132"/>
      <c r="P33" s="132"/>
      <c r="Q33" s="132"/>
      <c r="R33" s="132"/>
      <c r="S33" s="132"/>
      <c r="T33" s="132"/>
      <c r="U33" s="132"/>
      <c r="V33" s="132"/>
      <c r="W33" s="133"/>
      <c r="X33" s="133"/>
      <c r="Y33" s="134"/>
      <c r="Z33" s="135" t="s">
        <v>529</v>
      </c>
      <c r="AA33" s="129"/>
      <c r="AB33" s="129"/>
      <c r="AC33" s="129"/>
      <c r="AD33" s="129"/>
      <c r="AE33" s="129"/>
      <c r="AF33" s="136"/>
      <c r="AG33" s="137"/>
      <c r="AH33" s="129"/>
      <c r="AI33" s="138" t="s">
        <v>465</v>
      </c>
      <c r="AJ33" s="139"/>
      <c r="AM33" s="140"/>
    </row>
    <row r="34" spans="1:39" s="56" customFormat="1" ht="16.350000000000001" customHeight="1">
      <c r="A34" s="56" t="s">
        <v>446</v>
      </c>
      <c r="C34" s="80"/>
      <c r="D34" s="81" t="s">
        <v>530</v>
      </c>
      <c r="E34" s="82"/>
      <c r="F34" s="83"/>
      <c r="G34" s="84" t="s">
        <v>531</v>
      </c>
      <c r="H34" s="85" t="s">
        <v>41</v>
      </c>
      <c r="I34" s="86"/>
      <c r="J34" s="87"/>
      <c r="K34" s="87"/>
      <c r="L34" s="87"/>
      <c r="M34" s="87"/>
      <c r="N34" s="87"/>
      <c r="O34" s="87"/>
      <c r="P34" s="87"/>
      <c r="Q34" s="87"/>
      <c r="R34" s="87"/>
      <c r="S34" s="87"/>
      <c r="T34" s="87"/>
      <c r="U34" s="87"/>
      <c r="V34" s="87"/>
      <c r="W34" s="88"/>
      <c r="X34" s="88"/>
      <c r="Y34" s="89"/>
      <c r="Z34" s="90"/>
      <c r="AA34" s="91"/>
      <c r="AB34" s="91"/>
      <c r="AC34" s="91"/>
      <c r="AD34" s="91"/>
      <c r="AE34" s="91"/>
      <c r="AF34" s="84"/>
      <c r="AG34" s="92"/>
      <c r="AH34" s="91"/>
      <c r="AI34" s="113"/>
      <c r="AJ34" s="116"/>
      <c r="AM34" s="57"/>
    </row>
    <row r="35" spans="1:39" s="56" customFormat="1" ht="34.200000000000003" customHeight="1">
      <c r="A35" s="56" t="s">
        <v>446</v>
      </c>
      <c r="B35" s="56" t="s">
        <v>450</v>
      </c>
      <c r="C35" s="96" t="s">
        <v>532</v>
      </c>
      <c r="D35" s="97" t="s">
        <v>533</v>
      </c>
      <c r="E35" s="96" t="s">
        <v>11</v>
      </c>
      <c r="F35" s="98"/>
      <c r="G35" s="99" t="s">
        <v>534</v>
      </c>
      <c r="H35" s="100" t="s">
        <v>41</v>
      </c>
      <c r="I35" s="101" t="s">
        <v>481</v>
      </c>
      <c r="J35" s="87"/>
      <c r="K35" s="87"/>
      <c r="L35" s="87"/>
      <c r="M35" s="87"/>
      <c r="N35" s="87"/>
      <c r="O35" s="87"/>
      <c r="P35" s="87"/>
      <c r="Q35" s="87"/>
      <c r="R35" s="87"/>
      <c r="S35" s="87"/>
      <c r="T35" s="87"/>
      <c r="U35" s="87"/>
      <c r="V35" s="87"/>
      <c r="W35" s="102"/>
      <c r="X35" s="102"/>
      <c r="Y35" s="103"/>
      <c r="Z35" s="104" t="s">
        <v>504</v>
      </c>
      <c r="AA35" s="99"/>
      <c r="AB35" s="99"/>
      <c r="AC35" s="99"/>
      <c r="AD35" s="99"/>
      <c r="AE35" s="99"/>
      <c r="AF35" s="105"/>
      <c r="AG35" s="106"/>
      <c r="AH35" s="99"/>
      <c r="AI35" s="112" t="s">
        <v>465</v>
      </c>
      <c r="AJ35" s="94"/>
      <c r="AK35" s="95"/>
      <c r="AL35" s="95"/>
      <c r="AM35" s="57"/>
    </row>
    <row r="36" spans="1:39" s="56" customFormat="1">
      <c r="A36" s="56" t="s">
        <v>446</v>
      </c>
      <c r="C36" s="80"/>
      <c r="D36" s="81" t="s">
        <v>535</v>
      </c>
      <c r="E36" s="82"/>
      <c r="F36" s="83"/>
      <c r="G36" s="84" t="s">
        <v>536</v>
      </c>
      <c r="H36" s="85" t="s">
        <v>41</v>
      </c>
      <c r="I36" s="86"/>
      <c r="J36" s="87"/>
      <c r="K36" s="87"/>
      <c r="L36" s="87"/>
      <c r="M36" s="87"/>
      <c r="N36" s="87"/>
      <c r="O36" s="87"/>
      <c r="P36" s="87"/>
      <c r="Q36" s="87"/>
      <c r="R36" s="87"/>
      <c r="S36" s="87"/>
      <c r="T36" s="87"/>
      <c r="U36" s="87"/>
      <c r="V36" s="87"/>
      <c r="W36" s="88"/>
      <c r="X36" s="88"/>
      <c r="Y36" s="89"/>
      <c r="Z36" s="90"/>
      <c r="AA36" s="91"/>
      <c r="AB36" s="91"/>
      <c r="AC36" s="91"/>
      <c r="AD36" s="91"/>
      <c r="AE36" s="91"/>
      <c r="AF36" s="84"/>
      <c r="AG36" s="92"/>
      <c r="AH36" s="91"/>
      <c r="AI36" s="113"/>
      <c r="AJ36" s="108"/>
      <c r="AK36" s="100"/>
      <c r="AL36" s="100"/>
      <c r="AM36" s="57"/>
    </row>
    <row r="37" spans="1:39" s="56" customFormat="1">
      <c r="A37" s="56" t="s">
        <v>446</v>
      </c>
      <c r="B37" s="56" t="s">
        <v>450</v>
      </c>
      <c r="C37" s="96" t="s">
        <v>537</v>
      </c>
      <c r="D37" s="97" t="s">
        <v>538</v>
      </c>
      <c r="E37" s="96" t="s">
        <v>11</v>
      </c>
      <c r="F37" s="98"/>
      <c r="G37" s="141" t="s">
        <v>539</v>
      </c>
      <c r="H37" s="100" t="s">
        <v>41</v>
      </c>
      <c r="I37" s="101" t="s">
        <v>481</v>
      </c>
      <c r="J37" s="87"/>
      <c r="K37" s="87"/>
      <c r="L37" s="87"/>
      <c r="M37" s="87"/>
      <c r="N37" s="87"/>
      <c r="O37" s="87"/>
      <c r="P37" s="87"/>
      <c r="Q37" s="87"/>
      <c r="R37" s="87"/>
      <c r="S37" s="87"/>
      <c r="T37" s="87"/>
      <c r="U37" s="87"/>
      <c r="V37" s="87"/>
      <c r="W37" s="102"/>
      <c r="X37" s="102"/>
      <c r="Y37" s="103"/>
      <c r="Z37" s="104" t="s">
        <v>504</v>
      </c>
      <c r="AA37" s="99"/>
      <c r="AB37" s="99"/>
      <c r="AC37" s="99"/>
      <c r="AD37" s="99"/>
      <c r="AE37" s="99"/>
      <c r="AF37" s="105"/>
      <c r="AG37" s="106"/>
      <c r="AH37" s="99"/>
      <c r="AI37" s="107" t="s">
        <v>465</v>
      </c>
      <c r="AJ37" s="94"/>
      <c r="AK37" s="119"/>
      <c r="AL37" s="119"/>
      <c r="AM37" s="57"/>
    </row>
    <row r="38" spans="1:39" s="56" customFormat="1" ht="34.5" customHeight="1">
      <c r="A38" s="56" t="s">
        <v>446</v>
      </c>
      <c r="B38" s="56" t="s">
        <v>540</v>
      </c>
      <c r="C38" s="96" t="s">
        <v>541</v>
      </c>
      <c r="D38" s="97" t="s">
        <v>542</v>
      </c>
      <c r="E38" s="96" t="s">
        <v>11</v>
      </c>
      <c r="F38" s="98"/>
      <c r="G38" s="142" t="s">
        <v>543</v>
      </c>
      <c r="H38" s="100"/>
      <c r="I38" s="101" t="s">
        <v>481</v>
      </c>
      <c r="J38" s="87"/>
      <c r="K38" s="87"/>
      <c r="L38" s="87"/>
      <c r="M38" s="87"/>
      <c r="N38" s="87"/>
      <c r="O38" s="87"/>
      <c r="P38" s="87"/>
      <c r="Q38" s="87"/>
      <c r="R38" s="87"/>
      <c r="S38" s="87"/>
      <c r="T38" s="87"/>
      <c r="U38" s="87"/>
      <c r="V38" s="87"/>
      <c r="W38" s="102"/>
      <c r="X38" s="102"/>
      <c r="Y38" s="103"/>
      <c r="Z38" s="104"/>
      <c r="AA38" s="99"/>
      <c r="AB38" s="99"/>
      <c r="AC38" s="99"/>
      <c r="AD38" s="99"/>
      <c r="AE38" s="99"/>
      <c r="AF38" s="105"/>
      <c r="AG38" s="106"/>
      <c r="AH38" s="99"/>
      <c r="AI38" s="112" t="s">
        <v>465</v>
      </c>
      <c r="AJ38" s="116"/>
      <c r="AM38" s="57"/>
    </row>
    <row r="39" spans="1:39" s="56" customFormat="1" ht="57.75" customHeight="1">
      <c r="A39" s="56" t="s">
        <v>446</v>
      </c>
      <c r="C39" s="80"/>
      <c r="D39" s="81" t="s">
        <v>544</v>
      </c>
      <c r="E39" s="82"/>
      <c r="F39" s="83"/>
      <c r="G39" s="84" t="s">
        <v>545</v>
      </c>
      <c r="H39" s="85" t="s">
        <v>41</v>
      </c>
      <c r="I39" s="86"/>
      <c r="J39" s="87"/>
      <c r="K39" s="87"/>
      <c r="L39" s="87"/>
      <c r="M39" s="87"/>
      <c r="N39" s="87"/>
      <c r="O39" s="87"/>
      <c r="P39" s="87"/>
      <c r="Q39" s="87"/>
      <c r="R39" s="87"/>
      <c r="S39" s="87"/>
      <c r="T39" s="87"/>
      <c r="U39" s="87"/>
      <c r="V39" s="87"/>
      <c r="W39" s="88"/>
      <c r="X39" s="88"/>
      <c r="Y39" s="89"/>
      <c r="Z39" s="90"/>
      <c r="AA39" s="91"/>
      <c r="AB39" s="91"/>
      <c r="AC39" s="91"/>
      <c r="AD39" s="91"/>
      <c r="AE39" s="91"/>
      <c r="AF39" s="84"/>
      <c r="AG39" s="92"/>
      <c r="AH39" s="91"/>
      <c r="AI39" s="113"/>
      <c r="AJ39" s="94"/>
      <c r="AK39" s="95"/>
      <c r="AL39" s="95"/>
      <c r="AM39" s="57"/>
    </row>
    <row r="40" spans="1:39" s="56" customFormat="1" ht="45.6" customHeight="1">
      <c r="A40" s="56" t="s">
        <v>446</v>
      </c>
      <c r="B40" s="56" t="s">
        <v>450</v>
      </c>
      <c r="C40" s="96" t="s">
        <v>546</v>
      </c>
      <c r="D40" s="97" t="s">
        <v>547</v>
      </c>
      <c r="E40" s="96" t="s">
        <v>11</v>
      </c>
      <c r="F40" s="98"/>
      <c r="G40" s="99" t="s">
        <v>548</v>
      </c>
      <c r="H40" s="100" t="s">
        <v>41</v>
      </c>
      <c r="I40" s="101" t="s">
        <v>481</v>
      </c>
      <c r="J40" s="87"/>
      <c r="K40" s="87"/>
      <c r="L40" s="87"/>
      <c r="M40" s="87"/>
      <c r="N40" s="87"/>
      <c r="O40" s="87"/>
      <c r="P40" s="87"/>
      <c r="Q40" s="87"/>
      <c r="R40" s="87"/>
      <c r="S40" s="87"/>
      <c r="T40" s="87"/>
      <c r="U40" s="87"/>
      <c r="V40" s="87"/>
      <c r="W40" s="102"/>
      <c r="X40" s="102"/>
      <c r="Y40" s="103"/>
      <c r="Z40" s="104" t="s">
        <v>504</v>
      </c>
      <c r="AA40" s="99"/>
      <c r="AB40" s="99"/>
      <c r="AC40" s="99"/>
      <c r="AD40" s="99"/>
      <c r="AE40" s="99"/>
      <c r="AF40" s="105"/>
      <c r="AG40" s="106"/>
      <c r="AH40" s="99"/>
      <c r="AI40" s="112" t="s">
        <v>465</v>
      </c>
      <c r="AJ40" s="116"/>
      <c r="AM40" s="57"/>
    </row>
    <row r="41" spans="1:39" s="56" customFormat="1" ht="30" customHeight="1">
      <c r="A41" s="56" t="s">
        <v>446</v>
      </c>
      <c r="B41" s="56" t="s">
        <v>450</v>
      </c>
      <c r="C41" s="96" t="s">
        <v>549</v>
      </c>
      <c r="D41" s="97" t="s">
        <v>550</v>
      </c>
      <c r="E41" s="96" t="s">
        <v>11</v>
      </c>
      <c r="F41" s="98"/>
      <c r="G41" s="115" t="s">
        <v>551</v>
      </c>
      <c r="H41" s="100" t="s">
        <v>41</v>
      </c>
      <c r="I41" s="101" t="s">
        <v>481</v>
      </c>
      <c r="J41" s="87"/>
      <c r="K41" s="87"/>
      <c r="L41" s="87"/>
      <c r="M41" s="87"/>
      <c r="N41" s="87"/>
      <c r="O41" s="87"/>
      <c r="P41" s="87"/>
      <c r="Q41" s="87"/>
      <c r="R41" s="87"/>
      <c r="S41" s="87"/>
      <c r="T41" s="87"/>
      <c r="U41" s="87"/>
      <c r="V41" s="87"/>
      <c r="W41" s="102"/>
      <c r="X41" s="102"/>
      <c r="Y41" s="103"/>
      <c r="Z41" s="104" t="s">
        <v>504</v>
      </c>
      <c r="AA41" s="99"/>
      <c r="AB41" s="99"/>
      <c r="AC41" s="99"/>
      <c r="AD41" s="99"/>
      <c r="AE41" s="99"/>
      <c r="AF41" s="105"/>
      <c r="AG41" s="106"/>
      <c r="AH41" s="99"/>
      <c r="AI41" s="107" t="s">
        <v>465</v>
      </c>
      <c r="AJ41" s="108"/>
      <c r="AK41" s="100"/>
      <c r="AL41" s="100"/>
      <c r="AM41" s="57"/>
    </row>
    <row r="42" spans="1:39" s="56" customFormat="1" ht="36" customHeight="1">
      <c r="A42" s="56" t="s">
        <v>446</v>
      </c>
      <c r="C42" s="80"/>
      <c r="D42" s="81" t="s">
        <v>552</v>
      </c>
      <c r="E42" s="82"/>
      <c r="F42" s="83"/>
      <c r="G42" s="143" t="s">
        <v>553</v>
      </c>
      <c r="H42" s="85" t="s">
        <v>41</v>
      </c>
      <c r="I42" s="86"/>
      <c r="J42" s="87"/>
      <c r="K42" s="87"/>
      <c r="L42" s="87"/>
      <c r="M42" s="87"/>
      <c r="N42" s="87"/>
      <c r="O42" s="87"/>
      <c r="P42" s="87"/>
      <c r="Q42" s="87"/>
      <c r="R42" s="87"/>
      <c r="S42" s="87"/>
      <c r="T42" s="87"/>
      <c r="U42" s="87"/>
      <c r="V42" s="87"/>
      <c r="W42" s="88"/>
      <c r="X42" s="88"/>
      <c r="Y42" s="89"/>
      <c r="Z42" s="90"/>
      <c r="AA42" s="91"/>
      <c r="AB42" s="91"/>
      <c r="AC42" s="91"/>
      <c r="AD42" s="91"/>
      <c r="AE42" s="91"/>
      <c r="AF42" s="84"/>
      <c r="AG42" s="92"/>
      <c r="AH42" s="91"/>
      <c r="AI42" s="113"/>
      <c r="AJ42" s="94"/>
      <c r="AK42" s="95"/>
      <c r="AL42" s="95"/>
      <c r="AM42" s="57"/>
    </row>
    <row r="43" spans="1:39" s="56" customFormat="1" ht="78.75" customHeight="1">
      <c r="A43" s="56" t="s">
        <v>446</v>
      </c>
      <c r="B43" s="56" t="s">
        <v>450</v>
      </c>
      <c r="C43" s="96" t="s">
        <v>554</v>
      </c>
      <c r="D43" s="97" t="s">
        <v>555</v>
      </c>
      <c r="E43" s="96" t="s">
        <v>11</v>
      </c>
      <c r="F43" s="98"/>
      <c r="G43" s="141" t="s">
        <v>556</v>
      </c>
      <c r="H43" s="100" t="s">
        <v>41</v>
      </c>
      <c r="I43" s="101" t="s">
        <v>454</v>
      </c>
      <c r="J43" s="87"/>
      <c r="K43" s="87"/>
      <c r="L43" s="87"/>
      <c r="M43" s="87"/>
      <c r="N43" s="87"/>
      <c r="O43" s="87"/>
      <c r="P43" s="87"/>
      <c r="Q43" s="87"/>
      <c r="R43" s="87"/>
      <c r="S43" s="87"/>
      <c r="T43" s="87"/>
      <c r="U43" s="87"/>
      <c r="V43" s="87"/>
      <c r="W43" s="102"/>
      <c r="X43" s="102"/>
      <c r="Y43" s="103"/>
      <c r="Z43" s="111" t="s">
        <v>557</v>
      </c>
      <c r="AA43" s="99"/>
      <c r="AB43" s="99"/>
      <c r="AC43" s="99"/>
      <c r="AD43" s="99"/>
      <c r="AE43" s="99"/>
      <c r="AF43" s="105"/>
      <c r="AG43" s="106"/>
      <c r="AH43" s="99"/>
      <c r="AI43" s="107">
        <v>2</v>
      </c>
      <c r="AJ43" s="116"/>
      <c r="AM43" s="57"/>
    </row>
    <row r="44" spans="1:39" s="56" customFormat="1" ht="54" customHeight="1">
      <c r="A44" s="56" t="s">
        <v>446</v>
      </c>
      <c r="B44" s="56" t="s">
        <v>450</v>
      </c>
      <c r="C44" s="96" t="s">
        <v>558</v>
      </c>
      <c r="D44" s="97" t="s">
        <v>559</v>
      </c>
      <c r="E44" s="96" t="s">
        <v>11</v>
      </c>
      <c r="F44" s="98"/>
      <c r="G44" s="144" t="s">
        <v>560</v>
      </c>
      <c r="H44" s="100" t="s">
        <v>41</v>
      </c>
      <c r="I44" s="101" t="s">
        <v>481</v>
      </c>
      <c r="J44" s="87"/>
      <c r="K44" s="87"/>
      <c r="L44" s="87"/>
      <c r="M44" s="87"/>
      <c r="N44" s="87"/>
      <c r="O44" s="87"/>
      <c r="P44" s="87"/>
      <c r="Q44" s="87"/>
      <c r="R44" s="87"/>
      <c r="S44" s="87"/>
      <c r="T44" s="87"/>
      <c r="U44" s="87"/>
      <c r="V44" s="87"/>
      <c r="W44" s="102"/>
      <c r="X44" s="102"/>
      <c r="Y44" s="103"/>
      <c r="Z44" s="104"/>
      <c r="AA44" s="99"/>
      <c r="AB44" s="99"/>
      <c r="AC44" s="99"/>
      <c r="AD44" s="99"/>
      <c r="AE44" s="99"/>
      <c r="AF44" s="105"/>
      <c r="AG44" s="106"/>
      <c r="AH44" s="99"/>
      <c r="AI44" s="112" t="s">
        <v>465</v>
      </c>
      <c r="AJ44" s="94"/>
      <c r="AK44" s="95"/>
      <c r="AL44" s="95"/>
      <c r="AM44" s="57"/>
    </row>
    <row r="45" spans="1:39" s="56" customFormat="1" ht="34.5" customHeight="1">
      <c r="A45" s="56" t="s">
        <v>446</v>
      </c>
      <c r="B45" s="56" t="s">
        <v>172</v>
      </c>
      <c r="C45" s="96" t="s">
        <v>561</v>
      </c>
      <c r="D45" s="97" t="s">
        <v>562</v>
      </c>
      <c r="E45" s="96" t="s">
        <v>11</v>
      </c>
      <c r="F45" s="98"/>
      <c r="G45" s="145" t="s">
        <v>563</v>
      </c>
      <c r="H45" s="100"/>
      <c r="I45" s="101" t="s">
        <v>14</v>
      </c>
      <c r="J45" s="87"/>
      <c r="K45" s="87"/>
      <c r="L45" s="87"/>
      <c r="M45" s="87"/>
      <c r="N45" s="87"/>
      <c r="O45" s="87"/>
      <c r="P45" s="87"/>
      <c r="Q45" s="87"/>
      <c r="R45" s="87"/>
      <c r="S45" s="87"/>
      <c r="T45" s="87"/>
      <c r="U45" s="87"/>
      <c r="V45" s="87"/>
      <c r="W45" s="102"/>
      <c r="X45" s="102"/>
      <c r="Y45" s="103"/>
      <c r="Z45" s="104" t="s">
        <v>474</v>
      </c>
      <c r="AA45" s="99"/>
      <c r="AB45" s="99"/>
      <c r="AC45" s="99"/>
      <c r="AD45" s="99"/>
      <c r="AE45" s="99"/>
      <c r="AF45" s="105"/>
      <c r="AG45" s="106"/>
      <c r="AH45" s="99"/>
      <c r="AI45" s="112"/>
      <c r="AJ45" s="116"/>
      <c r="AM45" s="57"/>
    </row>
    <row r="46" spans="1:39" s="56" customFormat="1" ht="33" customHeight="1">
      <c r="A46" s="56" t="s">
        <v>446</v>
      </c>
      <c r="C46" s="80"/>
      <c r="D46" s="81" t="s">
        <v>564</v>
      </c>
      <c r="E46" s="82"/>
      <c r="F46" s="83"/>
      <c r="G46" s="84" t="s">
        <v>565</v>
      </c>
      <c r="H46" s="85" t="s">
        <v>41</v>
      </c>
      <c r="I46" s="86"/>
      <c r="J46" s="87"/>
      <c r="K46" s="87"/>
      <c r="L46" s="87"/>
      <c r="M46" s="87"/>
      <c r="N46" s="87"/>
      <c r="O46" s="87"/>
      <c r="P46" s="87"/>
      <c r="Q46" s="87"/>
      <c r="R46" s="87"/>
      <c r="S46" s="87"/>
      <c r="T46" s="87"/>
      <c r="U46" s="87"/>
      <c r="V46" s="87"/>
      <c r="W46" s="88"/>
      <c r="X46" s="88"/>
      <c r="Y46" s="89"/>
      <c r="Z46" s="90"/>
      <c r="AA46" s="91"/>
      <c r="AB46" s="91"/>
      <c r="AC46" s="91"/>
      <c r="AD46" s="91"/>
      <c r="AE46" s="91"/>
      <c r="AF46" s="84"/>
      <c r="AG46" s="92"/>
      <c r="AH46" s="91"/>
      <c r="AI46" s="113"/>
      <c r="AJ46" s="108"/>
      <c r="AK46" s="100"/>
      <c r="AL46" s="100"/>
      <c r="AM46" s="57"/>
    </row>
    <row r="47" spans="1:39" s="56" customFormat="1" ht="34.5" customHeight="1">
      <c r="A47" s="56" t="s">
        <v>446</v>
      </c>
      <c r="B47" s="56" t="s">
        <v>450</v>
      </c>
      <c r="C47" s="96" t="s">
        <v>566</v>
      </c>
      <c r="D47" s="97" t="s">
        <v>567</v>
      </c>
      <c r="E47" s="96" t="s">
        <v>11</v>
      </c>
      <c r="F47" s="98"/>
      <c r="G47" s="141" t="s">
        <v>568</v>
      </c>
      <c r="H47" s="100" t="s">
        <v>41</v>
      </c>
      <c r="I47" s="101" t="s">
        <v>481</v>
      </c>
      <c r="J47" s="87"/>
      <c r="K47" s="87"/>
      <c r="L47" s="87"/>
      <c r="M47" s="87"/>
      <c r="N47" s="87"/>
      <c r="O47" s="87"/>
      <c r="P47" s="87"/>
      <c r="Q47" s="87"/>
      <c r="R47" s="87"/>
      <c r="S47" s="87"/>
      <c r="T47" s="87"/>
      <c r="U47" s="87"/>
      <c r="V47" s="87"/>
      <c r="W47" s="102"/>
      <c r="X47" s="102"/>
      <c r="Y47" s="103"/>
      <c r="Z47" s="111" t="s">
        <v>569</v>
      </c>
      <c r="AA47" s="99"/>
      <c r="AB47" s="99"/>
      <c r="AC47" s="99"/>
      <c r="AD47" s="99"/>
      <c r="AE47" s="99"/>
      <c r="AF47" s="105"/>
      <c r="AG47" s="106"/>
      <c r="AH47" s="99"/>
      <c r="AI47" s="107" t="s">
        <v>465</v>
      </c>
      <c r="AJ47" s="94"/>
      <c r="AK47" s="119"/>
      <c r="AL47" s="119"/>
      <c r="AM47" s="57"/>
    </row>
    <row r="48" spans="1:39" s="56" customFormat="1" ht="34.200000000000003" customHeight="1">
      <c r="A48" s="56" t="s">
        <v>446</v>
      </c>
      <c r="C48" s="80"/>
      <c r="D48" s="81" t="s">
        <v>570</v>
      </c>
      <c r="E48" s="82"/>
      <c r="F48" s="83"/>
      <c r="G48" s="84" t="s">
        <v>571</v>
      </c>
      <c r="H48" s="85" t="s">
        <v>41</v>
      </c>
      <c r="I48" s="86"/>
      <c r="J48" s="87"/>
      <c r="K48" s="87"/>
      <c r="L48" s="87"/>
      <c r="M48" s="87"/>
      <c r="N48" s="87"/>
      <c r="O48" s="87"/>
      <c r="P48" s="87"/>
      <c r="Q48" s="87"/>
      <c r="R48" s="87"/>
      <c r="S48" s="87"/>
      <c r="T48" s="87"/>
      <c r="U48" s="87"/>
      <c r="V48" s="87"/>
      <c r="W48" s="88"/>
      <c r="X48" s="88"/>
      <c r="Y48" s="89"/>
      <c r="Z48" s="90"/>
      <c r="AA48" s="91"/>
      <c r="AB48" s="91"/>
      <c r="AC48" s="91"/>
      <c r="AD48" s="91"/>
      <c r="AE48" s="91"/>
      <c r="AF48" s="84"/>
      <c r="AG48" s="92"/>
      <c r="AH48" s="91"/>
      <c r="AI48" s="113"/>
      <c r="AJ48" s="116"/>
      <c r="AM48" s="57"/>
    </row>
    <row r="49" spans="1:39" s="56" customFormat="1" ht="19.350000000000001" customHeight="1">
      <c r="A49" s="56" t="s">
        <v>458</v>
      </c>
      <c r="B49" s="56" t="s">
        <v>450</v>
      </c>
      <c r="C49" s="96" t="s">
        <v>572</v>
      </c>
      <c r="D49" s="97" t="s">
        <v>573</v>
      </c>
      <c r="E49" s="96" t="s">
        <v>11</v>
      </c>
      <c r="F49" s="98"/>
      <c r="G49" s="141" t="s">
        <v>574</v>
      </c>
      <c r="H49" s="100" t="s">
        <v>41</v>
      </c>
      <c r="I49" s="101" t="s">
        <v>481</v>
      </c>
      <c r="J49" s="87"/>
      <c r="K49" s="87"/>
      <c r="L49" s="87"/>
      <c r="M49" s="87"/>
      <c r="N49" s="87"/>
      <c r="O49" s="87"/>
      <c r="P49" s="87"/>
      <c r="Q49" s="87"/>
      <c r="R49" s="87"/>
      <c r="S49" s="87"/>
      <c r="T49" s="87"/>
      <c r="U49" s="87"/>
      <c r="V49" s="87"/>
      <c r="W49" s="102"/>
      <c r="X49" s="102"/>
      <c r="Y49" s="103"/>
      <c r="Z49" s="104" t="s">
        <v>504</v>
      </c>
      <c r="AA49" s="99"/>
      <c r="AB49" s="99"/>
      <c r="AC49" s="99"/>
      <c r="AD49" s="99"/>
      <c r="AE49" s="99"/>
      <c r="AF49" s="105"/>
      <c r="AG49" s="106"/>
      <c r="AH49" s="99"/>
      <c r="AI49" s="107" t="s">
        <v>465</v>
      </c>
      <c r="AJ49" s="94"/>
      <c r="AK49" s="95"/>
      <c r="AL49" s="95"/>
      <c r="AM49" s="57"/>
    </row>
    <row r="50" spans="1:39" ht="28.8">
      <c r="A50" s="54" t="s">
        <v>458</v>
      </c>
      <c r="B50" s="54" t="s">
        <v>172</v>
      </c>
      <c r="C50" s="122" t="s">
        <v>575</v>
      </c>
      <c r="D50" s="123" t="s">
        <v>576</v>
      </c>
      <c r="E50" s="96" t="s">
        <v>11</v>
      </c>
      <c r="F50" s="98"/>
      <c r="G50" s="142" t="s">
        <v>577</v>
      </c>
      <c r="I50" s="101" t="s">
        <v>14</v>
      </c>
      <c r="Y50" s="103"/>
      <c r="Z50" s="104" t="s">
        <v>578</v>
      </c>
      <c r="AF50" s="105"/>
      <c r="AI50" s="112"/>
      <c r="AJ50" s="108"/>
      <c r="AL50" s="56"/>
    </row>
    <row r="51" spans="1:39" s="56" customFormat="1" ht="52.2" customHeight="1">
      <c r="A51" s="56" t="s">
        <v>446</v>
      </c>
      <c r="C51" s="80"/>
      <c r="D51" s="81" t="s">
        <v>579</v>
      </c>
      <c r="E51" s="82"/>
      <c r="F51" s="83"/>
      <c r="G51" s="84" t="s">
        <v>580</v>
      </c>
      <c r="H51" s="85" t="s">
        <v>41</v>
      </c>
      <c r="I51" s="86"/>
      <c r="J51" s="87"/>
      <c r="K51" s="87"/>
      <c r="L51" s="87"/>
      <c r="M51" s="87"/>
      <c r="N51" s="87"/>
      <c r="O51" s="87"/>
      <c r="P51" s="87"/>
      <c r="Q51" s="87"/>
      <c r="R51" s="87"/>
      <c r="S51" s="87"/>
      <c r="T51" s="87"/>
      <c r="U51" s="87"/>
      <c r="V51" s="87"/>
      <c r="W51" s="88"/>
      <c r="X51" s="88"/>
      <c r="Y51" s="89"/>
      <c r="Z51" s="90"/>
      <c r="AA51" s="91"/>
      <c r="AB51" s="91"/>
      <c r="AC51" s="91"/>
      <c r="AD51" s="91"/>
      <c r="AE51" s="91"/>
      <c r="AF51" s="84"/>
      <c r="AG51" s="92"/>
      <c r="AH51" s="91"/>
      <c r="AI51" s="113"/>
      <c r="AJ51" s="116"/>
      <c r="AM51" s="57"/>
    </row>
    <row r="52" spans="1:39" s="56" customFormat="1" ht="34.5" customHeight="1">
      <c r="A52" s="56" t="s">
        <v>458</v>
      </c>
      <c r="B52" s="56" t="s">
        <v>540</v>
      </c>
      <c r="C52" s="96" t="s">
        <v>581</v>
      </c>
      <c r="D52" s="97" t="s">
        <v>582</v>
      </c>
      <c r="E52" s="96" t="s">
        <v>11</v>
      </c>
      <c r="F52" s="98"/>
      <c r="G52" s="99" t="s">
        <v>583</v>
      </c>
      <c r="H52" s="100" t="s">
        <v>41</v>
      </c>
      <c r="I52" s="101" t="s">
        <v>481</v>
      </c>
      <c r="J52" s="87"/>
      <c r="K52" s="87"/>
      <c r="L52" s="87"/>
      <c r="M52" s="87"/>
      <c r="N52" s="87"/>
      <c r="O52" s="87"/>
      <c r="P52" s="87"/>
      <c r="Q52" s="87"/>
      <c r="R52" s="87"/>
      <c r="S52" s="87"/>
      <c r="T52" s="87"/>
      <c r="U52" s="87"/>
      <c r="V52" s="87"/>
      <c r="W52" s="102"/>
      <c r="X52" s="102"/>
      <c r="Y52" s="103"/>
      <c r="Z52" s="104" t="s">
        <v>504</v>
      </c>
      <c r="AA52" s="99"/>
      <c r="AB52" s="99"/>
      <c r="AC52" s="99"/>
      <c r="AD52" s="99"/>
      <c r="AE52" s="99"/>
      <c r="AF52" s="105"/>
      <c r="AG52" s="106"/>
      <c r="AH52" s="99"/>
      <c r="AI52" s="112" t="s">
        <v>465</v>
      </c>
      <c r="AJ52" s="116"/>
      <c r="AM52" s="57"/>
    </row>
    <row r="53" spans="1:39" s="56" customFormat="1" ht="33" customHeight="1">
      <c r="A53" s="56" t="s">
        <v>446</v>
      </c>
      <c r="B53" s="56" t="s">
        <v>450</v>
      </c>
      <c r="C53" s="96" t="s">
        <v>584</v>
      </c>
      <c r="D53" s="97" t="s">
        <v>585</v>
      </c>
      <c r="E53" s="96" t="s">
        <v>11</v>
      </c>
      <c r="F53" s="98"/>
      <c r="G53" s="99" t="s">
        <v>586</v>
      </c>
      <c r="H53" s="100" t="s">
        <v>41</v>
      </c>
      <c r="I53" s="101" t="s">
        <v>454</v>
      </c>
      <c r="J53" s="87"/>
      <c r="K53" s="87"/>
      <c r="L53" s="87"/>
      <c r="M53" s="87"/>
      <c r="N53" s="87"/>
      <c r="O53" s="87"/>
      <c r="P53" s="87"/>
      <c r="Q53" s="87"/>
      <c r="R53" s="87"/>
      <c r="S53" s="87"/>
      <c r="T53" s="87"/>
      <c r="U53" s="87"/>
      <c r="V53" s="87"/>
      <c r="W53" s="102"/>
      <c r="X53" s="102"/>
      <c r="Y53" s="103"/>
      <c r="Z53" s="104" t="s">
        <v>587</v>
      </c>
      <c r="AA53" s="99"/>
      <c r="AB53" s="99"/>
      <c r="AC53" s="99"/>
      <c r="AD53" s="99"/>
      <c r="AE53" s="99"/>
      <c r="AF53" s="105"/>
      <c r="AG53" s="106"/>
      <c r="AH53" s="99"/>
      <c r="AI53" s="107">
        <v>1</v>
      </c>
      <c r="AJ53" s="114"/>
      <c r="AK53" s="85"/>
      <c r="AL53" s="85"/>
      <c r="AM53" s="57"/>
    </row>
    <row r="54" spans="1:39" s="56" customFormat="1" ht="34.5" customHeight="1">
      <c r="A54" s="56" t="s">
        <v>446</v>
      </c>
      <c r="C54" s="80"/>
      <c r="D54" s="81" t="s">
        <v>588</v>
      </c>
      <c r="E54" s="82"/>
      <c r="F54" s="83"/>
      <c r="G54" s="84" t="s">
        <v>589</v>
      </c>
      <c r="H54" s="85" t="s">
        <v>41</v>
      </c>
      <c r="I54" s="86"/>
      <c r="J54" s="87"/>
      <c r="K54" s="87"/>
      <c r="L54" s="87"/>
      <c r="M54" s="87"/>
      <c r="N54" s="87"/>
      <c r="O54" s="87"/>
      <c r="P54" s="87"/>
      <c r="Q54" s="87"/>
      <c r="R54" s="87"/>
      <c r="S54" s="87"/>
      <c r="T54" s="87"/>
      <c r="U54" s="87"/>
      <c r="V54" s="87"/>
      <c r="W54" s="88"/>
      <c r="X54" s="88"/>
      <c r="Y54" s="89"/>
      <c r="Z54" s="90"/>
      <c r="AA54" s="91"/>
      <c r="AB54" s="91"/>
      <c r="AC54" s="91"/>
      <c r="AD54" s="91"/>
      <c r="AE54" s="91"/>
      <c r="AF54" s="84"/>
      <c r="AG54" s="92"/>
      <c r="AH54" s="91"/>
      <c r="AI54" s="93"/>
      <c r="AJ54" s="116"/>
      <c r="AM54" s="57"/>
    </row>
    <row r="55" spans="1:39" s="56" customFormat="1" ht="20.100000000000001" customHeight="1">
      <c r="A55" s="56" t="s">
        <v>446</v>
      </c>
      <c r="B55" s="56" t="s">
        <v>450</v>
      </c>
      <c r="C55" s="96" t="s">
        <v>590</v>
      </c>
      <c r="D55" s="97" t="s">
        <v>591</v>
      </c>
      <c r="E55" s="96" t="s">
        <v>11</v>
      </c>
      <c r="F55" s="98"/>
      <c r="G55" s="141" t="s">
        <v>592</v>
      </c>
      <c r="H55" s="100" t="s">
        <v>41</v>
      </c>
      <c r="I55" s="101" t="s">
        <v>454</v>
      </c>
      <c r="J55" s="87"/>
      <c r="K55" s="87"/>
      <c r="L55" s="87"/>
      <c r="M55" s="87"/>
      <c r="N55" s="87"/>
      <c r="O55" s="87"/>
      <c r="P55" s="87"/>
      <c r="Q55" s="87"/>
      <c r="R55" s="87"/>
      <c r="S55" s="87"/>
      <c r="T55" s="87"/>
      <c r="U55" s="87"/>
      <c r="V55" s="87"/>
      <c r="W55" s="102"/>
      <c r="X55" s="102"/>
      <c r="Y55" s="103"/>
      <c r="Z55" s="104" t="s">
        <v>593</v>
      </c>
      <c r="AA55" s="99"/>
      <c r="AB55" s="99"/>
      <c r="AC55" s="99"/>
      <c r="AD55" s="99"/>
      <c r="AE55" s="99"/>
      <c r="AF55" s="105"/>
      <c r="AG55" s="106"/>
      <c r="AH55" s="99"/>
      <c r="AI55" s="107" t="s">
        <v>465</v>
      </c>
      <c r="AJ55" s="114"/>
      <c r="AK55" s="85"/>
      <c r="AL55" s="85"/>
      <c r="AM55" s="57"/>
    </row>
    <row r="56" spans="1:39" s="56" customFormat="1" ht="20.100000000000001" customHeight="1">
      <c r="A56" s="56" t="s">
        <v>446</v>
      </c>
      <c r="C56" s="80"/>
      <c r="D56" s="81" t="s">
        <v>594</v>
      </c>
      <c r="E56" s="82"/>
      <c r="F56" s="83"/>
      <c r="G56" s="143" t="s">
        <v>595</v>
      </c>
      <c r="H56" s="85" t="s">
        <v>41</v>
      </c>
      <c r="I56" s="86"/>
      <c r="J56" s="87"/>
      <c r="K56" s="87"/>
      <c r="L56" s="87"/>
      <c r="M56" s="87"/>
      <c r="N56" s="87"/>
      <c r="O56" s="87"/>
      <c r="P56" s="87"/>
      <c r="Q56" s="87"/>
      <c r="R56" s="87"/>
      <c r="S56" s="87"/>
      <c r="T56" s="87"/>
      <c r="U56" s="87"/>
      <c r="V56" s="87"/>
      <c r="W56" s="88"/>
      <c r="X56" s="88"/>
      <c r="Y56" s="89"/>
      <c r="Z56" s="90"/>
      <c r="AA56" s="91"/>
      <c r="AB56" s="91"/>
      <c r="AC56" s="91"/>
      <c r="AD56" s="91"/>
      <c r="AE56" s="91"/>
      <c r="AF56" s="84"/>
      <c r="AG56" s="92"/>
      <c r="AH56" s="91"/>
      <c r="AI56" s="113"/>
      <c r="AJ56" s="116"/>
      <c r="AM56" s="57"/>
    </row>
    <row r="57" spans="1:39" s="56" customFormat="1" ht="34.5" customHeight="1">
      <c r="A57" s="56" t="s">
        <v>446</v>
      </c>
      <c r="B57" s="56" t="s">
        <v>450</v>
      </c>
      <c r="C57" s="96" t="s">
        <v>596</v>
      </c>
      <c r="D57" s="97" t="s">
        <v>30</v>
      </c>
      <c r="E57" s="96" t="s">
        <v>11</v>
      </c>
      <c r="F57" s="98"/>
      <c r="G57" s="99" t="s">
        <v>31</v>
      </c>
      <c r="H57" s="100"/>
      <c r="I57" s="101" t="s">
        <v>14</v>
      </c>
      <c r="J57" s="87"/>
      <c r="K57" s="87"/>
      <c r="L57" s="87"/>
      <c r="M57" s="87"/>
      <c r="N57" s="87"/>
      <c r="O57" s="87"/>
      <c r="P57" s="87"/>
      <c r="Q57" s="87"/>
      <c r="R57" s="87"/>
      <c r="S57" s="87"/>
      <c r="T57" s="87"/>
      <c r="U57" s="87"/>
      <c r="V57" s="87"/>
      <c r="W57" s="102"/>
      <c r="X57" s="102"/>
      <c r="Y57" s="103"/>
      <c r="Z57" s="104" t="s">
        <v>597</v>
      </c>
      <c r="AA57" s="99"/>
      <c r="AB57" s="99"/>
      <c r="AC57" s="99"/>
      <c r="AD57" s="99"/>
      <c r="AE57" s="99"/>
      <c r="AF57" s="105"/>
      <c r="AG57" s="106"/>
      <c r="AH57" s="99"/>
      <c r="AI57" s="112"/>
      <c r="AJ57" s="94"/>
      <c r="AK57" s="95"/>
      <c r="AL57" s="95"/>
      <c r="AM57" s="57"/>
    </row>
    <row r="58" spans="1:39" s="56" customFormat="1" ht="28.8">
      <c r="A58" s="56" t="s">
        <v>446</v>
      </c>
      <c r="C58" s="80"/>
      <c r="D58" s="81" t="s">
        <v>598</v>
      </c>
      <c r="E58" s="82"/>
      <c r="F58" s="83"/>
      <c r="G58" s="84" t="s">
        <v>599</v>
      </c>
      <c r="H58" s="85" t="s">
        <v>41</v>
      </c>
      <c r="I58" s="86"/>
      <c r="J58" s="87"/>
      <c r="K58" s="87"/>
      <c r="L58" s="87"/>
      <c r="M58" s="87"/>
      <c r="N58" s="87"/>
      <c r="O58" s="87"/>
      <c r="P58" s="87"/>
      <c r="Q58" s="87"/>
      <c r="R58" s="87"/>
      <c r="S58" s="87"/>
      <c r="T58" s="87"/>
      <c r="U58" s="87"/>
      <c r="V58" s="87"/>
      <c r="W58" s="88"/>
      <c r="X58" s="88"/>
      <c r="Y58" s="89"/>
      <c r="Z58" s="90"/>
      <c r="AA58" s="91"/>
      <c r="AB58" s="91"/>
      <c r="AC58" s="91"/>
      <c r="AD58" s="91"/>
      <c r="AE58" s="91"/>
      <c r="AF58" s="84"/>
      <c r="AG58" s="92"/>
      <c r="AH58" s="91"/>
      <c r="AI58" s="113"/>
      <c r="AJ58" s="108"/>
      <c r="AK58" s="100"/>
      <c r="AL58" s="100"/>
      <c r="AM58" s="57"/>
    </row>
    <row r="59" spans="1:39" s="56" customFormat="1" ht="66.599999999999994" customHeight="1">
      <c r="A59" s="56" t="s">
        <v>446</v>
      </c>
      <c r="B59" s="56" t="s">
        <v>450</v>
      </c>
      <c r="C59" s="96" t="s">
        <v>600</v>
      </c>
      <c r="D59" s="97" t="s">
        <v>601</v>
      </c>
      <c r="E59" s="96" t="s">
        <v>11</v>
      </c>
      <c r="F59" s="98"/>
      <c r="G59" s="99" t="s">
        <v>602</v>
      </c>
      <c r="H59" s="100" t="s">
        <v>41</v>
      </c>
      <c r="I59" s="101" t="s">
        <v>481</v>
      </c>
      <c r="J59" s="87"/>
      <c r="K59" s="87"/>
      <c r="L59" s="87"/>
      <c r="M59" s="87"/>
      <c r="N59" s="87"/>
      <c r="O59" s="87"/>
      <c r="P59" s="87"/>
      <c r="Q59" s="87"/>
      <c r="R59" s="87"/>
      <c r="S59" s="87"/>
      <c r="T59" s="87"/>
      <c r="U59" s="87"/>
      <c r="V59" s="87"/>
      <c r="W59" s="102"/>
      <c r="X59" s="102"/>
      <c r="Y59" s="103"/>
      <c r="Z59" s="104" t="s">
        <v>504</v>
      </c>
      <c r="AA59" s="99"/>
      <c r="AB59" s="99"/>
      <c r="AC59" s="99"/>
      <c r="AD59" s="99"/>
      <c r="AE59" s="99"/>
      <c r="AF59" s="105"/>
      <c r="AG59" s="106"/>
      <c r="AH59" s="99"/>
      <c r="AI59" s="112" t="s">
        <v>465</v>
      </c>
      <c r="AJ59" s="116"/>
      <c r="AM59" s="57"/>
    </row>
    <row r="60" spans="1:39" s="56" customFormat="1" ht="72">
      <c r="A60" s="56" t="s">
        <v>446</v>
      </c>
      <c r="B60" s="56" t="s">
        <v>172</v>
      </c>
      <c r="C60" s="96" t="s">
        <v>603</v>
      </c>
      <c r="D60" s="97" t="s">
        <v>34</v>
      </c>
      <c r="E60" s="96" t="s">
        <v>11</v>
      </c>
      <c r="F60" s="98"/>
      <c r="G60" s="99" t="s">
        <v>604</v>
      </c>
      <c r="H60" s="100"/>
      <c r="I60" s="101" t="s">
        <v>14</v>
      </c>
      <c r="J60" s="87"/>
      <c r="K60" s="87"/>
      <c r="L60" s="87"/>
      <c r="M60" s="87"/>
      <c r="N60" s="87"/>
      <c r="O60" s="87"/>
      <c r="P60" s="87"/>
      <c r="Q60" s="87"/>
      <c r="R60" s="87"/>
      <c r="S60" s="87"/>
      <c r="T60" s="87"/>
      <c r="U60" s="87"/>
      <c r="V60" s="87"/>
      <c r="W60" s="102"/>
      <c r="X60" s="102"/>
      <c r="Y60" s="103"/>
      <c r="Z60" s="104" t="s">
        <v>605</v>
      </c>
      <c r="AA60" s="99"/>
      <c r="AB60" s="99"/>
      <c r="AC60" s="99"/>
      <c r="AD60" s="99"/>
      <c r="AE60" s="99"/>
      <c r="AF60" s="105"/>
      <c r="AG60" s="106"/>
      <c r="AH60" s="99"/>
      <c r="AI60" s="107"/>
      <c r="AJ60" s="114"/>
      <c r="AK60" s="85"/>
      <c r="AL60" s="85"/>
      <c r="AM60" s="57"/>
    </row>
    <row r="61" spans="1:39" s="56" customFormat="1" ht="30.6" customHeight="1">
      <c r="A61" s="54" t="s">
        <v>446</v>
      </c>
      <c r="B61" s="54" t="s">
        <v>172</v>
      </c>
      <c r="C61" s="96" t="s">
        <v>606</v>
      </c>
      <c r="D61" s="97" t="s">
        <v>37</v>
      </c>
      <c r="E61" s="96" t="s">
        <v>17</v>
      </c>
      <c r="F61" s="98"/>
      <c r="G61" s="99" t="s">
        <v>38</v>
      </c>
      <c r="H61" s="100"/>
      <c r="I61" s="101" t="s">
        <v>14</v>
      </c>
      <c r="J61" s="87"/>
      <c r="K61" s="87"/>
      <c r="L61" s="87"/>
      <c r="M61" s="87"/>
      <c r="N61" s="87"/>
      <c r="O61" s="87"/>
      <c r="P61" s="87"/>
      <c r="Q61" s="87"/>
      <c r="R61" s="87"/>
      <c r="S61" s="87"/>
      <c r="T61" s="87"/>
      <c r="U61" s="87"/>
      <c r="V61" s="87"/>
      <c r="W61" s="102"/>
      <c r="X61" s="102"/>
      <c r="Y61" s="103"/>
      <c r="Z61" s="104" t="s">
        <v>607</v>
      </c>
      <c r="AA61" s="99"/>
      <c r="AB61" s="99"/>
      <c r="AC61" s="99"/>
      <c r="AD61" s="99"/>
      <c r="AE61" s="99"/>
      <c r="AF61" s="105"/>
      <c r="AG61" s="106"/>
      <c r="AH61" s="99"/>
      <c r="AI61" s="107"/>
      <c r="AJ61" s="116"/>
      <c r="AM61" s="57"/>
    </row>
    <row r="62" spans="1:39" s="56" customFormat="1" ht="100.8">
      <c r="A62" s="56" t="s">
        <v>446</v>
      </c>
      <c r="C62" s="80"/>
      <c r="D62" s="81" t="s">
        <v>608</v>
      </c>
      <c r="E62" s="82"/>
      <c r="F62" s="83"/>
      <c r="G62" s="84" t="s">
        <v>609</v>
      </c>
      <c r="H62" s="85" t="s">
        <v>41</v>
      </c>
      <c r="I62" s="86"/>
      <c r="J62" s="87"/>
      <c r="K62" s="87"/>
      <c r="L62" s="87"/>
      <c r="M62" s="87"/>
      <c r="N62" s="87"/>
      <c r="O62" s="87"/>
      <c r="P62" s="87"/>
      <c r="Q62" s="87"/>
      <c r="R62" s="87"/>
      <c r="S62" s="87"/>
      <c r="T62" s="87"/>
      <c r="U62" s="87"/>
      <c r="V62" s="87"/>
      <c r="W62" s="88"/>
      <c r="X62" s="88"/>
      <c r="Y62" s="89"/>
      <c r="Z62" s="90"/>
      <c r="AA62" s="91"/>
      <c r="AB62" s="91"/>
      <c r="AC62" s="91"/>
      <c r="AD62" s="91"/>
      <c r="AE62" s="91"/>
      <c r="AF62" s="84"/>
      <c r="AG62" s="92"/>
      <c r="AH62" s="91"/>
      <c r="AI62" s="113"/>
      <c r="AJ62" s="94"/>
      <c r="AK62" s="95"/>
      <c r="AL62" s="95"/>
      <c r="AM62" s="57"/>
    </row>
    <row r="63" spans="1:39" s="56" customFormat="1" ht="34.5" customHeight="1">
      <c r="A63" s="56" t="s">
        <v>458</v>
      </c>
      <c r="B63" s="56" t="s">
        <v>450</v>
      </c>
      <c r="C63" s="96" t="s">
        <v>610</v>
      </c>
      <c r="D63" s="97" t="s">
        <v>40</v>
      </c>
      <c r="E63" s="96" t="s">
        <v>11</v>
      </c>
      <c r="F63" s="98"/>
      <c r="G63" s="99" t="s">
        <v>611</v>
      </c>
      <c r="H63" s="100" t="s">
        <v>41</v>
      </c>
      <c r="I63" s="101" t="s">
        <v>454</v>
      </c>
      <c r="J63" s="87"/>
      <c r="K63" s="87"/>
      <c r="L63" s="87"/>
      <c r="M63" s="87"/>
      <c r="N63" s="87"/>
      <c r="O63" s="87"/>
      <c r="P63" s="87"/>
      <c r="Q63" s="87"/>
      <c r="R63" s="87"/>
      <c r="S63" s="87"/>
      <c r="T63" s="87"/>
      <c r="U63" s="87"/>
      <c r="V63" s="87"/>
      <c r="W63" s="102"/>
      <c r="X63" s="102"/>
      <c r="Y63" s="103"/>
      <c r="Z63" s="117" t="s">
        <v>612</v>
      </c>
      <c r="AA63" s="99"/>
      <c r="AB63" s="99"/>
      <c r="AC63" s="99"/>
      <c r="AD63" s="99"/>
      <c r="AE63" s="99"/>
      <c r="AF63" s="105"/>
      <c r="AG63" s="106"/>
      <c r="AH63" s="99"/>
      <c r="AI63" s="112" t="s">
        <v>465</v>
      </c>
      <c r="AJ63" s="116"/>
      <c r="AM63" s="57"/>
    </row>
    <row r="64" spans="1:39" s="56" customFormat="1" ht="31.2" customHeight="1">
      <c r="A64" s="54" t="s">
        <v>446</v>
      </c>
      <c r="B64" s="54" t="s">
        <v>450</v>
      </c>
      <c r="C64" s="96" t="s">
        <v>613</v>
      </c>
      <c r="D64" s="97" t="s">
        <v>42</v>
      </c>
      <c r="E64" s="96" t="s">
        <v>11</v>
      </c>
      <c r="F64" s="98"/>
      <c r="G64" s="141" t="s">
        <v>43</v>
      </c>
      <c r="H64" s="100"/>
      <c r="I64" s="101" t="s">
        <v>14</v>
      </c>
      <c r="J64" s="87"/>
      <c r="K64" s="87"/>
      <c r="L64" s="87"/>
      <c r="M64" s="87"/>
      <c r="N64" s="87"/>
      <c r="O64" s="87"/>
      <c r="P64" s="87"/>
      <c r="Q64" s="87"/>
      <c r="R64" s="87"/>
      <c r="S64" s="87"/>
      <c r="T64" s="87"/>
      <c r="U64" s="87"/>
      <c r="V64" s="87"/>
      <c r="W64" s="102"/>
      <c r="X64" s="102"/>
      <c r="Y64" s="103"/>
      <c r="Z64" s="104" t="s">
        <v>489</v>
      </c>
      <c r="AA64" s="99"/>
      <c r="AB64" s="99"/>
      <c r="AC64" s="99"/>
      <c r="AD64" s="99"/>
      <c r="AE64" s="99"/>
      <c r="AF64" s="105"/>
      <c r="AG64" s="106"/>
      <c r="AH64" s="99"/>
      <c r="AI64" s="107"/>
      <c r="AJ64" s="114"/>
      <c r="AK64" s="85"/>
      <c r="AL64" s="85"/>
      <c r="AM64" s="57"/>
    </row>
    <row r="65" spans="1:39" s="56" customFormat="1" ht="34.5" customHeight="1">
      <c r="A65" s="54" t="s">
        <v>446</v>
      </c>
      <c r="B65" s="54" t="s">
        <v>614</v>
      </c>
      <c r="C65" s="96" t="s">
        <v>615</v>
      </c>
      <c r="D65" s="97" t="s">
        <v>616</v>
      </c>
      <c r="E65" s="96" t="s">
        <v>11</v>
      </c>
      <c r="F65" s="98"/>
      <c r="G65" s="141" t="s">
        <v>617</v>
      </c>
      <c r="H65" s="100" t="s">
        <v>41</v>
      </c>
      <c r="I65" s="101" t="s">
        <v>454</v>
      </c>
      <c r="J65" s="87"/>
      <c r="K65" s="87"/>
      <c r="L65" s="87"/>
      <c r="M65" s="87"/>
      <c r="N65" s="87"/>
      <c r="O65" s="87"/>
      <c r="P65" s="87"/>
      <c r="Q65" s="87"/>
      <c r="R65" s="87"/>
      <c r="S65" s="87"/>
      <c r="T65" s="87"/>
      <c r="U65" s="87"/>
      <c r="V65" s="87"/>
      <c r="W65" s="102"/>
      <c r="X65" s="102"/>
      <c r="Y65" s="103"/>
      <c r="Z65" s="104" t="s">
        <v>618</v>
      </c>
      <c r="AA65" s="99"/>
      <c r="AB65" s="99"/>
      <c r="AC65" s="99"/>
      <c r="AD65" s="99"/>
      <c r="AE65" s="99"/>
      <c r="AF65" s="105"/>
      <c r="AG65" s="106"/>
      <c r="AH65" s="99"/>
      <c r="AI65" s="112" t="s">
        <v>465</v>
      </c>
      <c r="AJ65" s="116"/>
      <c r="AM65" s="57"/>
    </row>
    <row r="66" spans="1:39" s="56" customFormat="1" ht="28.8">
      <c r="A66" s="56" t="s">
        <v>446</v>
      </c>
      <c r="B66" s="54"/>
      <c r="C66" s="80"/>
      <c r="D66" s="81" t="s">
        <v>619</v>
      </c>
      <c r="E66" s="82"/>
      <c r="F66" s="83"/>
      <c r="G66" s="146" t="s">
        <v>620</v>
      </c>
      <c r="H66" s="85" t="s">
        <v>41</v>
      </c>
      <c r="I66" s="86"/>
      <c r="J66" s="87"/>
      <c r="K66" s="87"/>
      <c r="L66" s="87"/>
      <c r="M66" s="87"/>
      <c r="N66" s="87"/>
      <c r="O66" s="87"/>
      <c r="P66" s="87"/>
      <c r="Q66" s="87"/>
      <c r="R66" s="87"/>
      <c r="S66" s="87"/>
      <c r="T66" s="87"/>
      <c r="U66" s="87"/>
      <c r="V66" s="87"/>
      <c r="W66" s="88"/>
      <c r="X66" s="88"/>
      <c r="Y66" s="89"/>
      <c r="Z66" s="90"/>
      <c r="AA66" s="91"/>
      <c r="AB66" s="91"/>
      <c r="AC66" s="91"/>
      <c r="AD66" s="91"/>
      <c r="AE66" s="91"/>
      <c r="AF66" s="84"/>
      <c r="AG66" s="92"/>
      <c r="AH66" s="91"/>
      <c r="AI66" s="113"/>
      <c r="AJ66" s="108"/>
      <c r="AK66" s="100"/>
      <c r="AL66" s="100"/>
      <c r="AM66" s="57"/>
    </row>
    <row r="67" spans="1:39" s="125" customFormat="1" ht="46.95" customHeight="1">
      <c r="A67" s="125" t="s">
        <v>621</v>
      </c>
      <c r="B67" s="147" t="s">
        <v>450</v>
      </c>
      <c r="C67" s="126" t="s">
        <v>622</v>
      </c>
      <c r="D67" s="127" t="s">
        <v>623</v>
      </c>
      <c r="E67" s="126" t="s">
        <v>11</v>
      </c>
      <c r="F67" s="148" t="s">
        <v>102</v>
      </c>
      <c r="G67" s="129" t="s">
        <v>624</v>
      </c>
      <c r="H67" s="130"/>
      <c r="I67" s="131" t="s">
        <v>481</v>
      </c>
      <c r="J67" s="132"/>
      <c r="K67" s="132"/>
      <c r="L67" s="132"/>
      <c r="M67" s="132"/>
      <c r="N67" s="132"/>
      <c r="O67" s="132"/>
      <c r="P67" s="132"/>
      <c r="Q67" s="132"/>
      <c r="R67" s="132"/>
      <c r="S67" s="132"/>
      <c r="T67" s="132"/>
      <c r="U67" s="132"/>
      <c r="V67" s="132"/>
      <c r="W67" s="133"/>
      <c r="X67" s="133"/>
      <c r="Y67" s="134"/>
      <c r="Z67" s="135"/>
      <c r="AA67" s="129"/>
      <c r="AB67" s="129"/>
      <c r="AC67" s="129"/>
      <c r="AD67" s="129"/>
      <c r="AE67" s="129"/>
      <c r="AF67" s="136"/>
      <c r="AG67" s="137"/>
      <c r="AH67" s="129"/>
      <c r="AI67" s="138" t="s">
        <v>465</v>
      </c>
      <c r="AJ67" s="139"/>
      <c r="AM67" s="140"/>
    </row>
    <row r="68" spans="1:39" s="125" customFormat="1" ht="44.1" customHeight="1">
      <c r="A68" s="125" t="s">
        <v>621</v>
      </c>
      <c r="B68" s="147" t="s">
        <v>450</v>
      </c>
      <c r="C68" s="126" t="s">
        <v>625</v>
      </c>
      <c r="D68" s="127" t="s">
        <v>626</v>
      </c>
      <c r="E68" s="126" t="s">
        <v>11</v>
      </c>
      <c r="F68" s="128"/>
      <c r="G68" s="129" t="s">
        <v>627</v>
      </c>
      <c r="H68" s="130"/>
      <c r="I68" s="131"/>
      <c r="J68" s="132"/>
      <c r="K68" s="132"/>
      <c r="L68" s="132"/>
      <c r="M68" s="132"/>
      <c r="N68" s="132"/>
      <c r="O68" s="132"/>
      <c r="P68" s="132"/>
      <c r="Q68" s="132"/>
      <c r="R68" s="132"/>
      <c r="S68" s="132"/>
      <c r="T68" s="132"/>
      <c r="U68" s="132"/>
      <c r="V68" s="132"/>
      <c r="W68" s="133"/>
      <c r="X68" s="133"/>
      <c r="Y68" s="134"/>
      <c r="Z68" s="135"/>
      <c r="AA68" s="129"/>
      <c r="AB68" s="129"/>
      <c r="AC68" s="129"/>
      <c r="AD68" s="129"/>
      <c r="AE68" s="129"/>
      <c r="AF68" s="136"/>
      <c r="AG68" s="137"/>
      <c r="AH68" s="129"/>
      <c r="AI68" s="149"/>
      <c r="AJ68" s="139"/>
      <c r="AM68" s="140"/>
    </row>
    <row r="69" spans="1:39" s="56" customFormat="1" ht="28.8">
      <c r="A69" s="56" t="s">
        <v>446</v>
      </c>
      <c r="B69" s="54"/>
      <c r="C69" s="80"/>
      <c r="D69" s="81" t="s">
        <v>628</v>
      </c>
      <c r="E69" s="82"/>
      <c r="F69" s="83"/>
      <c r="G69" s="84" t="s">
        <v>629</v>
      </c>
      <c r="H69" s="85" t="s">
        <v>41</v>
      </c>
      <c r="I69" s="86"/>
      <c r="J69" s="87"/>
      <c r="K69" s="87"/>
      <c r="L69" s="87"/>
      <c r="M69" s="87"/>
      <c r="N69" s="87"/>
      <c r="O69" s="87"/>
      <c r="P69" s="87"/>
      <c r="Q69" s="87"/>
      <c r="R69" s="87"/>
      <c r="S69" s="87"/>
      <c r="T69" s="87"/>
      <c r="U69" s="87"/>
      <c r="V69" s="87"/>
      <c r="W69" s="88"/>
      <c r="X69" s="88"/>
      <c r="Y69" s="89"/>
      <c r="Z69" s="90"/>
      <c r="AA69" s="91"/>
      <c r="AB69" s="91"/>
      <c r="AC69" s="91"/>
      <c r="AD69" s="91"/>
      <c r="AE69" s="91"/>
      <c r="AF69" s="84"/>
      <c r="AG69" s="92"/>
      <c r="AH69" s="91"/>
      <c r="AI69" s="113"/>
      <c r="AJ69" s="108"/>
      <c r="AK69" s="100"/>
      <c r="AL69" s="100"/>
      <c r="AM69" s="57"/>
    </row>
    <row r="70" spans="1:39" s="56" customFormat="1" ht="43.2">
      <c r="A70" s="56" t="s">
        <v>446</v>
      </c>
      <c r="B70" s="54" t="s">
        <v>450</v>
      </c>
      <c r="C70" s="96"/>
      <c r="D70" s="97" t="s">
        <v>630</v>
      </c>
      <c r="E70" s="96" t="s">
        <v>11</v>
      </c>
      <c r="F70" s="98"/>
      <c r="G70" s="99" t="s">
        <v>631</v>
      </c>
      <c r="H70" s="100" t="s">
        <v>41</v>
      </c>
      <c r="I70" s="101" t="s">
        <v>454</v>
      </c>
      <c r="J70" s="87"/>
      <c r="K70" s="87"/>
      <c r="L70" s="87"/>
      <c r="M70" s="87"/>
      <c r="N70" s="87"/>
      <c r="O70" s="87"/>
      <c r="P70" s="87"/>
      <c r="Q70" s="87"/>
      <c r="R70" s="87"/>
      <c r="S70" s="87"/>
      <c r="T70" s="87"/>
      <c r="U70" s="87"/>
      <c r="V70" s="87"/>
      <c r="W70" s="102"/>
      <c r="X70" s="102"/>
      <c r="Y70" s="103"/>
      <c r="Z70" s="104" t="s">
        <v>632</v>
      </c>
      <c r="AA70" s="99"/>
      <c r="AB70" s="99"/>
      <c r="AC70" s="99"/>
      <c r="AD70" s="99"/>
      <c r="AE70" s="99"/>
      <c r="AF70" s="105"/>
      <c r="AG70" s="106"/>
      <c r="AH70" s="99"/>
      <c r="AI70" s="107">
        <v>1</v>
      </c>
      <c r="AJ70" s="116"/>
      <c r="AM70" s="57"/>
    </row>
    <row r="71" spans="1:39" s="56" customFormat="1" ht="158.4">
      <c r="A71" s="56" t="s">
        <v>446</v>
      </c>
      <c r="B71" s="54"/>
      <c r="C71" s="80"/>
      <c r="D71" s="81" t="s">
        <v>633</v>
      </c>
      <c r="E71" s="82"/>
      <c r="F71" s="83" t="s">
        <v>634</v>
      </c>
      <c r="G71" s="84" t="s">
        <v>635</v>
      </c>
      <c r="H71" s="85" t="s">
        <v>41</v>
      </c>
      <c r="I71" s="86"/>
      <c r="J71" s="87"/>
      <c r="K71" s="87"/>
      <c r="L71" s="87"/>
      <c r="M71" s="87"/>
      <c r="N71" s="87"/>
      <c r="O71" s="87"/>
      <c r="P71" s="87"/>
      <c r="Q71" s="87"/>
      <c r="R71" s="87"/>
      <c r="S71" s="87"/>
      <c r="T71" s="87"/>
      <c r="U71" s="87"/>
      <c r="V71" s="87"/>
      <c r="W71" s="88"/>
      <c r="X71" s="88"/>
      <c r="Y71" s="89"/>
      <c r="Z71" s="90"/>
      <c r="AA71" s="91"/>
      <c r="AB71" s="91"/>
      <c r="AC71" s="91"/>
      <c r="AD71" s="91"/>
      <c r="AE71" s="91"/>
      <c r="AF71" s="84"/>
      <c r="AG71" s="92"/>
      <c r="AH71" s="91"/>
      <c r="AI71" s="113"/>
      <c r="AJ71" s="116"/>
      <c r="AM71" s="57"/>
    </row>
    <row r="72" spans="1:39" s="56" customFormat="1" ht="46.35" customHeight="1">
      <c r="A72" s="56" t="s">
        <v>446</v>
      </c>
      <c r="B72" s="54" t="s">
        <v>636</v>
      </c>
      <c r="C72" s="96"/>
      <c r="D72" s="97" t="s">
        <v>637</v>
      </c>
      <c r="E72" s="96" t="s">
        <v>11</v>
      </c>
      <c r="F72" s="98"/>
      <c r="G72" s="99" t="s">
        <v>47</v>
      </c>
      <c r="H72" s="100"/>
      <c r="I72" s="101" t="s">
        <v>14</v>
      </c>
      <c r="J72" s="87"/>
      <c r="K72" s="87"/>
      <c r="L72" s="87"/>
      <c r="M72" s="87"/>
      <c r="N72" s="87"/>
      <c r="O72" s="87"/>
      <c r="P72" s="87"/>
      <c r="Q72" s="87"/>
      <c r="R72" s="87"/>
      <c r="S72" s="87"/>
      <c r="T72" s="87"/>
      <c r="U72" s="87"/>
      <c r="V72" s="87"/>
      <c r="W72" s="102"/>
      <c r="X72" s="102"/>
      <c r="Y72" s="103"/>
      <c r="Z72" s="104" t="s">
        <v>49</v>
      </c>
      <c r="AA72" s="99"/>
      <c r="AB72" s="99"/>
      <c r="AC72" s="99"/>
      <c r="AD72" s="99"/>
      <c r="AE72" s="99"/>
      <c r="AF72" s="105"/>
      <c r="AG72" s="106"/>
      <c r="AH72" s="99"/>
      <c r="AI72" s="112"/>
      <c r="AJ72" s="94"/>
      <c r="AK72" s="95"/>
      <c r="AL72" s="95"/>
      <c r="AM72" s="57"/>
    </row>
    <row r="73" spans="1:39" s="56" customFormat="1">
      <c r="A73" s="56" t="s">
        <v>446</v>
      </c>
      <c r="B73" s="54" t="s">
        <v>636</v>
      </c>
      <c r="C73" s="96"/>
      <c r="D73" s="97" t="s">
        <v>50</v>
      </c>
      <c r="E73" s="96" t="s">
        <v>11</v>
      </c>
      <c r="F73" s="98"/>
      <c r="G73" s="99" t="s">
        <v>51</v>
      </c>
      <c r="H73" s="100"/>
      <c r="I73" s="101" t="s">
        <v>14</v>
      </c>
      <c r="J73" s="87"/>
      <c r="K73" s="87"/>
      <c r="L73" s="87"/>
      <c r="M73" s="87"/>
      <c r="N73" s="87"/>
      <c r="O73" s="87"/>
      <c r="P73" s="87"/>
      <c r="Q73" s="87"/>
      <c r="R73" s="87"/>
      <c r="S73" s="87"/>
      <c r="T73" s="87"/>
      <c r="U73" s="87"/>
      <c r="V73" s="87"/>
      <c r="W73" s="102"/>
      <c r="X73" s="102"/>
      <c r="Y73" s="103"/>
      <c r="Z73" s="117"/>
      <c r="AA73" s="99"/>
      <c r="AB73" s="99"/>
      <c r="AC73" s="99"/>
      <c r="AD73" s="99"/>
      <c r="AE73" s="99"/>
      <c r="AF73" s="105"/>
      <c r="AG73" s="106"/>
      <c r="AH73" s="99"/>
      <c r="AI73" s="107"/>
      <c r="AJ73" s="108"/>
      <c r="AK73" s="100"/>
      <c r="AL73" s="100"/>
      <c r="AM73" s="57"/>
    </row>
    <row r="74" spans="1:39" s="56" customFormat="1" ht="57.6">
      <c r="A74" s="54" t="s">
        <v>446</v>
      </c>
      <c r="B74" s="54" t="s">
        <v>636</v>
      </c>
      <c r="C74" s="96"/>
      <c r="D74" s="97" t="s">
        <v>53</v>
      </c>
      <c r="E74" s="96" t="s">
        <v>11</v>
      </c>
      <c r="F74" s="98"/>
      <c r="G74" s="99" t="s">
        <v>638</v>
      </c>
      <c r="H74" s="100"/>
      <c r="I74" s="101" t="s">
        <v>14</v>
      </c>
      <c r="J74" s="87"/>
      <c r="K74" s="87"/>
      <c r="L74" s="87"/>
      <c r="M74" s="87"/>
      <c r="N74" s="87"/>
      <c r="O74" s="87"/>
      <c r="P74" s="87"/>
      <c r="Q74" s="87"/>
      <c r="R74" s="87"/>
      <c r="S74" s="87"/>
      <c r="T74" s="87"/>
      <c r="U74" s="87"/>
      <c r="V74" s="87"/>
      <c r="W74" s="102"/>
      <c r="X74" s="102"/>
      <c r="Y74" s="103"/>
      <c r="Z74" s="117" t="s">
        <v>639</v>
      </c>
      <c r="AA74" s="99"/>
      <c r="AB74" s="99"/>
      <c r="AC74" s="99"/>
      <c r="AD74" s="99"/>
      <c r="AE74" s="99"/>
      <c r="AF74" s="105"/>
      <c r="AG74" s="106"/>
      <c r="AH74" s="99"/>
      <c r="AI74" s="107"/>
      <c r="AJ74" s="116"/>
      <c r="AM74" s="57"/>
    </row>
    <row r="75" spans="1:39" s="56" customFormat="1" ht="34.5" customHeight="1">
      <c r="A75" s="54" t="s">
        <v>446</v>
      </c>
      <c r="B75" s="54" t="s">
        <v>636</v>
      </c>
      <c r="C75" s="96"/>
      <c r="D75" s="97" t="s">
        <v>57</v>
      </c>
      <c r="E75" s="96" t="s">
        <v>17</v>
      </c>
      <c r="F75" s="98"/>
      <c r="G75" s="99" t="s">
        <v>640</v>
      </c>
      <c r="H75" s="100"/>
      <c r="I75" s="101" t="s">
        <v>14</v>
      </c>
      <c r="J75" s="87"/>
      <c r="K75" s="87"/>
      <c r="L75" s="87"/>
      <c r="M75" s="87"/>
      <c r="N75" s="87"/>
      <c r="O75" s="87"/>
      <c r="P75" s="87"/>
      <c r="Q75" s="87"/>
      <c r="R75" s="87"/>
      <c r="S75" s="87"/>
      <c r="T75" s="87"/>
      <c r="U75" s="87"/>
      <c r="V75" s="87"/>
      <c r="W75" s="102"/>
      <c r="X75" s="102"/>
      <c r="Y75" s="103"/>
      <c r="Z75" s="117" t="s">
        <v>641</v>
      </c>
      <c r="AA75" s="99"/>
      <c r="AB75" s="99"/>
      <c r="AC75" s="99"/>
      <c r="AD75" s="99"/>
      <c r="AE75" s="99"/>
      <c r="AF75" s="105"/>
      <c r="AG75" s="106"/>
      <c r="AH75" s="99"/>
      <c r="AI75" s="112"/>
      <c r="AJ75" s="116"/>
      <c r="AM75" s="57"/>
    </row>
    <row r="76" spans="1:39" s="56" customFormat="1" ht="28.8">
      <c r="A76" s="56" t="s">
        <v>446</v>
      </c>
      <c r="B76" s="54"/>
      <c r="C76" s="80"/>
      <c r="D76" s="81" t="s">
        <v>642</v>
      </c>
      <c r="E76" s="82"/>
      <c r="F76" s="83"/>
      <c r="G76" s="84" t="s">
        <v>643</v>
      </c>
      <c r="H76" s="85" t="s">
        <v>41</v>
      </c>
      <c r="I76" s="86"/>
      <c r="J76" s="87"/>
      <c r="K76" s="87"/>
      <c r="L76" s="87"/>
      <c r="M76" s="87"/>
      <c r="N76" s="87"/>
      <c r="O76" s="87"/>
      <c r="P76" s="87"/>
      <c r="Q76" s="87"/>
      <c r="R76" s="87"/>
      <c r="S76" s="87"/>
      <c r="T76" s="87"/>
      <c r="U76" s="87"/>
      <c r="V76" s="87"/>
      <c r="W76" s="88"/>
      <c r="X76" s="88"/>
      <c r="Y76" s="89"/>
      <c r="Z76" s="90"/>
      <c r="AA76" s="91"/>
      <c r="AB76" s="91"/>
      <c r="AC76" s="91"/>
      <c r="AD76" s="91"/>
      <c r="AE76" s="91"/>
      <c r="AF76" s="84"/>
      <c r="AG76" s="92"/>
      <c r="AH76" s="91"/>
      <c r="AI76" s="113"/>
      <c r="AJ76" s="116"/>
      <c r="AM76" s="57"/>
    </row>
    <row r="77" spans="1:39" s="56" customFormat="1" ht="69.599999999999994" customHeight="1">
      <c r="A77" s="56" t="s">
        <v>446</v>
      </c>
      <c r="B77" s="54" t="s">
        <v>450</v>
      </c>
      <c r="C77" s="96"/>
      <c r="D77" s="97" t="s">
        <v>644</v>
      </c>
      <c r="E77" s="96" t="s">
        <v>11</v>
      </c>
      <c r="F77" s="98"/>
      <c r="G77" s="141" t="s">
        <v>645</v>
      </c>
      <c r="H77" s="100" t="s">
        <v>41</v>
      </c>
      <c r="I77" s="101" t="s">
        <v>481</v>
      </c>
      <c r="J77" s="87"/>
      <c r="K77" s="87"/>
      <c r="L77" s="87"/>
      <c r="M77" s="87"/>
      <c r="N77" s="87"/>
      <c r="O77" s="87"/>
      <c r="P77" s="87"/>
      <c r="Q77" s="87"/>
      <c r="R77" s="87"/>
      <c r="S77" s="87"/>
      <c r="T77" s="87"/>
      <c r="U77" s="87"/>
      <c r="V77" s="87"/>
      <c r="W77" s="102"/>
      <c r="X77" s="102"/>
      <c r="Y77" s="103"/>
      <c r="Z77" s="104" t="s">
        <v>504</v>
      </c>
      <c r="AA77" s="99"/>
      <c r="AB77" s="99"/>
      <c r="AC77" s="99"/>
      <c r="AD77" s="99"/>
      <c r="AE77" s="99"/>
      <c r="AF77" s="105"/>
      <c r="AG77" s="106"/>
      <c r="AH77" s="99"/>
      <c r="AI77" s="112" t="s">
        <v>465</v>
      </c>
      <c r="AJ77" s="94"/>
      <c r="AK77" s="95"/>
      <c r="AL77" s="95"/>
      <c r="AM77" s="57"/>
    </row>
    <row r="78" spans="1:39" s="56" customFormat="1" ht="100.8">
      <c r="A78" s="54" t="s">
        <v>446</v>
      </c>
      <c r="B78" s="54" t="s">
        <v>172</v>
      </c>
      <c r="C78" s="96"/>
      <c r="D78" s="97" t="s">
        <v>60</v>
      </c>
      <c r="E78" s="96" t="s">
        <v>11</v>
      </c>
      <c r="F78" s="98"/>
      <c r="G78" s="150" t="s">
        <v>61</v>
      </c>
      <c r="H78" s="100"/>
      <c r="I78" s="101" t="s">
        <v>14</v>
      </c>
      <c r="J78" s="87"/>
      <c r="K78" s="87"/>
      <c r="L78" s="87"/>
      <c r="M78" s="87"/>
      <c r="N78" s="87"/>
      <c r="O78" s="87"/>
      <c r="P78" s="87"/>
      <c r="Q78" s="87"/>
      <c r="R78" s="87"/>
      <c r="S78" s="87"/>
      <c r="T78" s="87"/>
      <c r="U78" s="87"/>
      <c r="V78" s="87"/>
      <c r="W78" s="102"/>
      <c r="X78" s="102"/>
      <c r="Y78" s="103"/>
      <c r="Z78" s="104" t="s">
        <v>646</v>
      </c>
      <c r="AA78" s="99"/>
      <c r="AB78" s="99"/>
      <c r="AC78" s="99"/>
      <c r="AD78" s="99"/>
      <c r="AE78" s="99"/>
      <c r="AF78" s="105"/>
      <c r="AG78" s="106"/>
      <c r="AH78" s="99"/>
      <c r="AI78" s="107"/>
      <c r="AJ78" s="108"/>
      <c r="AK78" s="100"/>
      <c r="AL78" s="100"/>
      <c r="AM78" s="57"/>
    </row>
    <row r="79" spans="1:39" s="125" customFormat="1" ht="70.95" customHeight="1">
      <c r="A79" s="125" t="s">
        <v>446</v>
      </c>
      <c r="B79" s="147" t="s">
        <v>172</v>
      </c>
      <c r="C79" s="126"/>
      <c r="D79" s="127" t="s">
        <v>63</v>
      </c>
      <c r="E79" s="126" t="s">
        <v>11</v>
      </c>
      <c r="F79" s="128"/>
      <c r="G79" s="151" t="s">
        <v>647</v>
      </c>
      <c r="H79" s="130"/>
      <c r="I79" s="131" t="s">
        <v>14</v>
      </c>
      <c r="J79" s="132"/>
      <c r="K79" s="132"/>
      <c r="L79" s="132"/>
      <c r="M79" s="132"/>
      <c r="N79" s="132"/>
      <c r="O79" s="132"/>
      <c r="P79" s="132"/>
      <c r="Q79" s="132"/>
      <c r="R79" s="132"/>
      <c r="S79" s="132"/>
      <c r="T79" s="132"/>
      <c r="U79" s="132"/>
      <c r="V79" s="132"/>
      <c r="W79" s="133"/>
      <c r="X79" s="133"/>
      <c r="Y79" s="134"/>
      <c r="Z79" s="135"/>
      <c r="AA79" s="129"/>
      <c r="AB79" s="129"/>
      <c r="AC79" s="129"/>
      <c r="AD79" s="129"/>
      <c r="AE79" s="129"/>
      <c r="AF79" s="136"/>
      <c r="AG79" s="137"/>
      <c r="AH79" s="129"/>
      <c r="AI79" s="138"/>
      <c r="AJ79" s="139"/>
      <c r="AM79" s="140"/>
    </row>
    <row r="80" spans="1:39" s="56" customFormat="1" ht="34.5" customHeight="1">
      <c r="A80" s="56" t="s">
        <v>446</v>
      </c>
      <c r="B80" s="54"/>
      <c r="C80" s="80"/>
      <c r="D80" s="81" t="s">
        <v>648</v>
      </c>
      <c r="E80" s="82"/>
      <c r="F80" s="83"/>
      <c r="G80" s="84" t="s">
        <v>649</v>
      </c>
      <c r="H80" s="85" t="s">
        <v>41</v>
      </c>
      <c r="I80" s="86"/>
      <c r="J80" s="87"/>
      <c r="K80" s="87"/>
      <c r="L80" s="87"/>
      <c r="M80" s="87"/>
      <c r="N80" s="87"/>
      <c r="O80" s="87"/>
      <c r="P80" s="87"/>
      <c r="Q80" s="87"/>
      <c r="R80" s="87"/>
      <c r="S80" s="87"/>
      <c r="T80" s="87"/>
      <c r="U80" s="87"/>
      <c r="V80" s="87"/>
      <c r="W80" s="88"/>
      <c r="X80" s="88"/>
      <c r="Y80" s="89"/>
      <c r="Z80" s="90"/>
      <c r="AA80" s="91"/>
      <c r="AB80" s="91"/>
      <c r="AC80" s="91"/>
      <c r="AD80" s="91"/>
      <c r="AE80" s="91"/>
      <c r="AF80" s="84"/>
      <c r="AG80" s="92"/>
      <c r="AH80" s="91"/>
      <c r="AI80" s="93"/>
      <c r="AJ80" s="116"/>
      <c r="AM80" s="57"/>
    </row>
    <row r="81" spans="1:39" s="56" customFormat="1" ht="72">
      <c r="A81" s="56" t="s">
        <v>446</v>
      </c>
      <c r="B81" s="54" t="s">
        <v>450</v>
      </c>
      <c r="C81" s="96"/>
      <c r="D81" s="97" t="s">
        <v>650</v>
      </c>
      <c r="E81" s="96" t="s">
        <v>11</v>
      </c>
      <c r="F81" s="98"/>
      <c r="G81" s="109" t="s">
        <v>651</v>
      </c>
      <c r="H81" s="100" t="s">
        <v>41</v>
      </c>
      <c r="I81" s="101" t="s">
        <v>454</v>
      </c>
      <c r="J81" s="87"/>
      <c r="K81" s="87"/>
      <c r="L81" s="87"/>
      <c r="M81" s="87"/>
      <c r="N81" s="87"/>
      <c r="O81" s="87"/>
      <c r="P81" s="87"/>
      <c r="Q81" s="87"/>
      <c r="R81" s="87"/>
      <c r="S81" s="87"/>
      <c r="T81" s="87"/>
      <c r="U81" s="87"/>
      <c r="V81" s="87"/>
      <c r="W81" s="102"/>
      <c r="X81" s="102"/>
      <c r="Y81" s="103"/>
      <c r="Z81" s="111" t="s">
        <v>652</v>
      </c>
      <c r="AA81" s="99"/>
      <c r="AB81" s="99"/>
      <c r="AC81" s="99"/>
      <c r="AD81" s="99"/>
      <c r="AE81" s="99"/>
      <c r="AF81" s="105"/>
      <c r="AG81" s="106"/>
      <c r="AH81" s="99"/>
      <c r="AI81" s="107">
        <v>2</v>
      </c>
      <c r="AJ81" s="114"/>
      <c r="AK81" s="85"/>
      <c r="AL81" s="85"/>
      <c r="AM81" s="57"/>
    </row>
    <row r="82" spans="1:39" s="56" customFormat="1" ht="77.7" customHeight="1">
      <c r="A82" s="56" t="s">
        <v>446</v>
      </c>
      <c r="B82" s="54"/>
      <c r="C82" s="80"/>
      <c r="D82" s="81" t="s">
        <v>653</v>
      </c>
      <c r="E82" s="82"/>
      <c r="F82" s="83"/>
      <c r="G82" s="84" t="s">
        <v>654</v>
      </c>
      <c r="H82" s="85" t="s">
        <v>41</v>
      </c>
      <c r="I82" s="86"/>
      <c r="J82" s="87"/>
      <c r="K82" s="87"/>
      <c r="L82" s="87"/>
      <c r="M82" s="87"/>
      <c r="N82" s="87"/>
      <c r="O82" s="87"/>
      <c r="P82" s="87"/>
      <c r="Q82" s="87"/>
      <c r="R82" s="87"/>
      <c r="S82" s="87"/>
      <c r="T82" s="87"/>
      <c r="U82" s="87"/>
      <c r="V82" s="87"/>
      <c r="W82" s="88"/>
      <c r="X82" s="88"/>
      <c r="Y82" s="89"/>
      <c r="Z82" s="90"/>
      <c r="AA82" s="91"/>
      <c r="AB82" s="91"/>
      <c r="AC82" s="91"/>
      <c r="AD82" s="91"/>
      <c r="AE82" s="91"/>
      <c r="AF82" s="84"/>
      <c r="AG82" s="92"/>
      <c r="AH82" s="91"/>
      <c r="AI82" s="93"/>
      <c r="AJ82" s="116"/>
      <c r="AM82" s="57"/>
    </row>
    <row r="83" spans="1:39" s="56" customFormat="1" ht="54" customHeight="1">
      <c r="A83" s="56" t="s">
        <v>446</v>
      </c>
      <c r="B83" s="54" t="s">
        <v>450</v>
      </c>
      <c r="C83" s="96"/>
      <c r="D83" s="97" t="s">
        <v>655</v>
      </c>
      <c r="E83" s="96" t="s">
        <v>11</v>
      </c>
      <c r="F83" s="98"/>
      <c r="G83" s="99" t="s">
        <v>656</v>
      </c>
      <c r="H83" s="100"/>
      <c r="I83" s="101" t="s">
        <v>481</v>
      </c>
      <c r="J83" s="87"/>
      <c r="K83" s="87"/>
      <c r="L83" s="87"/>
      <c r="M83" s="87"/>
      <c r="N83" s="87"/>
      <c r="O83" s="87"/>
      <c r="P83" s="87"/>
      <c r="Q83" s="87"/>
      <c r="R83" s="87"/>
      <c r="S83" s="87"/>
      <c r="T83" s="87"/>
      <c r="U83" s="87"/>
      <c r="V83" s="87"/>
      <c r="W83" s="102"/>
      <c r="X83" s="102"/>
      <c r="Y83" s="103"/>
      <c r="Z83" s="117" t="s">
        <v>657</v>
      </c>
      <c r="AA83" s="99"/>
      <c r="AB83" s="99"/>
      <c r="AC83" s="99"/>
      <c r="AD83" s="99"/>
      <c r="AE83" s="99"/>
      <c r="AF83" s="105"/>
      <c r="AG83" s="106"/>
      <c r="AH83" s="99"/>
      <c r="AI83" s="107" t="s">
        <v>465</v>
      </c>
      <c r="AJ83" s="114"/>
      <c r="AK83" s="85"/>
      <c r="AL83" s="85"/>
      <c r="AM83" s="57"/>
    </row>
    <row r="84" spans="1:39" s="56" customFormat="1" ht="24.6" customHeight="1">
      <c r="A84" s="56" t="s">
        <v>446</v>
      </c>
      <c r="B84" s="54" t="s">
        <v>450</v>
      </c>
      <c r="C84" s="96"/>
      <c r="D84" s="97" t="s">
        <v>658</v>
      </c>
      <c r="E84" s="96" t="s">
        <v>11</v>
      </c>
      <c r="F84" s="98"/>
      <c r="G84" s="99" t="s">
        <v>659</v>
      </c>
      <c r="H84" s="100" t="s">
        <v>41</v>
      </c>
      <c r="I84" s="101" t="s">
        <v>454</v>
      </c>
      <c r="J84" s="87"/>
      <c r="K84" s="87"/>
      <c r="L84" s="87"/>
      <c r="M84" s="87"/>
      <c r="N84" s="87"/>
      <c r="O84" s="87"/>
      <c r="P84" s="87"/>
      <c r="Q84" s="87"/>
      <c r="R84" s="87"/>
      <c r="S84" s="87"/>
      <c r="T84" s="87"/>
      <c r="U84" s="87"/>
      <c r="V84" s="87"/>
      <c r="W84" s="102"/>
      <c r="X84" s="102"/>
      <c r="Y84" s="103"/>
      <c r="Z84" s="104" t="s">
        <v>660</v>
      </c>
      <c r="AA84" s="99"/>
      <c r="AB84" s="99"/>
      <c r="AC84" s="99"/>
      <c r="AD84" s="99"/>
      <c r="AE84" s="99"/>
      <c r="AF84" s="105"/>
      <c r="AG84" s="106"/>
      <c r="AH84" s="99"/>
      <c r="AI84" s="112">
        <v>1</v>
      </c>
      <c r="AJ84" s="116"/>
      <c r="AM84" s="57"/>
    </row>
    <row r="85" spans="1:39" s="56" customFormat="1">
      <c r="A85" s="56" t="s">
        <v>446</v>
      </c>
      <c r="B85" s="54"/>
      <c r="C85" s="80"/>
      <c r="D85" s="81" t="s">
        <v>661</v>
      </c>
      <c r="E85" s="82"/>
      <c r="F85" s="83"/>
      <c r="G85" s="84" t="s">
        <v>662</v>
      </c>
      <c r="H85" s="85" t="s">
        <v>41</v>
      </c>
      <c r="I85" s="86"/>
      <c r="J85" s="87"/>
      <c r="K85" s="87"/>
      <c r="L85" s="87"/>
      <c r="M85" s="87"/>
      <c r="N85" s="87"/>
      <c r="O85" s="87"/>
      <c r="P85" s="87"/>
      <c r="Q85" s="87"/>
      <c r="R85" s="87"/>
      <c r="S85" s="87"/>
      <c r="T85" s="87"/>
      <c r="U85" s="87"/>
      <c r="V85" s="87"/>
      <c r="W85" s="88"/>
      <c r="X85" s="88"/>
      <c r="Y85" s="89"/>
      <c r="Z85" s="90"/>
      <c r="AA85" s="91"/>
      <c r="AB85" s="91"/>
      <c r="AC85" s="91"/>
      <c r="AD85" s="91"/>
      <c r="AE85" s="91"/>
      <c r="AF85" s="84"/>
      <c r="AG85" s="92"/>
      <c r="AH85" s="91"/>
      <c r="AI85" s="113"/>
      <c r="AJ85" s="114"/>
      <c r="AK85" s="85"/>
      <c r="AL85" s="85"/>
      <c r="AM85" s="57"/>
    </row>
    <row r="86" spans="1:39" s="56" customFormat="1" ht="34.5" customHeight="1">
      <c r="A86" s="56" t="s">
        <v>446</v>
      </c>
      <c r="B86" s="54" t="s">
        <v>172</v>
      </c>
      <c r="C86" s="96"/>
      <c r="D86" s="97" t="s">
        <v>663</v>
      </c>
      <c r="E86" s="96" t="s">
        <v>11</v>
      </c>
      <c r="F86" s="98"/>
      <c r="G86" s="99" t="s">
        <v>664</v>
      </c>
      <c r="H86" s="100"/>
      <c r="I86" s="101" t="s">
        <v>14</v>
      </c>
      <c r="J86" s="87"/>
      <c r="K86" s="87"/>
      <c r="L86" s="87"/>
      <c r="M86" s="87"/>
      <c r="N86" s="87"/>
      <c r="O86" s="87"/>
      <c r="P86" s="87"/>
      <c r="Q86" s="87"/>
      <c r="R86" s="87"/>
      <c r="S86" s="87"/>
      <c r="T86" s="87"/>
      <c r="U86" s="87"/>
      <c r="V86" s="87"/>
      <c r="W86" s="102"/>
      <c r="X86" s="102"/>
      <c r="Y86" s="103"/>
      <c r="Z86" s="117" t="s">
        <v>665</v>
      </c>
      <c r="AA86" s="99"/>
      <c r="AB86" s="99"/>
      <c r="AC86" s="99"/>
      <c r="AD86" s="99"/>
      <c r="AE86" s="99"/>
      <c r="AF86" s="105"/>
      <c r="AG86" s="106"/>
      <c r="AH86" s="99"/>
      <c r="AI86" s="112"/>
      <c r="AJ86" s="116"/>
      <c r="AM86" s="57"/>
    </row>
    <row r="87" spans="1:39" s="56" customFormat="1" ht="31.35" customHeight="1">
      <c r="A87" s="56" t="s">
        <v>446</v>
      </c>
      <c r="B87" s="54"/>
      <c r="C87" s="80"/>
      <c r="D87" s="81" t="s">
        <v>666</v>
      </c>
      <c r="E87" s="82"/>
      <c r="F87" s="83"/>
      <c r="G87" s="84" t="s">
        <v>667</v>
      </c>
      <c r="H87" s="85" t="s">
        <v>41</v>
      </c>
      <c r="I87" s="86"/>
      <c r="J87" s="87"/>
      <c r="K87" s="87"/>
      <c r="L87" s="87"/>
      <c r="M87" s="87"/>
      <c r="N87" s="87"/>
      <c r="O87" s="87"/>
      <c r="P87" s="87"/>
      <c r="Q87" s="87"/>
      <c r="R87" s="87"/>
      <c r="S87" s="87"/>
      <c r="T87" s="87"/>
      <c r="U87" s="87"/>
      <c r="V87" s="87"/>
      <c r="W87" s="88"/>
      <c r="X87" s="88"/>
      <c r="Y87" s="89"/>
      <c r="Z87" s="90"/>
      <c r="AA87" s="91"/>
      <c r="AB87" s="91"/>
      <c r="AC87" s="91"/>
      <c r="AD87" s="91"/>
      <c r="AE87" s="91"/>
      <c r="AF87" s="84"/>
      <c r="AG87" s="92"/>
      <c r="AH87" s="91"/>
      <c r="AI87" s="113"/>
      <c r="AJ87" s="114"/>
      <c r="AK87" s="85"/>
      <c r="AL87" s="85"/>
      <c r="AM87" s="57"/>
    </row>
    <row r="88" spans="1:39" s="56" customFormat="1" ht="39.6" customHeight="1">
      <c r="A88" s="56" t="s">
        <v>446</v>
      </c>
      <c r="B88" s="54" t="s">
        <v>450</v>
      </c>
      <c r="C88" s="96"/>
      <c r="D88" s="97" t="s">
        <v>668</v>
      </c>
      <c r="E88" s="96" t="s">
        <v>11</v>
      </c>
      <c r="F88" s="98"/>
      <c r="G88" s="99" t="s">
        <v>669</v>
      </c>
      <c r="H88" s="100" t="s">
        <v>41</v>
      </c>
      <c r="I88" s="101" t="s">
        <v>481</v>
      </c>
      <c r="J88" s="87"/>
      <c r="K88" s="87"/>
      <c r="L88" s="87"/>
      <c r="M88" s="87"/>
      <c r="N88" s="87"/>
      <c r="O88" s="87"/>
      <c r="P88" s="87"/>
      <c r="Q88" s="87"/>
      <c r="R88" s="87"/>
      <c r="S88" s="87"/>
      <c r="T88" s="87"/>
      <c r="U88" s="87"/>
      <c r="V88" s="87"/>
      <c r="W88" s="102"/>
      <c r="X88" s="102"/>
      <c r="Y88" s="103"/>
      <c r="Z88" s="104" t="s">
        <v>504</v>
      </c>
      <c r="AA88" s="99"/>
      <c r="AB88" s="99"/>
      <c r="AC88" s="99"/>
      <c r="AD88" s="99"/>
      <c r="AE88" s="99"/>
      <c r="AF88" s="105"/>
      <c r="AG88" s="106"/>
      <c r="AH88" s="99"/>
      <c r="AI88" s="107" t="s">
        <v>465</v>
      </c>
      <c r="AJ88" s="116"/>
      <c r="AM88" s="57"/>
    </row>
    <row r="89" spans="1:39" s="56" customFormat="1" ht="34.5" customHeight="1">
      <c r="A89" s="56" t="s">
        <v>446</v>
      </c>
      <c r="B89" s="54"/>
      <c r="C89" s="80"/>
      <c r="D89" s="81" t="s">
        <v>670</v>
      </c>
      <c r="E89" s="82"/>
      <c r="F89" s="83"/>
      <c r="G89" s="84" t="s">
        <v>671</v>
      </c>
      <c r="H89" s="85" t="s">
        <v>41</v>
      </c>
      <c r="I89" s="86"/>
      <c r="J89" s="87"/>
      <c r="K89" s="87"/>
      <c r="L89" s="87"/>
      <c r="M89" s="87"/>
      <c r="N89" s="87"/>
      <c r="O89" s="87"/>
      <c r="P89" s="87"/>
      <c r="Q89" s="87"/>
      <c r="R89" s="87"/>
      <c r="S89" s="87"/>
      <c r="T89" s="87"/>
      <c r="U89" s="87"/>
      <c r="V89" s="87"/>
      <c r="W89" s="88"/>
      <c r="X89" s="88"/>
      <c r="Y89" s="89"/>
      <c r="Z89" s="90"/>
      <c r="AA89" s="91"/>
      <c r="AB89" s="91"/>
      <c r="AC89" s="91"/>
      <c r="AD89" s="91"/>
      <c r="AE89" s="91"/>
      <c r="AF89" s="84"/>
      <c r="AG89" s="92"/>
      <c r="AH89" s="91"/>
      <c r="AI89" s="93"/>
      <c r="AJ89" s="116"/>
      <c r="AM89" s="57"/>
    </row>
    <row r="90" spans="1:39" s="56" customFormat="1" ht="18" customHeight="1">
      <c r="A90" s="56" t="s">
        <v>446</v>
      </c>
      <c r="B90" s="54" t="s">
        <v>450</v>
      </c>
      <c r="C90" s="96"/>
      <c r="D90" s="97" t="s">
        <v>672</v>
      </c>
      <c r="E90" s="96" t="s">
        <v>11</v>
      </c>
      <c r="F90" s="98"/>
      <c r="G90" s="99" t="s">
        <v>673</v>
      </c>
      <c r="H90" s="100" t="s">
        <v>41</v>
      </c>
      <c r="I90" s="101" t="s">
        <v>481</v>
      </c>
      <c r="J90" s="87"/>
      <c r="K90" s="87"/>
      <c r="L90" s="87"/>
      <c r="M90" s="87"/>
      <c r="N90" s="87"/>
      <c r="O90" s="87"/>
      <c r="P90" s="87"/>
      <c r="Q90" s="87"/>
      <c r="R90" s="87"/>
      <c r="S90" s="87"/>
      <c r="T90" s="87"/>
      <c r="U90" s="87"/>
      <c r="V90" s="87"/>
      <c r="W90" s="102"/>
      <c r="X90" s="102"/>
      <c r="Y90" s="103"/>
      <c r="Z90" s="104" t="s">
        <v>504</v>
      </c>
      <c r="AA90" s="99"/>
      <c r="AB90" s="99"/>
      <c r="AC90" s="99"/>
      <c r="AD90" s="99"/>
      <c r="AE90" s="99"/>
      <c r="AF90" s="105"/>
      <c r="AG90" s="106"/>
      <c r="AH90" s="99"/>
      <c r="AI90" s="107" t="s">
        <v>465</v>
      </c>
      <c r="AJ90" s="114"/>
      <c r="AK90" s="85"/>
      <c r="AL90" s="85"/>
      <c r="AM90" s="57"/>
    </row>
    <row r="91" spans="1:39" s="56" customFormat="1" ht="34.5" customHeight="1">
      <c r="A91" s="56" t="s">
        <v>446</v>
      </c>
      <c r="B91" s="54"/>
      <c r="C91" s="80"/>
      <c r="D91" s="81" t="s">
        <v>674</v>
      </c>
      <c r="E91" s="82"/>
      <c r="F91" s="83"/>
      <c r="G91" s="84" t="s">
        <v>675</v>
      </c>
      <c r="H91" s="85" t="s">
        <v>41</v>
      </c>
      <c r="I91" s="86"/>
      <c r="J91" s="87"/>
      <c r="K91" s="87"/>
      <c r="L91" s="87"/>
      <c r="M91" s="87"/>
      <c r="N91" s="87"/>
      <c r="O91" s="87"/>
      <c r="P91" s="87"/>
      <c r="Q91" s="87"/>
      <c r="R91" s="87"/>
      <c r="S91" s="87"/>
      <c r="T91" s="87"/>
      <c r="U91" s="87"/>
      <c r="V91" s="87"/>
      <c r="W91" s="88"/>
      <c r="X91" s="88"/>
      <c r="Y91" s="89"/>
      <c r="Z91" s="152"/>
      <c r="AA91" s="91"/>
      <c r="AB91" s="91"/>
      <c r="AC91" s="91"/>
      <c r="AD91" s="91"/>
      <c r="AE91" s="91"/>
      <c r="AF91" s="84"/>
      <c r="AG91" s="92"/>
      <c r="AH91" s="91"/>
      <c r="AI91" s="93"/>
      <c r="AJ91" s="116"/>
      <c r="AM91" s="57"/>
    </row>
    <row r="92" spans="1:39" s="56" customFormat="1" ht="39" customHeight="1">
      <c r="A92" s="56" t="s">
        <v>446</v>
      </c>
      <c r="B92" s="54" t="s">
        <v>450</v>
      </c>
      <c r="C92" s="96"/>
      <c r="D92" s="97" t="s">
        <v>676</v>
      </c>
      <c r="E92" s="96" t="s">
        <v>11</v>
      </c>
      <c r="F92" s="98"/>
      <c r="G92" s="109" t="s">
        <v>677</v>
      </c>
      <c r="H92" s="100" t="s">
        <v>41</v>
      </c>
      <c r="I92" s="101" t="s">
        <v>481</v>
      </c>
      <c r="J92" s="87"/>
      <c r="K92" s="87"/>
      <c r="L92" s="87"/>
      <c r="M92" s="87"/>
      <c r="N92" s="87"/>
      <c r="O92" s="87"/>
      <c r="P92" s="87"/>
      <c r="Q92" s="87"/>
      <c r="R92" s="87"/>
      <c r="S92" s="87"/>
      <c r="T92" s="87"/>
      <c r="U92" s="87"/>
      <c r="V92" s="87"/>
      <c r="W92" s="102"/>
      <c r="X92" s="102"/>
      <c r="Y92" s="103"/>
      <c r="Z92" s="104" t="s">
        <v>504</v>
      </c>
      <c r="AA92" s="99"/>
      <c r="AB92" s="99"/>
      <c r="AC92" s="99"/>
      <c r="AD92" s="99"/>
      <c r="AE92" s="99"/>
      <c r="AF92" s="105"/>
      <c r="AG92" s="106"/>
      <c r="AH92" s="99"/>
      <c r="AI92" s="107" t="s">
        <v>465</v>
      </c>
      <c r="AJ92" s="114"/>
      <c r="AK92" s="85"/>
      <c r="AL92" s="85"/>
      <c r="AM92" s="57"/>
    </row>
    <row r="93" spans="1:39" s="56" customFormat="1" ht="43.2">
      <c r="A93" s="56" t="s">
        <v>446</v>
      </c>
      <c r="B93" s="54"/>
      <c r="C93" s="80"/>
      <c r="D93" s="81" t="s">
        <v>678</v>
      </c>
      <c r="E93" s="82"/>
      <c r="F93" s="83"/>
      <c r="G93" s="84" t="s">
        <v>679</v>
      </c>
      <c r="H93" s="85" t="s">
        <v>41</v>
      </c>
      <c r="I93" s="86"/>
      <c r="J93" s="87"/>
      <c r="K93" s="87"/>
      <c r="L93" s="87"/>
      <c r="M93" s="87"/>
      <c r="N93" s="87"/>
      <c r="O93" s="87"/>
      <c r="P93" s="87"/>
      <c r="Q93" s="87"/>
      <c r="R93" s="87"/>
      <c r="S93" s="87"/>
      <c r="T93" s="87"/>
      <c r="U93" s="87"/>
      <c r="V93" s="87"/>
      <c r="W93" s="88"/>
      <c r="X93" s="88"/>
      <c r="Y93" s="89"/>
      <c r="Z93" s="90"/>
      <c r="AA93" s="91"/>
      <c r="AB93" s="91"/>
      <c r="AC93" s="91"/>
      <c r="AD93" s="91"/>
      <c r="AE93" s="91"/>
      <c r="AF93" s="84"/>
      <c r="AG93" s="92"/>
      <c r="AH93" s="91"/>
      <c r="AI93" s="113"/>
      <c r="AJ93" s="108"/>
      <c r="AK93" s="100"/>
      <c r="AL93" s="100"/>
      <c r="AM93" s="57"/>
    </row>
    <row r="94" spans="1:39" s="56" customFormat="1" ht="91.95" customHeight="1">
      <c r="A94" s="56" t="s">
        <v>446</v>
      </c>
      <c r="B94" s="54" t="s">
        <v>450</v>
      </c>
      <c r="C94" s="96"/>
      <c r="D94" s="97" t="s">
        <v>680</v>
      </c>
      <c r="E94" s="96" t="s">
        <v>11</v>
      </c>
      <c r="F94" s="98"/>
      <c r="G94" s="99" t="s">
        <v>681</v>
      </c>
      <c r="H94" s="100" t="s">
        <v>41</v>
      </c>
      <c r="I94" s="101" t="s">
        <v>481</v>
      </c>
      <c r="J94" s="87"/>
      <c r="K94" s="87"/>
      <c r="L94" s="87"/>
      <c r="M94" s="87"/>
      <c r="N94" s="87"/>
      <c r="O94" s="87"/>
      <c r="P94" s="87"/>
      <c r="Q94" s="87"/>
      <c r="R94" s="87"/>
      <c r="S94" s="87"/>
      <c r="T94" s="87"/>
      <c r="U94" s="87"/>
      <c r="V94" s="87"/>
      <c r="W94" s="102"/>
      <c r="X94" s="102"/>
      <c r="Y94" s="103"/>
      <c r="Z94" s="104" t="s">
        <v>504</v>
      </c>
      <c r="AA94" s="99"/>
      <c r="AB94" s="99"/>
      <c r="AC94" s="99"/>
      <c r="AD94" s="99"/>
      <c r="AE94" s="99"/>
      <c r="AF94" s="105"/>
      <c r="AG94" s="106"/>
      <c r="AH94" s="99"/>
      <c r="AI94" s="112" t="s">
        <v>465</v>
      </c>
      <c r="AJ94" s="94"/>
      <c r="AK94" s="95"/>
      <c r="AL94" s="95"/>
      <c r="AM94" s="57"/>
    </row>
    <row r="95" spans="1:39" s="56" customFormat="1" ht="57.6">
      <c r="A95" s="56" t="s">
        <v>446</v>
      </c>
      <c r="B95" s="54"/>
      <c r="C95" s="80"/>
      <c r="D95" s="81" t="s">
        <v>682</v>
      </c>
      <c r="E95" s="82"/>
      <c r="F95" s="83"/>
      <c r="G95" s="84" t="s">
        <v>683</v>
      </c>
      <c r="H95" s="85" t="s">
        <v>41</v>
      </c>
      <c r="I95" s="86"/>
      <c r="J95" s="87"/>
      <c r="K95" s="87"/>
      <c r="L95" s="87"/>
      <c r="M95" s="87"/>
      <c r="N95" s="87"/>
      <c r="O95" s="87"/>
      <c r="P95" s="87"/>
      <c r="Q95" s="87"/>
      <c r="R95" s="87"/>
      <c r="S95" s="87"/>
      <c r="T95" s="87"/>
      <c r="U95" s="87"/>
      <c r="V95" s="87"/>
      <c r="W95" s="88"/>
      <c r="X95" s="88"/>
      <c r="Y95" s="89"/>
      <c r="Z95" s="90"/>
      <c r="AA95" s="91"/>
      <c r="AB95" s="91"/>
      <c r="AC95" s="91"/>
      <c r="AD95" s="91"/>
      <c r="AE95" s="91"/>
      <c r="AF95" s="84"/>
      <c r="AG95" s="92"/>
      <c r="AH95" s="91"/>
      <c r="AI95" s="113"/>
      <c r="AJ95" s="108"/>
      <c r="AK95" s="100"/>
      <c r="AL95" s="100"/>
      <c r="AM95" s="57"/>
    </row>
    <row r="96" spans="1:39" s="56" customFormat="1" ht="43.2">
      <c r="A96" s="56" t="s">
        <v>446</v>
      </c>
      <c r="B96" s="54" t="s">
        <v>450</v>
      </c>
      <c r="C96" s="96"/>
      <c r="D96" s="97" t="s">
        <v>684</v>
      </c>
      <c r="E96" s="96" t="s">
        <v>11</v>
      </c>
      <c r="F96" s="98"/>
      <c r="G96" s="99" t="s">
        <v>685</v>
      </c>
      <c r="H96" s="100" t="s">
        <v>41</v>
      </c>
      <c r="I96" s="101" t="s">
        <v>454</v>
      </c>
      <c r="J96" s="87"/>
      <c r="K96" s="87"/>
      <c r="L96" s="87"/>
      <c r="M96" s="87"/>
      <c r="N96" s="87"/>
      <c r="O96" s="87"/>
      <c r="P96" s="87"/>
      <c r="Q96" s="87"/>
      <c r="R96" s="87"/>
      <c r="S96" s="87"/>
      <c r="T96" s="87"/>
      <c r="U96" s="87"/>
      <c r="V96" s="87"/>
      <c r="W96" s="102"/>
      <c r="X96" s="102"/>
      <c r="Y96" s="103"/>
      <c r="Z96" s="104" t="s">
        <v>686</v>
      </c>
      <c r="AA96" s="99"/>
      <c r="AB96" s="99"/>
      <c r="AC96" s="99"/>
      <c r="AD96" s="99"/>
      <c r="AE96" s="99"/>
      <c r="AF96" s="105"/>
      <c r="AG96" s="106"/>
      <c r="AH96" s="99"/>
      <c r="AI96" s="107">
        <v>1</v>
      </c>
      <c r="AJ96" s="94"/>
      <c r="AK96" s="95"/>
      <c r="AL96" s="95"/>
      <c r="AM96" s="57"/>
    </row>
    <row r="97" spans="1:39" s="56" customFormat="1" ht="72">
      <c r="A97" s="56" t="s">
        <v>446</v>
      </c>
      <c r="B97" s="54"/>
      <c r="C97" s="80"/>
      <c r="D97" s="81" t="s">
        <v>687</v>
      </c>
      <c r="E97" s="82"/>
      <c r="F97" s="83"/>
      <c r="G97" s="143" t="s">
        <v>688</v>
      </c>
      <c r="H97" s="85" t="s">
        <v>41</v>
      </c>
      <c r="I97" s="86"/>
      <c r="J97" s="87"/>
      <c r="K97" s="87"/>
      <c r="L97" s="87"/>
      <c r="M97" s="87"/>
      <c r="N97" s="87"/>
      <c r="O97" s="87"/>
      <c r="P97" s="87"/>
      <c r="Q97" s="87"/>
      <c r="R97" s="87"/>
      <c r="S97" s="87"/>
      <c r="T97" s="87"/>
      <c r="U97" s="87"/>
      <c r="V97" s="87"/>
      <c r="W97" s="88"/>
      <c r="X97" s="88"/>
      <c r="Y97" s="89"/>
      <c r="Z97" s="90"/>
      <c r="AA97" s="91"/>
      <c r="AB97" s="91"/>
      <c r="AC97" s="91"/>
      <c r="AD97" s="91"/>
      <c r="AE97" s="91"/>
      <c r="AF97" s="84"/>
      <c r="AG97" s="92"/>
      <c r="AH97" s="91"/>
      <c r="AI97" s="113"/>
      <c r="AJ97" s="116"/>
      <c r="AM97" s="57"/>
    </row>
    <row r="98" spans="1:39" s="56" customFormat="1" ht="28.8">
      <c r="A98" s="56" t="s">
        <v>458</v>
      </c>
      <c r="B98" s="54" t="s">
        <v>689</v>
      </c>
      <c r="C98" s="96"/>
      <c r="D98" s="97" t="s">
        <v>690</v>
      </c>
      <c r="E98" s="96" t="s">
        <v>17</v>
      </c>
      <c r="F98" s="98"/>
      <c r="G98" s="99" t="s">
        <v>691</v>
      </c>
      <c r="H98" s="153" t="s">
        <v>41</v>
      </c>
      <c r="I98" s="101" t="s">
        <v>481</v>
      </c>
      <c r="J98" s="87"/>
      <c r="K98" s="87"/>
      <c r="L98" s="87"/>
      <c r="M98" s="87"/>
      <c r="N98" s="87"/>
      <c r="O98" s="87"/>
      <c r="P98" s="87"/>
      <c r="Q98" s="87"/>
      <c r="R98" s="87"/>
      <c r="S98" s="87"/>
      <c r="T98" s="87"/>
      <c r="U98" s="87"/>
      <c r="V98" s="87"/>
      <c r="W98" s="102"/>
      <c r="X98" s="102"/>
      <c r="Y98" s="103"/>
      <c r="Z98" s="104" t="s">
        <v>504</v>
      </c>
      <c r="AA98" s="99"/>
      <c r="AB98" s="99"/>
      <c r="AC98" s="99"/>
      <c r="AD98" s="99"/>
      <c r="AE98" s="99"/>
      <c r="AF98" s="105"/>
      <c r="AG98" s="106"/>
      <c r="AH98" s="99"/>
      <c r="AI98" s="107" t="s">
        <v>465</v>
      </c>
      <c r="AJ98" s="94"/>
      <c r="AK98" s="95"/>
      <c r="AL98" s="95"/>
      <c r="AM98" s="57"/>
    </row>
    <row r="99" spans="1:39" s="56" customFormat="1" ht="34.5" customHeight="1">
      <c r="A99" s="56" t="s">
        <v>458</v>
      </c>
      <c r="B99" s="54" t="s">
        <v>692</v>
      </c>
      <c r="C99" s="96"/>
      <c r="D99" s="97" t="s">
        <v>693</v>
      </c>
      <c r="E99" s="96" t="s">
        <v>17</v>
      </c>
      <c r="F99" s="98"/>
      <c r="G99" s="109" t="s">
        <v>694</v>
      </c>
      <c r="H99" s="153" t="s">
        <v>41</v>
      </c>
      <c r="I99" s="101" t="s">
        <v>481</v>
      </c>
      <c r="J99" s="87"/>
      <c r="K99" s="87"/>
      <c r="L99" s="87"/>
      <c r="M99" s="87"/>
      <c r="N99" s="87"/>
      <c r="O99" s="87"/>
      <c r="P99" s="87"/>
      <c r="Q99" s="87"/>
      <c r="R99" s="87"/>
      <c r="S99" s="87"/>
      <c r="T99" s="87"/>
      <c r="U99" s="87"/>
      <c r="V99" s="87"/>
      <c r="W99" s="102"/>
      <c r="X99" s="102"/>
      <c r="Y99" s="103"/>
      <c r="Z99" s="104" t="s">
        <v>504</v>
      </c>
      <c r="AA99" s="99"/>
      <c r="AB99" s="99"/>
      <c r="AC99" s="99"/>
      <c r="AD99" s="99"/>
      <c r="AE99" s="99"/>
      <c r="AF99" s="105"/>
      <c r="AG99" s="106"/>
      <c r="AH99" s="99"/>
      <c r="AI99" s="107" t="s">
        <v>465</v>
      </c>
      <c r="AJ99" s="116"/>
      <c r="AM99" s="57"/>
    </row>
    <row r="100" spans="1:39" s="56" customFormat="1">
      <c r="A100" s="56" t="s">
        <v>446</v>
      </c>
      <c r="B100" s="54" t="s">
        <v>689</v>
      </c>
      <c r="C100" s="96"/>
      <c r="D100" s="97" t="s">
        <v>695</v>
      </c>
      <c r="E100" s="96" t="s">
        <v>17</v>
      </c>
      <c r="F100" s="98"/>
      <c r="G100" s="99" t="s">
        <v>696</v>
      </c>
      <c r="H100" s="153" t="s">
        <v>41</v>
      </c>
      <c r="I100" s="101" t="s">
        <v>481</v>
      </c>
      <c r="J100" s="87"/>
      <c r="K100" s="87"/>
      <c r="L100" s="87"/>
      <c r="M100" s="87"/>
      <c r="N100" s="87"/>
      <c r="O100" s="87"/>
      <c r="P100" s="87"/>
      <c r="Q100" s="87"/>
      <c r="R100" s="87"/>
      <c r="S100" s="87"/>
      <c r="T100" s="87"/>
      <c r="U100" s="87"/>
      <c r="V100" s="87"/>
      <c r="W100" s="102"/>
      <c r="X100" s="102"/>
      <c r="Y100" s="103"/>
      <c r="Z100" s="104" t="s">
        <v>504</v>
      </c>
      <c r="AA100" s="99"/>
      <c r="AB100" s="99"/>
      <c r="AC100" s="99"/>
      <c r="AD100" s="99"/>
      <c r="AE100" s="99"/>
      <c r="AF100" s="105"/>
      <c r="AG100" s="106"/>
      <c r="AH100" s="99"/>
      <c r="AI100" s="107" t="s">
        <v>465</v>
      </c>
      <c r="AJ100" s="114"/>
      <c r="AK100" s="85"/>
      <c r="AL100" s="85"/>
      <c r="AM100" s="57"/>
    </row>
    <row r="101" spans="1:39" s="56" customFormat="1" ht="42.6" customHeight="1">
      <c r="A101" s="56" t="s">
        <v>446</v>
      </c>
      <c r="B101" s="54" t="s">
        <v>689</v>
      </c>
      <c r="C101" s="96"/>
      <c r="D101" s="97" t="s">
        <v>697</v>
      </c>
      <c r="E101" s="96" t="s">
        <v>17</v>
      </c>
      <c r="F101" s="98"/>
      <c r="G101" s="99" t="s">
        <v>698</v>
      </c>
      <c r="H101" s="153" t="s">
        <v>41</v>
      </c>
      <c r="I101" s="101" t="s">
        <v>481</v>
      </c>
      <c r="J101" s="87"/>
      <c r="K101" s="87"/>
      <c r="L101" s="87"/>
      <c r="M101" s="87"/>
      <c r="N101" s="87"/>
      <c r="O101" s="87"/>
      <c r="P101" s="87"/>
      <c r="Q101" s="87"/>
      <c r="R101" s="87"/>
      <c r="S101" s="87"/>
      <c r="T101" s="87"/>
      <c r="U101" s="87"/>
      <c r="V101" s="87"/>
      <c r="W101" s="102"/>
      <c r="X101" s="102"/>
      <c r="Y101" s="103"/>
      <c r="Z101" s="104" t="s">
        <v>504</v>
      </c>
      <c r="AA101" s="99"/>
      <c r="AB101" s="99"/>
      <c r="AC101" s="99"/>
      <c r="AD101" s="99"/>
      <c r="AE101" s="99"/>
      <c r="AF101" s="105"/>
      <c r="AG101" s="106"/>
      <c r="AH101" s="99"/>
      <c r="AI101" s="107" t="s">
        <v>465</v>
      </c>
      <c r="AJ101" s="116"/>
      <c r="AM101" s="57"/>
    </row>
    <row r="102" spans="1:39">
      <c r="A102" s="56"/>
      <c r="C102" s="122"/>
      <c r="D102" s="97" t="s">
        <v>699</v>
      </c>
      <c r="E102" s="122"/>
      <c r="F102" s="98" t="s">
        <v>700</v>
      </c>
      <c r="G102" s="109" t="s">
        <v>701</v>
      </c>
      <c r="Y102" s="103"/>
      <c r="Z102" s="104"/>
      <c r="AF102" s="105"/>
      <c r="AI102" s="112"/>
      <c r="AJ102" s="108"/>
      <c r="AK102" s="108"/>
      <c r="AL102" s="79"/>
    </row>
    <row r="103" spans="1:39" s="56" customFormat="1" ht="43.2">
      <c r="A103" s="56" t="s">
        <v>446</v>
      </c>
      <c r="B103" s="54"/>
      <c r="C103" s="80"/>
      <c r="D103" s="81" t="s">
        <v>702</v>
      </c>
      <c r="E103" s="82"/>
      <c r="F103" s="83"/>
      <c r="G103" s="143" t="s">
        <v>703</v>
      </c>
      <c r="H103" s="85" t="s">
        <v>41</v>
      </c>
      <c r="I103" s="86"/>
      <c r="J103" s="87"/>
      <c r="K103" s="87"/>
      <c r="L103" s="87"/>
      <c r="M103" s="87"/>
      <c r="N103" s="87"/>
      <c r="O103" s="87"/>
      <c r="P103" s="87"/>
      <c r="Q103" s="87"/>
      <c r="R103" s="87"/>
      <c r="S103" s="87"/>
      <c r="T103" s="87"/>
      <c r="U103" s="87"/>
      <c r="V103" s="87"/>
      <c r="W103" s="88"/>
      <c r="X103" s="88"/>
      <c r="Y103" s="89"/>
      <c r="Z103" s="90"/>
      <c r="AA103" s="91"/>
      <c r="AB103" s="91"/>
      <c r="AC103" s="91"/>
      <c r="AD103" s="91"/>
      <c r="AE103" s="91"/>
      <c r="AF103" s="84"/>
      <c r="AG103" s="92"/>
      <c r="AH103" s="91"/>
      <c r="AI103" s="113"/>
      <c r="AJ103" s="94"/>
      <c r="AK103" s="119"/>
      <c r="AL103" s="119"/>
      <c r="AM103" s="57"/>
    </row>
    <row r="104" spans="1:39" s="56" customFormat="1" ht="92.7" customHeight="1">
      <c r="A104" s="56" t="s">
        <v>446</v>
      </c>
      <c r="B104" s="54" t="s">
        <v>450</v>
      </c>
      <c r="C104" s="96"/>
      <c r="D104" s="154" t="s">
        <v>704</v>
      </c>
      <c r="E104" s="96" t="s">
        <v>11</v>
      </c>
      <c r="F104" s="98"/>
      <c r="G104" s="99" t="s">
        <v>705</v>
      </c>
      <c r="H104" s="100" t="s">
        <v>41</v>
      </c>
      <c r="I104" s="101" t="s">
        <v>481</v>
      </c>
      <c r="J104" s="87"/>
      <c r="K104" s="87"/>
      <c r="L104" s="87"/>
      <c r="M104" s="87"/>
      <c r="N104" s="87"/>
      <c r="O104" s="87"/>
      <c r="P104" s="87"/>
      <c r="Q104" s="87"/>
      <c r="R104" s="87"/>
      <c r="S104" s="87"/>
      <c r="T104" s="87"/>
      <c r="U104" s="87"/>
      <c r="V104" s="87"/>
      <c r="W104" s="102"/>
      <c r="X104" s="102"/>
      <c r="Y104" s="103"/>
      <c r="Z104" s="104" t="s">
        <v>504</v>
      </c>
      <c r="AA104" s="99"/>
      <c r="AB104" s="99"/>
      <c r="AC104" s="99"/>
      <c r="AD104" s="99"/>
      <c r="AE104" s="99"/>
      <c r="AF104" s="105"/>
      <c r="AG104" s="106"/>
      <c r="AH104" s="99"/>
      <c r="AI104" s="112" t="s">
        <v>465</v>
      </c>
      <c r="AJ104" s="116"/>
      <c r="AM104" s="57"/>
    </row>
    <row r="105" spans="1:39" s="56" customFormat="1" ht="57.6">
      <c r="A105" s="56" t="s">
        <v>446</v>
      </c>
      <c r="B105" s="54"/>
      <c r="C105" s="80"/>
      <c r="D105" s="81" t="s">
        <v>706</v>
      </c>
      <c r="E105" s="82"/>
      <c r="F105" s="83"/>
      <c r="G105" s="84" t="s">
        <v>707</v>
      </c>
      <c r="H105" s="85" t="s">
        <v>41</v>
      </c>
      <c r="I105" s="86"/>
      <c r="J105" s="87"/>
      <c r="K105" s="87"/>
      <c r="L105" s="87"/>
      <c r="M105" s="87"/>
      <c r="N105" s="87"/>
      <c r="O105" s="87"/>
      <c r="P105" s="87"/>
      <c r="Q105" s="87"/>
      <c r="R105" s="87"/>
      <c r="S105" s="87"/>
      <c r="T105" s="87"/>
      <c r="U105" s="87"/>
      <c r="V105" s="87"/>
      <c r="W105" s="88"/>
      <c r="X105" s="88"/>
      <c r="Y105" s="89"/>
      <c r="Z105" s="90"/>
      <c r="AA105" s="91"/>
      <c r="AB105" s="91"/>
      <c r="AC105" s="91"/>
      <c r="AD105" s="91"/>
      <c r="AE105" s="91"/>
      <c r="AF105" s="84"/>
      <c r="AG105" s="92"/>
      <c r="AH105" s="91"/>
      <c r="AI105" s="113"/>
      <c r="AJ105" s="114"/>
      <c r="AK105" s="85"/>
      <c r="AL105" s="85"/>
      <c r="AM105" s="57"/>
    </row>
    <row r="106" spans="1:39" s="56" customFormat="1" ht="90" customHeight="1">
      <c r="A106" s="56" t="s">
        <v>446</v>
      </c>
      <c r="B106" s="54" t="s">
        <v>450</v>
      </c>
      <c r="C106" s="96"/>
      <c r="D106" s="154" t="s">
        <v>708</v>
      </c>
      <c r="E106" s="96" t="s">
        <v>11</v>
      </c>
      <c r="F106" s="98"/>
      <c r="G106" s="99" t="s">
        <v>709</v>
      </c>
      <c r="H106" s="100" t="s">
        <v>41</v>
      </c>
      <c r="I106" s="101" t="s">
        <v>481</v>
      </c>
      <c r="J106" s="87"/>
      <c r="K106" s="87"/>
      <c r="L106" s="87"/>
      <c r="M106" s="87"/>
      <c r="N106" s="87"/>
      <c r="O106" s="87"/>
      <c r="P106" s="87"/>
      <c r="Q106" s="87"/>
      <c r="R106" s="87"/>
      <c r="S106" s="87"/>
      <c r="T106" s="87"/>
      <c r="U106" s="87"/>
      <c r="V106" s="87"/>
      <c r="W106" s="102"/>
      <c r="X106" s="102"/>
      <c r="Y106" s="103"/>
      <c r="Z106" s="104" t="s">
        <v>504</v>
      </c>
      <c r="AA106" s="99"/>
      <c r="AB106" s="99"/>
      <c r="AC106" s="99"/>
      <c r="AD106" s="99"/>
      <c r="AE106" s="99"/>
      <c r="AF106" s="105"/>
      <c r="AG106" s="106"/>
      <c r="AH106" s="99"/>
      <c r="AI106" s="112" t="s">
        <v>465</v>
      </c>
      <c r="AJ106" s="116"/>
      <c r="AM106" s="57"/>
    </row>
    <row r="107" spans="1:39" s="56" customFormat="1">
      <c r="A107" s="54"/>
      <c r="B107" s="54" t="s">
        <v>692</v>
      </c>
      <c r="C107" s="96"/>
      <c r="D107" s="154" t="s">
        <v>75</v>
      </c>
      <c r="E107" s="96" t="s">
        <v>11</v>
      </c>
      <c r="F107" s="98"/>
      <c r="G107" s="99" t="s">
        <v>76</v>
      </c>
      <c r="H107" s="100"/>
      <c r="I107" s="101" t="s">
        <v>454</v>
      </c>
      <c r="J107" s="87"/>
      <c r="K107" s="87"/>
      <c r="L107" s="87"/>
      <c r="M107" s="87"/>
      <c r="N107" s="87"/>
      <c r="O107" s="87"/>
      <c r="P107" s="87"/>
      <c r="Q107" s="87"/>
      <c r="R107" s="87"/>
      <c r="S107" s="87"/>
      <c r="T107" s="87"/>
      <c r="U107" s="87"/>
      <c r="V107" s="87"/>
      <c r="W107" s="102"/>
      <c r="X107" s="102"/>
      <c r="Y107" s="103"/>
      <c r="Z107" s="104" t="s">
        <v>710</v>
      </c>
      <c r="AA107" s="99"/>
      <c r="AB107" s="99"/>
      <c r="AC107" s="99"/>
      <c r="AD107" s="99"/>
      <c r="AE107" s="99"/>
      <c r="AF107" s="105"/>
      <c r="AG107" s="106"/>
      <c r="AH107" s="99"/>
      <c r="AI107" s="112" t="s">
        <v>465</v>
      </c>
      <c r="AJ107" s="114"/>
      <c r="AK107" s="85"/>
      <c r="AL107" s="85"/>
      <c r="AM107" s="57"/>
    </row>
    <row r="108" spans="1:39" s="56" customFormat="1" ht="28.8">
      <c r="A108" s="56" t="s">
        <v>446</v>
      </c>
      <c r="B108" s="54"/>
      <c r="C108" s="80"/>
      <c r="D108" s="81" t="s">
        <v>711</v>
      </c>
      <c r="E108" s="82"/>
      <c r="F108" s="83"/>
      <c r="G108" s="84" t="s">
        <v>712</v>
      </c>
      <c r="H108" s="85" t="s">
        <v>41</v>
      </c>
      <c r="I108" s="86"/>
      <c r="J108" s="87"/>
      <c r="K108" s="87"/>
      <c r="L108" s="87"/>
      <c r="M108" s="87"/>
      <c r="N108" s="87"/>
      <c r="O108" s="87"/>
      <c r="P108" s="87"/>
      <c r="Q108" s="87"/>
      <c r="R108" s="87"/>
      <c r="S108" s="87"/>
      <c r="T108" s="87"/>
      <c r="U108" s="87"/>
      <c r="V108" s="87"/>
      <c r="W108" s="88"/>
      <c r="X108" s="88"/>
      <c r="Y108" s="89"/>
      <c r="Z108" s="90"/>
      <c r="AA108" s="91"/>
      <c r="AB108" s="91"/>
      <c r="AC108" s="91"/>
      <c r="AD108" s="91"/>
      <c r="AE108" s="91"/>
      <c r="AF108" s="84"/>
      <c r="AG108" s="92"/>
      <c r="AH108" s="91"/>
      <c r="AI108" s="113"/>
      <c r="AJ108" s="116"/>
      <c r="AM108" s="57"/>
    </row>
    <row r="109" spans="1:39" s="56" customFormat="1" ht="34.5" customHeight="1">
      <c r="A109" s="56" t="s">
        <v>446</v>
      </c>
      <c r="B109" s="54" t="s">
        <v>450</v>
      </c>
      <c r="C109" s="96"/>
      <c r="D109" s="154" t="s">
        <v>713</v>
      </c>
      <c r="E109" s="96" t="s">
        <v>11</v>
      </c>
      <c r="F109" s="98"/>
      <c r="G109" s="99" t="s">
        <v>714</v>
      </c>
      <c r="H109" s="100" t="s">
        <v>41</v>
      </c>
      <c r="I109" s="101" t="s">
        <v>481</v>
      </c>
      <c r="J109" s="87"/>
      <c r="K109" s="87"/>
      <c r="L109" s="87"/>
      <c r="M109" s="87"/>
      <c r="N109" s="87"/>
      <c r="O109" s="87"/>
      <c r="P109" s="87"/>
      <c r="Q109" s="87"/>
      <c r="R109" s="87"/>
      <c r="S109" s="87"/>
      <c r="T109" s="87"/>
      <c r="U109" s="87"/>
      <c r="V109" s="87"/>
      <c r="W109" s="102"/>
      <c r="X109" s="102"/>
      <c r="Y109" s="103"/>
      <c r="Z109" s="104" t="s">
        <v>504</v>
      </c>
      <c r="AA109" s="99"/>
      <c r="AB109" s="99"/>
      <c r="AC109" s="99"/>
      <c r="AD109" s="99"/>
      <c r="AE109" s="99"/>
      <c r="AF109" s="105"/>
      <c r="AG109" s="106"/>
      <c r="AH109" s="99"/>
      <c r="AI109" s="112" t="s">
        <v>465</v>
      </c>
      <c r="AJ109" s="94"/>
      <c r="AK109" s="95"/>
      <c r="AL109" s="95"/>
      <c r="AM109" s="57"/>
    </row>
    <row r="110" spans="1:39" s="56" customFormat="1" ht="63" customHeight="1">
      <c r="A110" s="56" t="s">
        <v>446</v>
      </c>
      <c r="B110" s="54"/>
      <c r="C110" s="80"/>
      <c r="D110" s="81" t="s">
        <v>715</v>
      </c>
      <c r="E110" s="82"/>
      <c r="F110" s="83"/>
      <c r="G110" s="84" t="s">
        <v>716</v>
      </c>
      <c r="H110" s="85" t="s">
        <v>41</v>
      </c>
      <c r="I110" s="86"/>
      <c r="J110" s="87"/>
      <c r="K110" s="87"/>
      <c r="L110" s="87"/>
      <c r="M110" s="87"/>
      <c r="N110" s="87"/>
      <c r="O110" s="87"/>
      <c r="P110" s="87"/>
      <c r="Q110" s="87"/>
      <c r="R110" s="87"/>
      <c r="S110" s="87"/>
      <c r="T110" s="87"/>
      <c r="U110" s="87"/>
      <c r="V110" s="87"/>
      <c r="W110" s="88"/>
      <c r="X110" s="88"/>
      <c r="Y110" s="89"/>
      <c r="Z110" s="90"/>
      <c r="AA110" s="91"/>
      <c r="AB110" s="91"/>
      <c r="AC110" s="91"/>
      <c r="AD110" s="91"/>
      <c r="AE110" s="91"/>
      <c r="AF110" s="84"/>
      <c r="AG110" s="92"/>
      <c r="AH110" s="91"/>
      <c r="AI110" s="113"/>
      <c r="AJ110" s="108"/>
      <c r="AK110" s="100"/>
      <c r="AL110" s="100"/>
      <c r="AM110" s="57"/>
    </row>
    <row r="111" spans="1:39" s="56" customFormat="1" ht="34.5" customHeight="1">
      <c r="A111" s="56" t="s">
        <v>446</v>
      </c>
      <c r="B111" s="54" t="s">
        <v>692</v>
      </c>
      <c r="C111" s="96"/>
      <c r="D111" s="154" t="s">
        <v>717</v>
      </c>
      <c r="E111" s="96" t="s">
        <v>11</v>
      </c>
      <c r="F111" s="98"/>
      <c r="G111" s="99" t="s">
        <v>78</v>
      </c>
      <c r="H111" s="100"/>
      <c r="I111" s="101" t="s">
        <v>454</v>
      </c>
      <c r="J111" s="87"/>
      <c r="K111" s="87"/>
      <c r="L111" s="87"/>
      <c r="M111" s="87"/>
      <c r="N111" s="87"/>
      <c r="O111" s="87"/>
      <c r="P111" s="87"/>
      <c r="Q111" s="87"/>
      <c r="R111" s="87"/>
      <c r="S111" s="87"/>
      <c r="T111" s="87"/>
      <c r="U111" s="87"/>
      <c r="V111" s="87"/>
      <c r="W111" s="102"/>
      <c r="X111" s="102"/>
      <c r="Y111" s="103"/>
      <c r="Z111" s="104" t="s">
        <v>718</v>
      </c>
      <c r="AA111" s="99"/>
      <c r="AB111" s="99"/>
      <c r="AC111" s="99"/>
      <c r="AD111" s="99"/>
      <c r="AE111" s="99"/>
      <c r="AF111" s="105"/>
      <c r="AG111" s="106"/>
      <c r="AH111" s="99"/>
      <c r="AI111" s="112" t="s">
        <v>465</v>
      </c>
      <c r="AJ111" s="94"/>
      <c r="AK111" s="119"/>
      <c r="AL111" s="119"/>
      <c r="AM111" s="57"/>
    </row>
    <row r="112" spans="1:39" s="56" customFormat="1" ht="28.8">
      <c r="A112" s="56" t="s">
        <v>446</v>
      </c>
      <c r="B112" s="54"/>
      <c r="C112" s="80"/>
      <c r="D112" s="81" t="s">
        <v>719</v>
      </c>
      <c r="E112" s="82"/>
      <c r="F112" s="83"/>
      <c r="G112" s="84" t="s">
        <v>720</v>
      </c>
      <c r="H112" s="85" t="s">
        <v>41</v>
      </c>
      <c r="I112" s="86"/>
      <c r="J112" s="87"/>
      <c r="K112" s="87"/>
      <c r="L112" s="87"/>
      <c r="M112" s="87"/>
      <c r="N112" s="87"/>
      <c r="O112" s="87"/>
      <c r="P112" s="87"/>
      <c r="Q112" s="87"/>
      <c r="R112" s="87"/>
      <c r="S112" s="87"/>
      <c r="T112" s="87"/>
      <c r="U112" s="87"/>
      <c r="V112" s="87"/>
      <c r="W112" s="88"/>
      <c r="X112" s="88"/>
      <c r="Y112" s="89"/>
      <c r="Z112" s="90"/>
      <c r="AA112" s="91"/>
      <c r="AB112" s="91"/>
      <c r="AC112" s="91"/>
      <c r="AD112" s="91"/>
      <c r="AE112" s="91"/>
      <c r="AF112" s="84"/>
      <c r="AG112" s="92"/>
      <c r="AH112" s="91"/>
      <c r="AI112" s="113"/>
      <c r="AJ112" s="108"/>
      <c r="AK112" s="100"/>
      <c r="AL112" s="100"/>
      <c r="AM112" s="57"/>
    </row>
    <row r="113" spans="1:39" s="56" customFormat="1" ht="34.5" customHeight="1">
      <c r="A113" s="56" t="s">
        <v>446</v>
      </c>
      <c r="B113" s="54" t="s">
        <v>692</v>
      </c>
      <c r="C113" s="96"/>
      <c r="D113" s="154" t="s">
        <v>721</v>
      </c>
      <c r="E113" s="96" t="s">
        <v>11</v>
      </c>
      <c r="F113" s="98"/>
      <c r="G113" s="99" t="s">
        <v>79</v>
      </c>
      <c r="H113" s="100"/>
      <c r="I113" s="101" t="s">
        <v>454</v>
      </c>
      <c r="J113" s="87"/>
      <c r="K113" s="87"/>
      <c r="L113" s="87"/>
      <c r="M113" s="87"/>
      <c r="N113" s="87"/>
      <c r="O113" s="87"/>
      <c r="P113" s="87"/>
      <c r="Q113" s="87"/>
      <c r="R113" s="87"/>
      <c r="S113" s="87"/>
      <c r="T113" s="87"/>
      <c r="U113" s="87"/>
      <c r="V113" s="87"/>
      <c r="W113" s="102"/>
      <c r="X113" s="102"/>
      <c r="Y113" s="103"/>
      <c r="Z113" s="104" t="s">
        <v>718</v>
      </c>
      <c r="AA113" s="99"/>
      <c r="AB113" s="99"/>
      <c r="AC113" s="99"/>
      <c r="AD113" s="99"/>
      <c r="AE113" s="99"/>
      <c r="AF113" s="105"/>
      <c r="AG113" s="106"/>
      <c r="AH113" s="99"/>
      <c r="AI113" s="112" t="s">
        <v>465</v>
      </c>
      <c r="AJ113" s="94"/>
      <c r="AK113" s="95"/>
      <c r="AL113" s="95"/>
      <c r="AM113" s="57"/>
    </row>
    <row r="114" spans="1:39" s="56" customFormat="1" ht="57.6">
      <c r="A114" s="56" t="s">
        <v>446</v>
      </c>
      <c r="B114" s="54"/>
      <c r="C114" s="80"/>
      <c r="D114" s="81" t="s">
        <v>722</v>
      </c>
      <c r="E114" s="82"/>
      <c r="F114" s="83"/>
      <c r="G114" s="84" t="s">
        <v>723</v>
      </c>
      <c r="H114" s="85" t="s">
        <v>41</v>
      </c>
      <c r="I114" s="86"/>
      <c r="J114" s="87"/>
      <c r="K114" s="87"/>
      <c r="L114" s="87"/>
      <c r="M114" s="87"/>
      <c r="N114" s="87"/>
      <c r="O114" s="87"/>
      <c r="P114" s="87"/>
      <c r="Q114" s="87"/>
      <c r="R114" s="87"/>
      <c r="S114" s="87"/>
      <c r="T114" s="87"/>
      <c r="U114" s="87"/>
      <c r="V114" s="87"/>
      <c r="W114" s="88"/>
      <c r="X114" s="88"/>
      <c r="Y114" s="89"/>
      <c r="Z114" s="90"/>
      <c r="AA114" s="91"/>
      <c r="AB114" s="91"/>
      <c r="AC114" s="91"/>
      <c r="AD114" s="91"/>
      <c r="AE114" s="91"/>
      <c r="AF114" s="84"/>
      <c r="AG114" s="92"/>
      <c r="AH114" s="91"/>
      <c r="AI114" s="113"/>
      <c r="AJ114" s="108"/>
      <c r="AK114" s="100"/>
      <c r="AL114" s="100"/>
      <c r="AM114" s="57"/>
    </row>
    <row r="115" spans="1:39" s="56" customFormat="1" ht="69" customHeight="1">
      <c r="A115" s="56" t="s">
        <v>446</v>
      </c>
      <c r="B115" s="54" t="s">
        <v>689</v>
      </c>
      <c r="C115" s="96"/>
      <c r="D115" s="154" t="s">
        <v>724</v>
      </c>
      <c r="E115" s="96" t="s">
        <v>17</v>
      </c>
      <c r="F115" s="98"/>
      <c r="G115" s="99" t="s">
        <v>725</v>
      </c>
      <c r="H115" s="100" t="s">
        <v>41</v>
      </c>
      <c r="I115" s="101" t="s">
        <v>481</v>
      </c>
      <c r="J115" s="87"/>
      <c r="K115" s="87"/>
      <c r="L115" s="87"/>
      <c r="M115" s="87"/>
      <c r="N115" s="87"/>
      <c r="O115" s="87"/>
      <c r="P115" s="87"/>
      <c r="Q115" s="87"/>
      <c r="R115" s="87"/>
      <c r="S115" s="87"/>
      <c r="T115" s="87"/>
      <c r="U115" s="87"/>
      <c r="V115" s="87"/>
      <c r="W115" s="102"/>
      <c r="X115" s="102"/>
      <c r="Y115" s="103"/>
      <c r="Z115" s="104" t="s">
        <v>504</v>
      </c>
      <c r="AA115" s="99"/>
      <c r="AB115" s="99"/>
      <c r="AC115" s="99"/>
      <c r="AD115" s="99"/>
      <c r="AE115" s="99"/>
      <c r="AF115" s="105"/>
      <c r="AG115" s="106"/>
      <c r="AH115" s="99"/>
      <c r="AI115" s="112" t="s">
        <v>465</v>
      </c>
      <c r="AJ115" s="94"/>
      <c r="AK115" s="119"/>
      <c r="AL115" s="119"/>
      <c r="AM115" s="57"/>
    </row>
    <row r="116" spans="1:39" s="56" customFormat="1">
      <c r="A116" s="54" t="s">
        <v>446</v>
      </c>
      <c r="B116" s="54" t="s">
        <v>689</v>
      </c>
      <c r="C116" s="96"/>
      <c r="D116" s="154" t="s">
        <v>726</v>
      </c>
      <c r="E116" s="96" t="s">
        <v>17</v>
      </c>
      <c r="F116" s="98"/>
      <c r="G116" s="141" t="s">
        <v>727</v>
      </c>
      <c r="H116" s="100" t="s">
        <v>41</v>
      </c>
      <c r="I116" s="101" t="s">
        <v>481</v>
      </c>
      <c r="J116" s="87"/>
      <c r="K116" s="87"/>
      <c r="L116" s="87"/>
      <c r="M116" s="87"/>
      <c r="N116" s="87"/>
      <c r="O116" s="87"/>
      <c r="P116" s="87"/>
      <c r="Q116" s="87"/>
      <c r="R116" s="87"/>
      <c r="S116" s="87"/>
      <c r="T116" s="87"/>
      <c r="U116" s="87"/>
      <c r="V116" s="87"/>
      <c r="W116" s="102"/>
      <c r="X116" s="102"/>
      <c r="Y116" s="103"/>
      <c r="Z116" s="104" t="s">
        <v>504</v>
      </c>
      <c r="AA116" s="99"/>
      <c r="AB116" s="99"/>
      <c r="AC116" s="99"/>
      <c r="AD116" s="99"/>
      <c r="AE116" s="99"/>
      <c r="AF116" s="105"/>
      <c r="AG116" s="106"/>
      <c r="AH116" s="99"/>
      <c r="AI116" s="112" t="s">
        <v>465</v>
      </c>
      <c r="AJ116" s="108"/>
      <c r="AK116" s="100"/>
      <c r="AL116" s="100"/>
      <c r="AM116" s="57"/>
    </row>
    <row r="117" spans="1:39" s="56" customFormat="1" ht="48" customHeight="1">
      <c r="A117" s="56" t="s">
        <v>446</v>
      </c>
      <c r="B117" s="54"/>
      <c r="C117" s="80"/>
      <c r="D117" s="81" t="s">
        <v>728</v>
      </c>
      <c r="E117" s="82"/>
      <c r="F117" s="83"/>
      <c r="G117" s="84" t="s">
        <v>729</v>
      </c>
      <c r="H117" s="85" t="s">
        <v>41</v>
      </c>
      <c r="I117" s="86"/>
      <c r="J117" s="87"/>
      <c r="K117" s="87"/>
      <c r="L117" s="87"/>
      <c r="M117" s="87"/>
      <c r="N117" s="87"/>
      <c r="O117" s="87"/>
      <c r="P117" s="87"/>
      <c r="Q117" s="87"/>
      <c r="R117" s="87"/>
      <c r="S117" s="87"/>
      <c r="T117" s="87"/>
      <c r="U117" s="87"/>
      <c r="V117" s="87"/>
      <c r="W117" s="88"/>
      <c r="X117" s="88"/>
      <c r="Y117" s="89"/>
      <c r="Z117" s="90"/>
      <c r="AA117" s="91"/>
      <c r="AB117" s="91"/>
      <c r="AC117" s="91"/>
      <c r="AD117" s="91"/>
      <c r="AE117" s="91"/>
      <c r="AF117" s="84"/>
      <c r="AG117" s="92"/>
      <c r="AH117" s="91"/>
      <c r="AI117" s="93"/>
      <c r="AJ117" s="94"/>
      <c r="AK117" s="95"/>
      <c r="AL117" s="95"/>
      <c r="AM117" s="57"/>
    </row>
    <row r="118" spans="1:39" s="56" customFormat="1">
      <c r="A118" s="56" t="s">
        <v>446</v>
      </c>
      <c r="B118" s="54" t="s">
        <v>689</v>
      </c>
      <c r="C118" s="96"/>
      <c r="D118" s="154" t="s">
        <v>730</v>
      </c>
      <c r="E118" s="96" t="s">
        <v>17</v>
      </c>
      <c r="F118" s="98"/>
      <c r="G118" s="141" t="s">
        <v>731</v>
      </c>
      <c r="H118" s="100" t="s">
        <v>41</v>
      </c>
      <c r="I118" s="101" t="s">
        <v>481</v>
      </c>
      <c r="J118" s="87"/>
      <c r="K118" s="87"/>
      <c r="L118" s="87"/>
      <c r="M118" s="87"/>
      <c r="N118" s="87"/>
      <c r="O118" s="87"/>
      <c r="P118" s="87"/>
      <c r="Q118" s="87"/>
      <c r="R118" s="87"/>
      <c r="S118" s="87"/>
      <c r="T118" s="87"/>
      <c r="U118" s="87"/>
      <c r="V118" s="87"/>
      <c r="W118" s="102"/>
      <c r="X118" s="102"/>
      <c r="Y118" s="103"/>
      <c r="Z118" s="104" t="s">
        <v>504</v>
      </c>
      <c r="AA118" s="99"/>
      <c r="AB118" s="99"/>
      <c r="AC118" s="99"/>
      <c r="AD118" s="99"/>
      <c r="AE118" s="99"/>
      <c r="AF118" s="105"/>
      <c r="AG118" s="106"/>
      <c r="AH118" s="99"/>
      <c r="AI118" s="107" t="s">
        <v>465</v>
      </c>
      <c r="AJ118" s="108"/>
      <c r="AK118" s="100"/>
      <c r="AL118" s="100"/>
      <c r="AM118" s="57"/>
    </row>
    <row r="119" spans="1:39" s="56" customFormat="1" ht="67.349999999999994" customHeight="1">
      <c r="A119" s="56" t="s">
        <v>446</v>
      </c>
      <c r="B119" s="54" t="s">
        <v>540</v>
      </c>
      <c r="C119" s="96"/>
      <c r="D119" s="154" t="s">
        <v>732</v>
      </c>
      <c r="E119" s="96" t="s">
        <v>17</v>
      </c>
      <c r="F119" s="98"/>
      <c r="G119" s="141" t="s">
        <v>733</v>
      </c>
      <c r="H119" s="100"/>
      <c r="I119" s="101" t="s">
        <v>481</v>
      </c>
      <c r="J119" s="87"/>
      <c r="K119" s="87"/>
      <c r="L119" s="87"/>
      <c r="M119" s="87"/>
      <c r="N119" s="87"/>
      <c r="O119" s="87"/>
      <c r="P119" s="87"/>
      <c r="Q119" s="87"/>
      <c r="R119" s="87"/>
      <c r="S119" s="87"/>
      <c r="T119" s="87"/>
      <c r="U119" s="87"/>
      <c r="V119" s="87"/>
      <c r="W119" s="102"/>
      <c r="X119" s="102"/>
      <c r="Y119" s="103"/>
      <c r="Z119" s="104"/>
      <c r="AA119" s="99"/>
      <c r="AB119" s="99"/>
      <c r="AC119" s="99"/>
      <c r="AD119" s="99"/>
      <c r="AE119" s="99"/>
      <c r="AF119" s="105"/>
      <c r="AG119" s="106"/>
      <c r="AH119" s="99"/>
      <c r="AI119" s="107" t="s">
        <v>465</v>
      </c>
      <c r="AJ119" s="94"/>
      <c r="AK119" s="95"/>
      <c r="AL119" s="95"/>
      <c r="AM119" s="57"/>
    </row>
    <row r="120" spans="1:39" s="56" customFormat="1" ht="28.8">
      <c r="A120" s="56" t="s">
        <v>446</v>
      </c>
      <c r="B120" s="54"/>
      <c r="C120" s="80"/>
      <c r="D120" s="81" t="s">
        <v>734</v>
      </c>
      <c r="E120" s="82"/>
      <c r="F120" s="83"/>
      <c r="G120" s="84" t="s">
        <v>735</v>
      </c>
      <c r="H120" s="85" t="s">
        <v>41</v>
      </c>
      <c r="I120" s="86"/>
      <c r="J120" s="87"/>
      <c r="K120" s="87"/>
      <c r="L120" s="87"/>
      <c r="M120" s="87"/>
      <c r="N120" s="87"/>
      <c r="O120" s="87"/>
      <c r="P120" s="87"/>
      <c r="Q120" s="87"/>
      <c r="R120" s="87"/>
      <c r="S120" s="87"/>
      <c r="T120" s="87"/>
      <c r="U120" s="87"/>
      <c r="V120" s="87"/>
      <c r="W120" s="88"/>
      <c r="X120" s="88"/>
      <c r="Y120" s="89"/>
      <c r="Z120" s="90"/>
      <c r="AA120" s="91"/>
      <c r="AB120" s="91"/>
      <c r="AC120" s="91"/>
      <c r="AD120" s="91"/>
      <c r="AE120" s="91"/>
      <c r="AF120" s="84"/>
      <c r="AG120" s="92"/>
      <c r="AH120" s="91"/>
      <c r="AI120" s="113"/>
      <c r="AJ120" s="108"/>
      <c r="AK120" s="100"/>
      <c r="AL120" s="100"/>
      <c r="AM120" s="57"/>
    </row>
    <row r="121" spans="1:39" s="56" customFormat="1" ht="91.35" customHeight="1">
      <c r="A121" s="56" t="s">
        <v>446</v>
      </c>
      <c r="B121" s="54" t="s">
        <v>689</v>
      </c>
      <c r="C121" s="96"/>
      <c r="D121" s="154" t="s">
        <v>736</v>
      </c>
      <c r="E121" s="96" t="s">
        <v>17</v>
      </c>
      <c r="F121" s="98"/>
      <c r="G121" s="99" t="s">
        <v>737</v>
      </c>
      <c r="H121" s="100" t="s">
        <v>41</v>
      </c>
      <c r="I121" s="101" t="s">
        <v>454</v>
      </c>
      <c r="J121" s="87"/>
      <c r="K121" s="87"/>
      <c r="L121" s="87"/>
      <c r="M121" s="87"/>
      <c r="N121" s="87"/>
      <c r="O121" s="87"/>
      <c r="P121" s="87"/>
      <c r="Q121" s="87"/>
      <c r="R121" s="87"/>
      <c r="S121" s="87"/>
      <c r="T121" s="87"/>
      <c r="U121" s="87"/>
      <c r="V121" s="87"/>
      <c r="W121" s="102"/>
      <c r="X121" s="102"/>
      <c r="Y121" s="103"/>
      <c r="Z121" s="104" t="s">
        <v>738</v>
      </c>
      <c r="AA121" s="99"/>
      <c r="AB121" s="99"/>
      <c r="AC121" s="99"/>
      <c r="AD121" s="99"/>
      <c r="AE121" s="99"/>
      <c r="AF121" s="105"/>
      <c r="AG121" s="106"/>
      <c r="AH121" s="99"/>
      <c r="AI121" s="112" t="s">
        <v>465</v>
      </c>
      <c r="AJ121" s="94"/>
      <c r="AK121" s="95"/>
      <c r="AL121" s="95"/>
      <c r="AM121" s="57"/>
    </row>
    <row r="122" spans="1:39" s="56" customFormat="1" ht="72">
      <c r="A122" s="56" t="s">
        <v>446</v>
      </c>
      <c r="B122" s="54"/>
      <c r="C122" s="80"/>
      <c r="D122" s="81" t="s">
        <v>739</v>
      </c>
      <c r="E122" s="82"/>
      <c r="F122" s="83"/>
      <c r="G122" s="84" t="s">
        <v>740</v>
      </c>
      <c r="H122" s="85" t="s">
        <v>41</v>
      </c>
      <c r="I122" s="86"/>
      <c r="J122" s="87"/>
      <c r="K122" s="87"/>
      <c r="L122" s="87"/>
      <c r="M122" s="87"/>
      <c r="N122" s="87"/>
      <c r="O122" s="87"/>
      <c r="P122" s="87"/>
      <c r="Q122" s="87"/>
      <c r="R122" s="87"/>
      <c r="S122" s="87"/>
      <c r="T122" s="87"/>
      <c r="U122" s="87"/>
      <c r="V122" s="87"/>
      <c r="W122" s="88"/>
      <c r="X122" s="88"/>
      <c r="Y122" s="89"/>
      <c r="Z122" s="90"/>
      <c r="AA122" s="91"/>
      <c r="AB122" s="91"/>
      <c r="AC122" s="91"/>
      <c r="AD122" s="91"/>
      <c r="AE122" s="91"/>
      <c r="AF122" s="84"/>
      <c r="AG122" s="92"/>
      <c r="AH122" s="91"/>
      <c r="AI122" s="113"/>
      <c r="AJ122" s="108"/>
      <c r="AK122" s="100"/>
      <c r="AL122" s="100"/>
      <c r="AM122" s="57"/>
    </row>
    <row r="123" spans="1:39" s="67" customFormat="1">
      <c r="A123" s="67" t="s">
        <v>446</v>
      </c>
      <c r="B123" s="63" t="s">
        <v>450</v>
      </c>
      <c r="C123" s="155"/>
      <c r="D123" s="156" t="s">
        <v>741</v>
      </c>
      <c r="E123" s="155" t="s">
        <v>11</v>
      </c>
      <c r="F123" s="98"/>
      <c r="G123" s="109" t="s">
        <v>742</v>
      </c>
      <c r="H123" s="153" t="s">
        <v>41</v>
      </c>
      <c r="I123" s="157" t="s">
        <v>481</v>
      </c>
      <c r="J123" s="158"/>
      <c r="K123" s="158"/>
      <c r="L123" s="158"/>
      <c r="M123" s="158"/>
      <c r="N123" s="158"/>
      <c r="O123" s="158"/>
      <c r="P123" s="158"/>
      <c r="Q123" s="158"/>
      <c r="R123" s="158"/>
      <c r="S123" s="158"/>
      <c r="T123" s="158"/>
      <c r="U123" s="158"/>
      <c r="V123" s="158"/>
      <c r="W123" s="159"/>
      <c r="X123" s="159"/>
      <c r="Y123" s="160"/>
      <c r="Z123" s="104" t="s">
        <v>504</v>
      </c>
      <c r="AA123" s="109"/>
      <c r="AB123" s="109"/>
      <c r="AC123" s="109"/>
      <c r="AD123" s="109"/>
      <c r="AE123" s="109"/>
      <c r="AF123" s="161"/>
      <c r="AG123" s="162"/>
      <c r="AH123" s="109"/>
      <c r="AI123" s="163">
        <v>1</v>
      </c>
      <c r="AJ123" s="164"/>
      <c r="AM123" s="165"/>
    </row>
    <row r="124" spans="1:39" s="56" customFormat="1">
      <c r="A124" s="56" t="s">
        <v>446</v>
      </c>
      <c r="B124" s="54"/>
      <c r="C124" s="80"/>
      <c r="D124" s="81" t="s">
        <v>743</v>
      </c>
      <c r="E124" s="82"/>
      <c r="F124" s="83"/>
      <c r="G124" s="84" t="s">
        <v>744</v>
      </c>
      <c r="H124" s="85" t="s">
        <v>41</v>
      </c>
      <c r="I124" s="86"/>
      <c r="J124" s="87"/>
      <c r="K124" s="87"/>
      <c r="L124" s="87"/>
      <c r="M124" s="87"/>
      <c r="N124" s="87"/>
      <c r="O124" s="87"/>
      <c r="P124" s="87"/>
      <c r="Q124" s="87"/>
      <c r="R124" s="87"/>
      <c r="S124" s="87"/>
      <c r="T124" s="87"/>
      <c r="U124" s="87"/>
      <c r="V124" s="87"/>
      <c r="W124" s="88"/>
      <c r="X124" s="88"/>
      <c r="Y124" s="89"/>
      <c r="Z124" s="90"/>
      <c r="AA124" s="91"/>
      <c r="AB124" s="91"/>
      <c r="AC124" s="91"/>
      <c r="AD124" s="91"/>
      <c r="AE124" s="91"/>
      <c r="AF124" s="84"/>
      <c r="AG124" s="92"/>
      <c r="AH124" s="91"/>
      <c r="AI124" s="113"/>
      <c r="AJ124" s="116"/>
      <c r="AM124" s="57"/>
    </row>
    <row r="125" spans="1:39" s="56" customFormat="1" ht="28.8">
      <c r="A125" s="56" t="s">
        <v>446</v>
      </c>
      <c r="B125" s="54" t="s">
        <v>450</v>
      </c>
      <c r="C125" s="96"/>
      <c r="D125" s="154" t="s">
        <v>745</v>
      </c>
      <c r="E125" s="96" t="s">
        <v>11</v>
      </c>
      <c r="F125" s="98"/>
      <c r="G125" s="99" t="s">
        <v>746</v>
      </c>
      <c r="H125" s="100" t="s">
        <v>41</v>
      </c>
      <c r="I125" s="101" t="s">
        <v>454</v>
      </c>
      <c r="J125" s="87"/>
      <c r="K125" s="87"/>
      <c r="L125" s="87"/>
      <c r="M125" s="87"/>
      <c r="N125" s="87"/>
      <c r="O125" s="87"/>
      <c r="P125" s="87"/>
      <c r="Q125" s="87"/>
      <c r="R125" s="87"/>
      <c r="S125" s="87"/>
      <c r="T125" s="87"/>
      <c r="U125" s="87"/>
      <c r="V125" s="87"/>
      <c r="W125" s="102"/>
      <c r="X125" s="102"/>
      <c r="Y125" s="103"/>
      <c r="Z125" s="111" t="s">
        <v>747</v>
      </c>
      <c r="AA125" s="99"/>
      <c r="AB125" s="99"/>
      <c r="AC125" s="99"/>
      <c r="AD125" s="99"/>
      <c r="AE125" s="99"/>
      <c r="AF125" s="105"/>
      <c r="AG125" s="106"/>
      <c r="AH125" s="99"/>
      <c r="AI125" s="107" t="s">
        <v>465</v>
      </c>
      <c r="AJ125" s="94"/>
      <c r="AK125" s="119"/>
      <c r="AL125" s="119"/>
      <c r="AM125" s="57"/>
    </row>
    <row r="126" spans="1:39" s="56" customFormat="1" ht="27" customHeight="1">
      <c r="A126" s="56" t="s">
        <v>446</v>
      </c>
      <c r="B126" s="54"/>
      <c r="C126" s="80"/>
      <c r="D126" s="81" t="s">
        <v>748</v>
      </c>
      <c r="E126" s="82"/>
      <c r="F126" s="83"/>
      <c r="G126" s="84" t="s">
        <v>749</v>
      </c>
      <c r="H126" s="85" t="s">
        <v>41</v>
      </c>
      <c r="I126" s="86"/>
      <c r="J126" s="87"/>
      <c r="K126" s="87"/>
      <c r="L126" s="87"/>
      <c r="M126" s="87"/>
      <c r="N126" s="87"/>
      <c r="O126" s="87"/>
      <c r="P126" s="87"/>
      <c r="Q126" s="87"/>
      <c r="R126" s="87"/>
      <c r="S126" s="87"/>
      <c r="T126" s="87"/>
      <c r="U126" s="87"/>
      <c r="V126" s="87"/>
      <c r="W126" s="88"/>
      <c r="X126" s="88"/>
      <c r="Y126" s="89"/>
      <c r="Z126" s="90"/>
      <c r="AA126" s="91"/>
      <c r="AB126" s="91"/>
      <c r="AC126" s="91"/>
      <c r="AD126" s="91"/>
      <c r="AE126" s="91"/>
      <c r="AF126" s="84"/>
      <c r="AG126" s="92"/>
      <c r="AH126" s="91"/>
      <c r="AI126" s="113"/>
      <c r="AJ126" s="116"/>
      <c r="AM126" s="57"/>
    </row>
    <row r="127" spans="1:39" s="56" customFormat="1" ht="34.5" customHeight="1">
      <c r="A127" s="56" t="s">
        <v>446</v>
      </c>
      <c r="B127" s="54" t="s">
        <v>450</v>
      </c>
      <c r="C127" s="96"/>
      <c r="D127" s="154" t="s">
        <v>750</v>
      </c>
      <c r="E127" s="96" t="s">
        <v>11</v>
      </c>
      <c r="F127" s="98"/>
      <c r="G127" s="109" t="s">
        <v>751</v>
      </c>
      <c r="H127" s="85" t="s">
        <v>41</v>
      </c>
      <c r="I127" s="101" t="s">
        <v>454</v>
      </c>
      <c r="J127" s="87"/>
      <c r="K127" s="87"/>
      <c r="L127" s="87"/>
      <c r="M127" s="87"/>
      <c r="N127" s="87"/>
      <c r="O127" s="87"/>
      <c r="P127" s="87"/>
      <c r="Q127" s="87"/>
      <c r="R127" s="87"/>
      <c r="S127" s="87"/>
      <c r="T127" s="87"/>
      <c r="U127" s="87"/>
      <c r="V127" s="87"/>
      <c r="W127" s="102"/>
      <c r="X127" s="102"/>
      <c r="Y127" s="103"/>
      <c r="Z127" s="104" t="s">
        <v>752</v>
      </c>
      <c r="AA127" s="99"/>
      <c r="AB127" s="99"/>
      <c r="AC127" s="99"/>
      <c r="AD127" s="99"/>
      <c r="AE127" s="99"/>
      <c r="AF127" s="105"/>
      <c r="AG127" s="106"/>
      <c r="AH127" s="99"/>
      <c r="AI127" s="112">
        <v>1</v>
      </c>
      <c r="AJ127" s="94"/>
      <c r="AK127" s="95"/>
      <c r="AL127" s="95"/>
      <c r="AM127" s="57"/>
    </row>
    <row r="128" spans="1:39" s="56" customFormat="1" ht="86.4">
      <c r="A128" s="54" t="s">
        <v>446</v>
      </c>
      <c r="B128" s="54" t="s">
        <v>450</v>
      </c>
      <c r="C128" s="96"/>
      <c r="D128" s="154" t="s">
        <v>753</v>
      </c>
      <c r="E128" s="96" t="s">
        <v>11</v>
      </c>
      <c r="F128" s="98"/>
      <c r="G128" s="99" t="s">
        <v>754</v>
      </c>
      <c r="H128" s="100" t="s">
        <v>41</v>
      </c>
      <c r="I128" s="101" t="s">
        <v>454</v>
      </c>
      <c r="J128" s="87"/>
      <c r="K128" s="87"/>
      <c r="L128" s="87"/>
      <c r="M128" s="87"/>
      <c r="N128" s="87"/>
      <c r="O128" s="87"/>
      <c r="P128" s="87"/>
      <c r="Q128" s="87"/>
      <c r="R128" s="87"/>
      <c r="S128" s="87"/>
      <c r="T128" s="87"/>
      <c r="U128" s="87"/>
      <c r="V128" s="87"/>
      <c r="W128" s="102"/>
      <c r="X128" s="102"/>
      <c r="Y128" s="103"/>
      <c r="Z128" s="111" t="s">
        <v>755</v>
      </c>
      <c r="AA128" s="99"/>
      <c r="AB128" s="99"/>
      <c r="AC128" s="99"/>
      <c r="AD128" s="99"/>
      <c r="AE128" s="99"/>
      <c r="AF128" s="105"/>
      <c r="AG128" s="106"/>
      <c r="AH128" s="99"/>
      <c r="AI128" s="107">
        <v>1</v>
      </c>
      <c r="AJ128" s="108"/>
      <c r="AK128" s="100"/>
      <c r="AL128" s="100"/>
      <c r="AM128" s="57"/>
    </row>
    <row r="129" spans="1:39" s="56" customFormat="1" ht="60" customHeight="1">
      <c r="A129" s="56" t="s">
        <v>446</v>
      </c>
      <c r="B129" s="54"/>
      <c r="C129" s="80"/>
      <c r="D129" s="81" t="s">
        <v>756</v>
      </c>
      <c r="E129" s="82"/>
      <c r="F129" s="83"/>
      <c r="G129" s="84" t="s">
        <v>757</v>
      </c>
      <c r="H129" s="85" t="s">
        <v>758</v>
      </c>
      <c r="I129" s="86" t="s">
        <v>759</v>
      </c>
      <c r="J129" s="87"/>
      <c r="K129" s="87"/>
      <c r="L129" s="87"/>
      <c r="M129" s="87"/>
      <c r="N129" s="87"/>
      <c r="O129" s="87"/>
      <c r="P129" s="87"/>
      <c r="Q129" s="87"/>
      <c r="R129" s="87"/>
      <c r="S129" s="87"/>
      <c r="T129" s="87"/>
      <c r="U129" s="87"/>
      <c r="V129" s="87"/>
      <c r="W129" s="88"/>
      <c r="X129" s="88"/>
      <c r="Y129" s="89"/>
      <c r="Z129" s="90"/>
      <c r="AA129" s="91"/>
      <c r="AB129" s="91"/>
      <c r="AC129" s="91"/>
      <c r="AD129" s="91"/>
      <c r="AE129" s="91"/>
      <c r="AF129" s="84"/>
      <c r="AG129" s="92"/>
      <c r="AH129" s="91"/>
      <c r="AI129" s="93"/>
      <c r="AJ129" s="94"/>
      <c r="AK129" s="95"/>
      <c r="AL129" s="95"/>
      <c r="AM129" s="57"/>
    </row>
    <row r="130" spans="1:39" s="56" customFormat="1">
      <c r="A130" s="56" t="s">
        <v>446</v>
      </c>
      <c r="B130" s="54"/>
      <c r="C130" s="96"/>
      <c r="D130" s="154" t="s">
        <v>760</v>
      </c>
      <c r="E130" s="154"/>
      <c r="F130" s="98" t="s">
        <v>102</v>
      </c>
      <c r="G130" s="109" t="s">
        <v>761</v>
      </c>
      <c r="H130" s="100" t="s">
        <v>758</v>
      </c>
      <c r="I130" s="101" t="s">
        <v>759</v>
      </c>
      <c r="J130" s="87"/>
      <c r="K130" s="87"/>
      <c r="L130" s="87"/>
      <c r="M130" s="87"/>
      <c r="N130" s="87"/>
      <c r="O130" s="87"/>
      <c r="P130" s="87"/>
      <c r="Q130" s="87"/>
      <c r="R130" s="87"/>
      <c r="S130" s="87"/>
      <c r="T130" s="87"/>
      <c r="U130" s="87"/>
      <c r="V130" s="87"/>
      <c r="W130" s="102"/>
      <c r="X130" s="102"/>
      <c r="Y130" s="103"/>
      <c r="Z130" s="104"/>
      <c r="AA130" s="99"/>
      <c r="AB130" s="99"/>
      <c r="AC130" s="99"/>
      <c r="AD130" s="99"/>
      <c r="AE130" s="99"/>
      <c r="AF130" s="105"/>
      <c r="AG130" s="106"/>
      <c r="AH130" s="99"/>
      <c r="AI130" s="107"/>
      <c r="AJ130" s="108"/>
      <c r="AK130" s="100"/>
      <c r="AL130" s="100"/>
      <c r="AM130" s="57"/>
    </row>
    <row r="131" spans="1:39" s="56" customFormat="1" ht="28.8">
      <c r="A131" s="56" t="s">
        <v>446</v>
      </c>
      <c r="B131" s="54"/>
      <c r="C131" s="80"/>
      <c r="D131" s="81" t="s">
        <v>762</v>
      </c>
      <c r="E131" s="82"/>
      <c r="F131" s="83"/>
      <c r="G131" s="84" t="s">
        <v>763</v>
      </c>
      <c r="H131" s="85" t="s">
        <v>41</v>
      </c>
      <c r="I131" s="86"/>
      <c r="J131" s="87"/>
      <c r="K131" s="87"/>
      <c r="L131" s="87"/>
      <c r="M131" s="87"/>
      <c r="N131" s="87"/>
      <c r="O131" s="87"/>
      <c r="P131" s="87"/>
      <c r="Q131" s="87"/>
      <c r="R131" s="87"/>
      <c r="S131" s="87"/>
      <c r="T131" s="87"/>
      <c r="U131" s="87"/>
      <c r="V131" s="87"/>
      <c r="W131" s="88"/>
      <c r="X131" s="88"/>
      <c r="Y131" s="89"/>
      <c r="Z131" s="90"/>
      <c r="AA131" s="91"/>
      <c r="AB131" s="91"/>
      <c r="AC131" s="91"/>
      <c r="AD131" s="91"/>
      <c r="AE131" s="91"/>
      <c r="AF131" s="84"/>
      <c r="AG131" s="92"/>
      <c r="AH131" s="91"/>
      <c r="AI131" s="113"/>
      <c r="AJ131" s="94"/>
      <c r="AK131" s="95"/>
      <c r="AL131" s="95"/>
      <c r="AM131" s="57"/>
    </row>
    <row r="132" spans="1:39" s="56" customFormat="1" ht="34.5" customHeight="1">
      <c r="A132" s="56" t="s">
        <v>446</v>
      </c>
      <c r="B132" s="54" t="s">
        <v>450</v>
      </c>
      <c r="C132" s="96"/>
      <c r="D132" s="154" t="s">
        <v>764</v>
      </c>
      <c r="E132" s="96" t="s">
        <v>11</v>
      </c>
      <c r="F132" s="98"/>
      <c r="G132" s="109" t="s">
        <v>765</v>
      </c>
      <c r="H132" s="100" t="s">
        <v>41</v>
      </c>
      <c r="I132" s="101" t="s">
        <v>454</v>
      </c>
      <c r="J132" s="87"/>
      <c r="K132" s="87"/>
      <c r="L132" s="87"/>
      <c r="M132" s="87"/>
      <c r="N132" s="87"/>
      <c r="O132" s="87"/>
      <c r="P132" s="87"/>
      <c r="Q132" s="87"/>
      <c r="R132" s="87"/>
      <c r="S132" s="87"/>
      <c r="T132" s="87"/>
      <c r="U132" s="87"/>
      <c r="V132" s="87"/>
      <c r="W132" s="102"/>
      <c r="X132" s="102"/>
      <c r="Y132" s="103"/>
      <c r="Z132" s="104" t="s">
        <v>766</v>
      </c>
      <c r="AA132" s="99"/>
      <c r="AB132" s="99"/>
      <c r="AC132" s="99"/>
      <c r="AD132" s="99"/>
      <c r="AE132" s="99"/>
      <c r="AF132" s="105"/>
      <c r="AG132" s="106"/>
      <c r="AH132" s="99"/>
      <c r="AI132" s="112">
        <v>1</v>
      </c>
      <c r="AJ132" s="116"/>
      <c r="AM132" s="57"/>
    </row>
    <row r="133" spans="1:39" s="56" customFormat="1">
      <c r="A133" s="54" t="s">
        <v>446</v>
      </c>
      <c r="B133" s="54" t="s">
        <v>450</v>
      </c>
      <c r="C133" s="96"/>
      <c r="D133" s="154" t="s">
        <v>767</v>
      </c>
      <c r="E133" s="96" t="s">
        <v>11</v>
      </c>
      <c r="F133" s="98"/>
      <c r="G133" s="109" t="s">
        <v>768</v>
      </c>
      <c r="H133" s="100" t="s">
        <v>41</v>
      </c>
      <c r="I133" s="101" t="s">
        <v>454</v>
      </c>
      <c r="J133" s="87"/>
      <c r="K133" s="87"/>
      <c r="L133" s="87"/>
      <c r="M133" s="87"/>
      <c r="N133" s="87"/>
      <c r="O133" s="87"/>
      <c r="P133" s="87"/>
      <c r="Q133" s="87"/>
      <c r="R133" s="87"/>
      <c r="S133" s="87"/>
      <c r="T133" s="87"/>
      <c r="U133" s="87"/>
      <c r="V133" s="87"/>
      <c r="W133" s="102"/>
      <c r="X133" s="102"/>
      <c r="Y133" s="103"/>
      <c r="Z133" s="104"/>
      <c r="AA133" s="99"/>
      <c r="AB133" s="99"/>
      <c r="AC133" s="99"/>
      <c r="AD133" s="99"/>
      <c r="AE133" s="99"/>
      <c r="AF133" s="105"/>
      <c r="AG133" s="106"/>
      <c r="AH133" s="99"/>
      <c r="AI133" s="107" t="s">
        <v>465</v>
      </c>
      <c r="AJ133" s="114"/>
      <c r="AK133" s="85"/>
      <c r="AL133" s="85"/>
      <c r="AM133" s="57"/>
    </row>
    <row r="134" spans="1:39" s="56" customFormat="1" ht="34.5" customHeight="1">
      <c r="A134" s="56" t="s">
        <v>446</v>
      </c>
      <c r="B134" s="54"/>
      <c r="C134" s="80"/>
      <c r="D134" s="81" t="s">
        <v>769</v>
      </c>
      <c r="E134" s="82"/>
      <c r="F134" s="83"/>
      <c r="G134" s="84" t="s">
        <v>770</v>
      </c>
      <c r="H134" s="85" t="s">
        <v>41</v>
      </c>
      <c r="I134" s="86"/>
      <c r="J134" s="87"/>
      <c r="K134" s="87"/>
      <c r="L134" s="87"/>
      <c r="M134" s="87"/>
      <c r="N134" s="87"/>
      <c r="O134" s="87"/>
      <c r="P134" s="87"/>
      <c r="Q134" s="87"/>
      <c r="R134" s="87"/>
      <c r="S134" s="87"/>
      <c r="T134" s="87"/>
      <c r="U134" s="87"/>
      <c r="V134" s="87"/>
      <c r="W134" s="88"/>
      <c r="X134" s="88"/>
      <c r="Y134" s="89"/>
      <c r="Z134" s="90"/>
      <c r="AA134" s="91"/>
      <c r="AB134" s="91"/>
      <c r="AC134" s="91"/>
      <c r="AD134" s="91"/>
      <c r="AE134" s="91"/>
      <c r="AF134" s="84"/>
      <c r="AG134" s="92"/>
      <c r="AH134" s="91"/>
      <c r="AI134" s="93"/>
      <c r="AJ134" s="116"/>
      <c r="AM134" s="57"/>
    </row>
    <row r="135" spans="1:39" s="56" customFormat="1" ht="28.8">
      <c r="A135" s="56" t="s">
        <v>446</v>
      </c>
      <c r="B135" s="54" t="s">
        <v>450</v>
      </c>
      <c r="C135" s="96"/>
      <c r="D135" s="154" t="s">
        <v>771</v>
      </c>
      <c r="E135" s="96" t="s">
        <v>11</v>
      </c>
      <c r="F135" s="98"/>
      <c r="G135" s="99" t="s">
        <v>772</v>
      </c>
      <c r="H135" s="100" t="s">
        <v>41</v>
      </c>
      <c r="I135" s="101" t="s">
        <v>481</v>
      </c>
      <c r="J135" s="87"/>
      <c r="K135" s="87"/>
      <c r="L135" s="87"/>
      <c r="M135" s="87"/>
      <c r="N135" s="87"/>
      <c r="O135" s="87"/>
      <c r="P135" s="87"/>
      <c r="Q135" s="87"/>
      <c r="R135" s="87"/>
      <c r="S135" s="87"/>
      <c r="T135" s="87"/>
      <c r="U135" s="87"/>
      <c r="V135" s="87"/>
      <c r="W135" s="102"/>
      <c r="X135" s="102"/>
      <c r="Y135" s="103"/>
      <c r="Z135" s="104" t="s">
        <v>504</v>
      </c>
      <c r="AA135" s="99"/>
      <c r="AB135" s="99"/>
      <c r="AC135" s="99"/>
      <c r="AD135" s="99"/>
      <c r="AE135" s="99"/>
      <c r="AF135" s="105"/>
      <c r="AG135" s="106"/>
      <c r="AH135" s="99"/>
      <c r="AI135" s="107" t="s">
        <v>465</v>
      </c>
      <c r="AJ135" s="114"/>
      <c r="AK135" s="85"/>
      <c r="AL135" s="85"/>
      <c r="AM135" s="57"/>
    </row>
    <row r="136" spans="1:39" s="56" customFormat="1" ht="34.5" customHeight="1">
      <c r="A136" s="56" t="s">
        <v>458</v>
      </c>
      <c r="C136" s="80"/>
      <c r="D136" s="81" t="s">
        <v>773</v>
      </c>
      <c r="E136" s="82"/>
      <c r="F136" s="83"/>
      <c r="G136" s="84" t="s">
        <v>774</v>
      </c>
      <c r="H136" s="85" t="s">
        <v>41</v>
      </c>
      <c r="I136" s="86"/>
      <c r="J136" s="87"/>
      <c r="K136" s="87"/>
      <c r="L136" s="87"/>
      <c r="M136" s="87"/>
      <c r="N136" s="87"/>
      <c r="O136" s="87"/>
      <c r="P136" s="87"/>
      <c r="Q136" s="87"/>
      <c r="R136" s="87"/>
      <c r="S136" s="87"/>
      <c r="T136" s="87"/>
      <c r="U136" s="87"/>
      <c r="V136" s="87"/>
      <c r="W136" s="88"/>
      <c r="X136" s="88"/>
      <c r="Y136" s="89"/>
      <c r="Z136" s="90"/>
      <c r="AA136" s="91"/>
      <c r="AB136" s="91"/>
      <c r="AC136" s="91"/>
      <c r="AD136" s="91"/>
      <c r="AE136" s="91"/>
      <c r="AF136" s="84"/>
      <c r="AG136" s="92"/>
      <c r="AH136" s="91"/>
      <c r="AI136" s="93"/>
      <c r="AJ136" s="116"/>
      <c r="AM136" s="57"/>
    </row>
    <row r="137" spans="1:39" s="56" customFormat="1" ht="28.8">
      <c r="A137" s="56" t="s">
        <v>446</v>
      </c>
      <c r="B137" s="54" t="s">
        <v>450</v>
      </c>
      <c r="C137" s="96"/>
      <c r="D137" s="154" t="s">
        <v>775</v>
      </c>
      <c r="E137" s="96" t="s">
        <v>11</v>
      </c>
      <c r="F137" s="98"/>
      <c r="G137" s="99" t="s">
        <v>776</v>
      </c>
      <c r="H137" s="100" t="s">
        <v>41</v>
      </c>
      <c r="I137" s="101" t="s">
        <v>454</v>
      </c>
      <c r="J137" s="87"/>
      <c r="K137" s="87"/>
      <c r="L137" s="87"/>
      <c r="M137" s="87"/>
      <c r="N137" s="87"/>
      <c r="O137" s="87"/>
      <c r="P137" s="87"/>
      <c r="Q137" s="87"/>
      <c r="R137" s="87"/>
      <c r="S137" s="87"/>
      <c r="T137" s="87"/>
      <c r="U137" s="87"/>
      <c r="V137" s="87"/>
      <c r="W137" s="102"/>
      <c r="X137" s="102"/>
      <c r="Y137" s="103"/>
      <c r="Z137" s="104" t="s">
        <v>504</v>
      </c>
      <c r="AA137" s="99"/>
      <c r="AB137" s="99"/>
      <c r="AC137" s="99"/>
      <c r="AD137" s="99"/>
      <c r="AE137" s="99"/>
      <c r="AF137" s="105"/>
      <c r="AG137" s="106"/>
      <c r="AH137" s="99"/>
      <c r="AI137" s="107">
        <v>1</v>
      </c>
      <c r="AJ137" s="114"/>
      <c r="AK137" s="85"/>
      <c r="AL137" s="85"/>
      <c r="AM137" s="57"/>
    </row>
    <row r="138" spans="1:39" s="56" customFormat="1" ht="65.7" customHeight="1">
      <c r="A138" s="56" t="s">
        <v>446</v>
      </c>
      <c r="C138" s="80"/>
      <c r="D138" s="81" t="s">
        <v>777</v>
      </c>
      <c r="E138" s="82"/>
      <c r="F138" s="83"/>
      <c r="G138" s="84" t="s">
        <v>778</v>
      </c>
      <c r="H138" s="85" t="s">
        <v>41</v>
      </c>
      <c r="I138" s="86"/>
      <c r="J138" s="87"/>
      <c r="K138" s="87"/>
      <c r="L138" s="87"/>
      <c r="M138" s="87"/>
      <c r="N138" s="87"/>
      <c r="O138" s="87"/>
      <c r="P138" s="87"/>
      <c r="Q138" s="87"/>
      <c r="R138" s="87"/>
      <c r="S138" s="87"/>
      <c r="T138" s="87"/>
      <c r="U138" s="87"/>
      <c r="V138" s="87"/>
      <c r="W138" s="88"/>
      <c r="X138" s="88"/>
      <c r="Y138" s="89"/>
      <c r="Z138" s="90"/>
      <c r="AA138" s="91"/>
      <c r="AB138" s="91"/>
      <c r="AC138" s="91"/>
      <c r="AD138" s="91"/>
      <c r="AE138" s="91"/>
      <c r="AF138" s="84"/>
      <c r="AG138" s="92"/>
      <c r="AH138" s="91"/>
      <c r="AI138" s="93"/>
      <c r="AJ138" s="116"/>
      <c r="AM138" s="57"/>
    </row>
    <row r="139" spans="1:39" s="56" customFormat="1">
      <c r="A139" s="56" t="s">
        <v>621</v>
      </c>
      <c r="B139" s="54"/>
      <c r="C139" s="96"/>
      <c r="D139" s="154" t="s">
        <v>779</v>
      </c>
      <c r="E139" s="154"/>
      <c r="F139" s="166" t="s">
        <v>102</v>
      </c>
      <c r="G139" s="167" t="s">
        <v>780</v>
      </c>
      <c r="H139" s="100"/>
      <c r="I139" s="101"/>
      <c r="J139" s="87"/>
      <c r="K139" s="87"/>
      <c r="L139" s="87"/>
      <c r="M139" s="87"/>
      <c r="N139" s="87"/>
      <c r="O139" s="87"/>
      <c r="P139" s="87"/>
      <c r="Q139" s="87"/>
      <c r="R139" s="87"/>
      <c r="S139" s="87"/>
      <c r="T139" s="87"/>
      <c r="U139" s="87"/>
      <c r="V139" s="87"/>
      <c r="W139" s="102"/>
      <c r="X139" s="102"/>
      <c r="Y139" s="103"/>
      <c r="Z139" s="104"/>
      <c r="AA139" s="99"/>
      <c r="AB139" s="99"/>
      <c r="AC139" s="99"/>
      <c r="AD139" s="99"/>
      <c r="AE139" s="99"/>
      <c r="AF139" s="105"/>
      <c r="AG139" s="106"/>
      <c r="AH139" s="99"/>
      <c r="AI139" s="107"/>
      <c r="AJ139" s="114"/>
      <c r="AK139" s="85"/>
      <c r="AL139" s="85"/>
      <c r="AM139" s="57"/>
    </row>
    <row r="140" spans="1:39" s="56" customFormat="1">
      <c r="A140" s="56" t="s">
        <v>621</v>
      </c>
      <c r="B140" s="54" t="s">
        <v>781</v>
      </c>
      <c r="C140" s="96"/>
      <c r="D140" s="154" t="s">
        <v>782</v>
      </c>
      <c r="E140" s="154"/>
      <c r="F140" s="98"/>
      <c r="G140" s="109" t="s">
        <v>783</v>
      </c>
      <c r="H140" s="100"/>
      <c r="I140" s="101" t="s">
        <v>14</v>
      </c>
      <c r="J140" s="87"/>
      <c r="K140" s="87"/>
      <c r="L140" s="87"/>
      <c r="M140" s="87"/>
      <c r="N140" s="87"/>
      <c r="O140" s="87"/>
      <c r="P140" s="87"/>
      <c r="Q140" s="87"/>
      <c r="R140" s="87"/>
      <c r="S140" s="87"/>
      <c r="T140" s="87"/>
      <c r="U140" s="87"/>
      <c r="V140" s="87"/>
      <c r="W140" s="102"/>
      <c r="X140" s="102"/>
      <c r="Y140" s="103"/>
      <c r="Z140" s="168"/>
      <c r="AA140" s="99"/>
      <c r="AB140" s="99"/>
      <c r="AC140" s="99"/>
      <c r="AD140" s="99"/>
      <c r="AE140" s="99"/>
      <c r="AF140" s="105"/>
      <c r="AG140" s="106"/>
      <c r="AH140" s="99"/>
      <c r="AI140" s="107"/>
      <c r="AJ140" s="94"/>
      <c r="AK140" s="95"/>
      <c r="AL140" s="95"/>
      <c r="AM140" s="57"/>
    </row>
    <row r="141" spans="1:39" s="56" customFormat="1" ht="18.600000000000001" customHeight="1">
      <c r="A141" s="56" t="s">
        <v>446</v>
      </c>
      <c r="B141" s="54"/>
      <c r="C141" s="80"/>
      <c r="D141" s="81" t="s">
        <v>784</v>
      </c>
      <c r="E141" s="82"/>
      <c r="F141" s="83" t="s">
        <v>785</v>
      </c>
      <c r="G141" s="84" t="s">
        <v>786</v>
      </c>
      <c r="H141" s="85" t="s">
        <v>41</v>
      </c>
      <c r="I141" s="86"/>
      <c r="J141" s="87"/>
      <c r="K141" s="87"/>
      <c r="L141" s="87"/>
      <c r="M141" s="87"/>
      <c r="N141" s="87"/>
      <c r="O141" s="87"/>
      <c r="P141" s="87"/>
      <c r="Q141" s="87"/>
      <c r="R141" s="87"/>
      <c r="S141" s="87"/>
      <c r="T141" s="87"/>
      <c r="U141" s="87"/>
      <c r="V141" s="87"/>
      <c r="W141" s="88"/>
      <c r="X141" s="88"/>
      <c r="Y141" s="89"/>
      <c r="Z141" s="152"/>
      <c r="AA141" s="91"/>
      <c r="AB141" s="91"/>
      <c r="AC141" s="91"/>
      <c r="AD141" s="91"/>
      <c r="AE141" s="91"/>
      <c r="AF141" s="84"/>
      <c r="AG141" s="92"/>
      <c r="AH141" s="91"/>
      <c r="AI141" s="113"/>
      <c r="AJ141" s="116"/>
      <c r="AM141" s="57"/>
    </row>
    <row r="142" spans="1:39" s="56" customFormat="1" ht="34.5" customHeight="1">
      <c r="A142" s="56" t="s">
        <v>446</v>
      </c>
      <c r="B142" s="54" t="s">
        <v>450</v>
      </c>
      <c r="C142" s="96"/>
      <c r="D142" s="97" t="s">
        <v>787</v>
      </c>
      <c r="E142" s="96" t="s">
        <v>11</v>
      </c>
      <c r="F142" s="98"/>
      <c r="G142" s="99" t="s">
        <v>788</v>
      </c>
      <c r="H142" s="85" t="s">
        <v>41</v>
      </c>
      <c r="I142" s="101" t="s">
        <v>481</v>
      </c>
      <c r="J142" s="87"/>
      <c r="K142" s="87"/>
      <c r="L142" s="87"/>
      <c r="M142" s="87"/>
      <c r="N142" s="87"/>
      <c r="O142" s="87"/>
      <c r="P142" s="87"/>
      <c r="Q142" s="87"/>
      <c r="R142" s="87"/>
      <c r="S142" s="87"/>
      <c r="T142" s="87"/>
      <c r="U142" s="87"/>
      <c r="V142" s="87"/>
      <c r="W142" s="102"/>
      <c r="X142" s="102"/>
      <c r="Y142" s="103"/>
      <c r="Z142" s="104" t="s">
        <v>504</v>
      </c>
      <c r="AA142" s="99"/>
      <c r="AB142" s="99"/>
      <c r="AC142" s="99"/>
      <c r="AD142" s="99"/>
      <c r="AE142" s="99"/>
      <c r="AF142" s="105"/>
      <c r="AG142" s="106"/>
      <c r="AH142" s="99"/>
      <c r="AI142" s="112" t="s">
        <v>465</v>
      </c>
      <c r="AJ142" s="94"/>
      <c r="AK142" s="95"/>
      <c r="AL142" s="95"/>
      <c r="AM142" s="57"/>
    </row>
    <row r="143" spans="1:39" s="56" customFormat="1">
      <c r="A143" s="56" t="s">
        <v>446</v>
      </c>
      <c r="B143" s="54" t="s">
        <v>450</v>
      </c>
      <c r="C143" s="96"/>
      <c r="D143" s="97" t="s">
        <v>789</v>
      </c>
      <c r="E143" s="96" t="s">
        <v>11</v>
      </c>
      <c r="F143" s="98"/>
      <c r="G143" s="99" t="s">
        <v>790</v>
      </c>
      <c r="H143" s="85" t="s">
        <v>41</v>
      </c>
      <c r="I143" s="101" t="s">
        <v>454</v>
      </c>
      <c r="J143" s="87"/>
      <c r="K143" s="87"/>
      <c r="L143" s="87"/>
      <c r="M143" s="87"/>
      <c r="N143" s="87"/>
      <c r="O143" s="87"/>
      <c r="P143" s="87"/>
      <c r="Q143" s="87"/>
      <c r="R143" s="87"/>
      <c r="S143" s="87"/>
      <c r="T143" s="87"/>
      <c r="U143" s="87"/>
      <c r="V143" s="87"/>
      <c r="W143" s="102"/>
      <c r="X143" s="102"/>
      <c r="Y143" s="103"/>
      <c r="Z143" s="104" t="s">
        <v>504</v>
      </c>
      <c r="AA143" s="99"/>
      <c r="AB143" s="99"/>
      <c r="AC143" s="99"/>
      <c r="AD143" s="99"/>
      <c r="AE143" s="99"/>
      <c r="AF143" s="105"/>
      <c r="AG143" s="106"/>
      <c r="AH143" s="99"/>
      <c r="AI143" s="107">
        <v>1</v>
      </c>
      <c r="AJ143" s="108"/>
      <c r="AK143" s="100"/>
      <c r="AL143" s="100"/>
      <c r="AM143" s="57"/>
    </row>
    <row r="144" spans="1:39" s="56" customFormat="1" ht="34.5" customHeight="1">
      <c r="A144" s="56" t="s">
        <v>446</v>
      </c>
      <c r="B144" s="54"/>
      <c r="C144" s="80"/>
      <c r="D144" s="81" t="s">
        <v>791</v>
      </c>
      <c r="E144" s="82"/>
      <c r="F144" s="83"/>
      <c r="G144" s="84" t="s">
        <v>792</v>
      </c>
      <c r="H144" s="85" t="s">
        <v>41</v>
      </c>
      <c r="I144" s="86"/>
      <c r="J144" s="87"/>
      <c r="K144" s="87"/>
      <c r="L144" s="87"/>
      <c r="M144" s="87"/>
      <c r="N144" s="87"/>
      <c r="O144" s="87"/>
      <c r="P144" s="87"/>
      <c r="Q144" s="87"/>
      <c r="R144" s="87"/>
      <c r="S144" s="87"/>
      <c r="T144" s="87"/>
      <c r="U144" s="87"/>
      <c r="V144" s="87"/>
      <c r="W144" s="88"/>
      <c r="X144" s="88"/>
      <c r="Y144" s="89"/>
      <c r="Z144" s="90"/>
      <c r="AA144" s="91"/>
      <c r="AB144" s="91"/>
      <c r="AC144" s="91"/>
      <c r="AD144" s="91"/>
      <c r="AE144" s="91"/>
      <c r="AF144" s="84"/>
      <c r="AG144" s="92"/>
      <c r="AH144" s="91"/>
      <c r="AI144" s="93"/>
      <c r="AJ144" s="94"/>
      <c r="AK144" s="95"/>
      <c r="AL144" s="95"/>
      <c r="AM144" s="57"/>
    </row>
    <row r="145" spans="1:39" s="56" customFormat="1">
      <c r="A145" s="56" t="s">
        <v>446</v>
      </c>
      <c r="B145" s="54" t="s">
        <v>450</v>
      </c>
      <c r="C145" s="96"/>
      <c r="D145" s="97" t="s">
        <v>793</v>
      </c>
      <c r="E145" s="96" t="s">
        <v>11</v>
      </c>
      <c r="F145" s="98"/>
      <c r="G145" s="99" t="s">
        <v>794</v>
      </c>
      <c r="H145" s="100" t="s">
        <v>41</v>
      </c>
      <c r="I145" s="101" t="s">
        <v>481</v>
      </c>
      <c r="J145" s="87"/>
      <c r="K145" s="87"/>
      <c r="L145" s="87"/>
      <c r="M145" s="87"/>
      <c r="N145" s="87"/>
      <c r="O145" s="87"/>
      <c r="P145" s="87"/>
      <c r="Q145" s="87"/>
      <c r="R145" s="87"/>
      <c r="S145" s="87"/>
      <c r="T145" s="87"/>
      <c r="U145" s="87"/>
      <c r="V145" s="87"/>
      <c r="W145" s="102"/>
      <c r="X145" s="102"/>
      <c r="Y145" s="103"/>
      <c r="Z145" s="104" t="s">
        <v>504</v>
      </c>
      <c r="AA145" s="99"/>
      <c r="AB145" s="99"/>
      <c r="AC145" s="99"/>
      <c r="AD145" s="99"/>
      <c r="AE145" s="99"/>
      <c r="AF145" s="105"/>
      <c r="AG145" s="106"/>
      <c r="AH145" s="99"/>
      <c r="AI145" s="107" t="s">
        <v>465</v>
      </c>
      <c r="AJ145" s="108"/>
      <c r="AK145" s="100"/>
      <c r="AL145" s="100"/>
      <c r="AM145" s="57"/>
    </row>
    <row r="146" spans="1:39" s="56" customFormat="1" ht="62.1" customHeight="1">
      <c r="A146" s="56" t="s">
        <v>446</v>
      </c>
      <c r="B146" s="54"/>
      <c r="C146" s="80"/>
      <c r="D146" s="81" t="s">
        <v>795</v>
      </c>
      <c r="E146" s="82"/>
      <c r="F146" s="83"/>
      <c r="G146" s="84" t="s">
        <v>796</v>
      </c>
      <c r="H146" s="85" t="s">
        <v>41</v>
      </c>
      <c r="I146" s="86"/>
      <c r="J146" s="87"/>
      <c r="K146" s="87"/>
      <c r="L146" s="87"/>
      <c r="M146" s="87"/>
      <c r="N146" s="87"/>
      <c r="O146" s="87"/>
      <c r="P146" s="87"/>
      <c r="Q146" s="87"/>
      <c r="R146" s="87"/>
      <c r="S146" s="87"/>
      <c r="T146" s="87"/>
      <c r="U146" s="87"/>
      <c r="V146" s="87"/>
      <c r="W146" s="88"/>
      <c r="X146" s="88"/>
      <c r="Y146" s="89"/>
      <c r="Z146" s="90"/>
      <c r="AA146" s="91"/>
      <c r="AB146" s="91"/>
      <c r="AC146" s="91"/>
      <c r="AD146" s="91"/>
      <c r="AE146" s="91"/>
      <c r="AF146" s="84"/>
      <c r="AG146" s="92"/>
      <c r="AH146" s="91"/>
      <c r="AI146" s="93"/>
      <c r="AJ146" s="94"/>
      <c r="AK146" s="95"/>
      <c r="AL146" s="95"/>
      <c r="AM146" s="57"/>
    </row>
    <row r="147" spans="1:39" s="56" customFormat="1" ht="20.7" customHeight="1">
      <c r="A147" s="100" t="s">
        <v>446</v>
      </c>
      <c r="B147" s="54" t="s">
        <v>450</v>
      </c>
      <c r="C147" s="96"/>
      <c r="D147" s="97" t="s">
        <v>797</v>
      </c>
      <c r="E147" s="96" t="s">
        <v>11</v>
      </c>
      <c r="F147" s="169"/>
      <c r="G147" s="141" t="s">
        <v>798</v>
      </c>
      <c r="H147" s="100" t="s">
        <v>41</v>
      </c>
      <c r="I147" s="101" t="s">
        <v>454</v>
      </c>
      <c r="J147" s="87"/>
      <c r="K147" s="87"/>
      <c r="L147" s="87"/>
      <c r="M147" s="87"/>
      <c r="N147" s="87"/>
      <c r="O147" s="87"/>
      <c r="P147" s="87"/>
      <c r="Q147" s="87"/>
      <c r="R147" s="87"/>
      <c r="S147" s="87"/>
      <c r="T147" s="87"/>
      <c r="U147" s="87"/>
      <c r="V147" s="87"/>
      <c r="W147" s="102"/>
      <c r="X147" s="102"/>
      <c r="Y147" s="103"/>
      <c r="Z147" s="104" t="s">
        <v>799</v>
      </c>
      <c r="AA147" s="99"/>
      <c r="AB147" s="99"/>
      <c r="AC147" s="99"/>
      <c r="AD147" s="99"/>
      <c r="AE147" s="99"/>
      <c r="AF147" s="105"/>
      <c r="AG147" s="106"/>
      <c r="AH147" s="99"/>
      <c r="AI147" s="107" t="s">
        <v>465</v>
      </c>
      <c r="AJ147" s="108"/>
      <c r="AK147" s="100"/>
      <c r="AL147" s="100"/>
      <c r="AM147" s="57"/>
    </row>
    <row r="148" spans="1:39" s="56" customFormat="1" ht="34.5" customHeight="1">
      <c r="A148" s="100" t="s">
        <v>446</v>
      </c>
      <c r="B148" s="54" t="s">
        <v>450</v>
      </c>
      <c r="C148" s="96"/>
      <c r="D148" s="97" t="s">
        <v>800</v>
      </c>
      <c r="E148" s="96" t="s">
        <v>11</v>
      </c>
      <c r="F148" s="169"/>
      <c r="G148" s="141" t="s">
        <v>801</v>
      </c>
      <c r="H148" s="100" t="s">
        <v>41</v>
      </c>
      <c r="I148" s="101" t="s">
        <v>454</v>
      </c>
      <c r="J148" s="87"/>
      <c r="K148" s="87"/>
      <c r="L148" s="87"/>
      <c r="M148" s="87"/>
      <c r="N148" s="87"/>
      <c r="O148" s="87"/>
      <c r="P148" s="87"/>
      <c r="Q148" s="87"/>
      <c r="R148" s="87"/>
      <c r="S148" s="87"/>
      <c r="T148" s="87"/>
      <c r="U148" s="87"/>
      <c r="V148" s="87"/>
      <c r="W148" s="102"/>
      <c r="X148" s="102"/>
      <c r="Y148" s="103"/>
      <c r="Z148" s="104" t="s">
        <v>802</v>
      </c>
      <c r="AA148" s="99"/>
      <c r="AB148" s="99"/>
      <c r="AC148" s="99"/>
      <c r="AD148" s="99"/>
      <c r="AE148" s="99"/>
      <c r="AF148" s="105"/>
      <c r="AG148" s="106"/>
      <c r="AH148" s="99"/>
      <c r="AI148" s="112" t="s">
        <v>465</v>
      </c>
      <c r="AJ148" s="116"/>
      <c r="AM148" s="57"/>
    </row>
    <row r="149" spans="1:39" s="56" customFormat="1" ht="72">
      <c r="A149" s="100" t="s">
        <v>446</v>
      </c>
      <c r="B149" s="54" t="s">
        <v>450</v>
      </c>
      <c r="C149" s="96"/>
      <c r="D149" s="97" t="s">
        <v>81</v>
      </c>
      <c r="E149" s="96" t="s">
        <v>11</v>
      </c>
      <c r="F149" s="169"/>
      <c r="G149" s="141" t="s">
        <v>82</v>
      </c>
      <c r="H149" s="100"/>
      <c r="I149" s="101" t="s">
        <v>14</v>
      </c>
      <c r="J149" s="87"/>
      <c r="K149" s="87"/>
      <c r="L149" s="87"/>
      <c r="M149" s="87"/>
      <c r="N149" s="87"/>
      <c r="O149" s="87"/>
      <c r="P149" s="87"/>
      <c r="Q149" s="87"/>
      <c r="R149" s="87"/>
      <c r="S149" s="87"/>
      <c r="T149" s="87"/>
      <c r="U149" s="87"/>
      <c r="V149" s="87"/>
      <c r="W149" s="102"/>
      <c r="X149" s="102"/>
      <c r="Y149" s="103"/>
      <c r="Z149" s="104" t="s">
        <v>803</v>
      </c>
      <c r="AA149" s="99"/>
      <c r="AB149" s="99"/>
      <c r="AC149" s="99"/>
      <c r="AD149" s="99"/>
      <c r="AE149" s="99"/>
      <c r="AF149" s="105"/>
      <c r="AG149" s="106"/>
      <c r="AH149" s="99"/>
      <c r="AI149" s="107"/>
      <c r="AJ149" s="114"/>
      <c r="AK149" s="85"/>
      <c r="AL149" s="85"/>
      <c r="AM149" s="57"/>
    </row>
    <row r="150" spans="1:39" s="56" customFormat="1" ht="28.8">
      <c r="A150" s="100" t="s">
        <v>446</v>
      </c>
      <c r="B150" s="100"/>
      <c r="C150" s="80"/>
      <c r="D150" s="81" t="s">
        <v>804</v>
      </c>
      <c r="E150" s="82"/>
      <c r="F150" s="83"/>
      <c r="G150" s="84" t="s">
        <v>805</v>
      </c>
      <c r="H150" s="85" t="s">
        <v>41</v>
      </c>
      <c r="I150" s="86"/>
      <c r="J150" s="87"/>
      <c r="K150" s="87"/>
      <c r="L150" s="87"/>
      <c r="M150" s="87"/>
      <c r="N150" s="87"/>
      <c r="O150" s="87"/>
      <c r="P150" s="87"/>
      <c r="Q150" s="87"/>
      <c r="R150" s="87"/>
      <c r="S150" s="87"/>
      <c r="T150" s="87"/>
      <c r="U150" s="87"/>
      <c r="V150" s="87"/>
      <c r="W150" s="88"/>
      <c r="X150" s="88"/>
      <c r="Y150" s="89"/>
      <c r="Z150" s="90"/>
      <c r="AA150" s="91"/>
      <c r="AB150" s="91"/>
      <c r="AC150" s="91"/>
      <c r="AD150" s="91"/>
      <c r="AE150" s="91"/>
      <c r="AF150" s="84"/>
      <c r="AG150" s="92"/>
      <c r="AH150" s="91"/>
      <c r="AI150" s="113"/>
      <c r="AJ150" s="116"/>
      <c r="AM150" s="57"/>
    </row>
    <row r="151" spans="1:39" s="56" customFormat="1" ht="34.5" customHeight="1">
      <c r="A151" s="100" t="s">
        <v>446</v>
      </c>
      <c r="B151" s="54" t="s">
        <v>450</v>
      </c>
      <c r="C151" s="96"/>
      <c r="D151" s="97" t="s">
        <v>806</v>
      </c>
      <c r="E151" s="96" t="s">
        <v>11</v>
      </c>
      <c r="F151" s="98"/>
      <c r="G151" s="99" t="s">
        <v>807</v>
      </c>
      <c r="H151" s="100" t="s">
        <v>41</v>
      </c>
      <c r="I151" s="101" t="s">
        <v>454</v>
      </c>
      <c r="J151" s="87"/>
      <c r="K151" s="87"/>
      <c r="L151" s="87"/>
      <c r="M151" s="87"/>
      <c r="N151" s="87"/>
      <c r="O151" s="87"/>
      <c r="P151" s="87"/>
      <c r="Q151" s="87"/>
      <c r="R151" s="87"/>
      <c r="S151" s="87"/>
      <c r="T151" s="87"/>
      <c r="U151" s="87"/>
      <c r="V151" s="87"/>
      <c r="W151" s="102"/>
      <c r="X151" s="102"/>
      <c r="Y151" s="103"/>
      <c r="Z151" s="104" t="s">
        <v>808</v>
      </c>
      <c r="AA151" s="99"/>
      <c r="AB151" s="99"/>
      <c r="AC151" s="99"/>
      <c r="AD151" s="99"/>
      <c r="AE151" s="99"/>
      <c r="AF151" s="105"/>
      <c r="AG151" s="106"/>
      <c r="AH151" s="99"/>
      <c r="AI151" s="112">
        <v>1</v>
      </c>
      <c r="AJ151" s="94"/>
      <c r="AK151" s="119"/>
      <c r="AL151" s="119"/>
      <c r="AM151" s="57"/>
    </row>
    <row r="152" spans="1:39" s="56" customFormat="1" ht="14.85" customHeight="1">
      <c r="A152" s="100" t="s">
        <v>446</v>
      </c>
      <c r="B152" s="100"/>
      <c r="C152" s="80"/>
      <c r="D152" s="81" t="s">
        <v>809</v>
      </c>
      <c r="E152" s="82"/>
      <c r="F152" s="83"/>
      <c r="G152" s="84" t="s">
        <v>810</v>
      </c>
      <c r="H152" s="85" t="s">
        <v>41</v>
      </c>
      <c r="I152" s="86"/>
      <c r="J152" s="87"/>
      <c r="K152" s="87"/>
      <c r="L152" s="87"/>
      <c r="M152" s="87"/>
      <c r="N152" s="87"/>
      <c r="O152" s="87"/>
      <c r="P152" s="87"/>
      <c r="Q152" s="87"/>
      <c r="R152" s="87"/>
      <c r="S152" s="87"/>
      <c r="T152" s="87"/>
      <c r="U152" s="87"/>
      <c r="V152" s="87"/>
      <c r="W152" s="88"/>
      <c r="X152" s="88"/>
      <c r="Y152" s="89"/>
      <c r="Z152" s="90"/>
      <c r="AA152" s="91"/>
      <c r="AB152" s="91"/>
      <c r="AC152" s="91"/>
      <c r="AD152" s="91"/>
      <c r="AE152" s="91"/>
      <c r="AF152" s="84"/>
      <c r="AG152" s="92"/>
      <c r="AH152" s="91"/>
      <c r="AI152" s="113"/>
      <c r="AJ152" s="108"/>
      <c r="AK152" s="100"/>
      <c r="AL152" s="100"/>
      <c r="AM152" s="57"/>
    </row>
    <row r="153" spans="1:39" s="56" customFormat="1" ht="34.5" customHeight="1">
      <c r="A153" s="100" t="s">
        <v>446</v>
      </c>
      <c r="B153" s="54" t="s">
        <v>450</v>
      </c>
      <c r="C153" s="96"/>
      <c r="D153" s="97" t="s">
        <v>811</v>
      </c>
      <c r="E153" s="96" t="s">
        <v>11</v>
      </c>
      <c r="F153" s="98"/>
      <c r="G153" s="99" t="s">
        <v>812</v>
      </c>
      <c r="H153" s="100" t="s">
        <v>41</v>
      </c>
      <c r="I153" s="101" t="s">
        <v>454</v>
      </c>
      <c r="J153" s="87"/>
      <c r="K153" s="87"/>
      <c r="L153" s="87"/>
      <c r="M153" s="87"/>
      <c r="N153" s="87"/>
      <c r="O153" s="87"/>
      <c r="P153" s="87"/>
      <c r="Q153" s="87"/>
      <c r="R153" s="87"/>
      <c r="S153" s="87"/>
      <c r="T153" s="87"/>
      <c r="U153" s="87"/>
      <c r="V153" s="87"/>
      <c r="W153" s="102"/>
      <c r="X153" s="102"/>
      <c r="Y153" s="103"/>
      <c r="Z153" s="104" t="s">
        <v>808</v>
      </c>
      <c r="AA153" s="99"/>
      <c r="AB153" s="99"/>
      <c r="AC153" s="99"/>
      <c r="AD153" s="99"/>
      <c r="AE153" s="99"/>
      <c r="AF153" s="105"/>
      <c r="AG153" s="106"/>
      <c r="AH153" s="99"/>
      <c r="AI153" s="112" t="s">
        <v>465</v>
      </c>
      <c r="AJ153" s="94"/>
      <c r="AK153" s="95"/>
      <c r="AL153" s="95"/>
      <c r="AM153" s="57"/>
    </row>
    <row r="154" spans="1:39" s="56" customFormat="1" ht="72">
      <c r="A154" s="100" t="s">
        <v>446</v>
      </c>
      <c r="B154" s="100"/>
      <c r="C154" s="80"/>
      <c r="D154" s="81" t="s">
        <v>813</v>
      </c>
      <c r="E154" s="82"/>
      <c r="F154" s="83"/>
      <c r="G154" s="84" t="s">
        <v>814</v>
      </c>
      <c r="H154" s="85" t="s">
        <v>41</v>
      </c>
      <c r="I154" s="86"/>
      <c r="J154" s="87"/>
      <c r="K154" s="87"/>
      <c r="L154" s="87"/>
      <c r="M154" s="87"/>
      <c r="N154" s="87"/>
      <c r="O154" s="87"/>
      <c r="P154" s="87"/>
      <c r="Q154" s="87"/>
      <c r="R154" s="87"/>
      <c r="S154" s="87"/>
      <c r="T154" s="87"/>
      <c r="U154" s="87"/>
      <c r="V154" s="87"/>
      <c r="W154" s="88"/>
      <c r="X154" s="88"/>
      <c r="Y154" s="89"/>
      <c r="Z154" s="90"/>
      <c r="AA154" s="91"/>
      <c r="AB154" s="91"/>
      <c r="AC154" s="91"/>
      <c r="AD154" s="91"/>
      <c r="AE154" s="91"/>
      <c r="AF154" s="84"/>
      <c r="AG154" s="92"/>
      <c r="AH154" s="91"/>
      <c r="AI154" s="113"/>
      <c r="AJ154" s="108"/>
      <c r="AK154" s="100"/>
      <c r="AL154" s="100"/>
      <c r="AM154" s="57"/>
    </row>
    <row r="155" spans="1:39" s="125" customFormat="1" ht="28.8">
      <c r="A155" s="130" t="s">
        <v>446</v>
      </c>
      <c r="B155" s="147" t="s">
        <v>450</v>
      </c>
      <c r="C155" s="126"/>
      <c r="D155" s="127" t="s">
        <v>815</v>
      </c>
      <c r="E155" s="126" t="s">
        <v>17</v>
      </c>
      <c r="F155" s="128"/>
      <c r="G155" s="129" t="s">
        <v>816</v>
      </c>
      <c r="H155" s="130" t="s">
        <v>41</v>
      </c>
      <c r="I155" s="131" t="s">
        <v>454</v>
      </c>
      <c r="J155" s="132"/>
      <c r="K155" s="132"/>
      <c r="L155" s="132"/>
      <c r="M155" s="132"/>
      <c r="N155" s="132"/>
      <c r="O155" s="132"/>
      <c r="P155" s="132"/>
      <c r="Q155" s="132"/>
      <c r="R155" s="132"/>
      <c r="S155" s="132"/>
      <c r="T155" s="132"/>
      <c r="U155" s="132"/>
      <c r="V155" s="132"/>
      <c r="W155" s="133"/>
      <c r="X155" s="133"/>
      <c r="Y155" s="134"/>
      <c r="Z155" s="135" t="s">
        <v>817</v>
      </c>
      <c r="AA155" s="129"/>
      <c r="AB155" s="129"/>
      <c r="AC155" s="129"/>
      <c r="AD155" s="129"/>
      <c r="AE155" s="129"/>
      <c r="AF155" s="136"/>
      <c r="AG155" s="137"/>
      <c r="AH155" s="129"/>
      <c r="AI155" s="138">
        <v>1</v>
      </c>
      <c r="AJ155" s="139"/>
      <c r="AM155" s="140"/>
    </row>
    <row r="156" spans="1:39" s="56" customFormat="1">
      <c r="A156" s="100" t="s">
        <v>446</v>
      </c>
      <c r="B156" s="54" t="s">
        <v>450</v>
      </c>
      <c r="C156" s="96"/>
      <c r="D156" s="97" t="s">
        <v>818</v>
      </c>
      <c r="E156" s="96" t="s">
        <v>11</v>
      </c>
      <c r="F156" s="98"/>
      <c r="G156" s="99" t="s">
        <v>819</v>
      </c>
      <c r="H156" s="100" t="s">
        <v>41</v>
      </c>
      <c r="I156" s="101" t="s">
        <v>481</v>
      </c>
      <c r="J156" s="87"/>
      <c r="K156" s="87"/>
      <c r="L156" s="87"/>
      <c r="M156" s="87"/>
      <c r="N156" s="87"/>
      <c r="O156" s="87"/>
      <c r="P156" s="87"/>
      <c r="Q156" s="87"/>
      <c r="R156" s="87"/>
      <c r="S156" s="87"/>
      <c r="T156" s="87"/>
      <c r="U156" s="87"/>
      <c r="V156" s="87"/>
      <c r="W156" s="102"/>
      <c r="X156" s="102"/>
      <c r="Y156" s="103"/>
      <c r="Z156" s="104" t="s">
        <v>504</v>
      </c>
      <c r="AA156" s="99"/>
      <c r="AB156" s="99"/>
      <c r="AC156" s="99"/>
      <c r="AD156" s="99"/>
      <c r="AE156" s="99"/>
      <c r="AF156" s="105"/>
      <c r="AG156" s="106"/>
      <c r="AH156" s="99"/>
      <c r="AI156" s="107" t="s">
        <v>465</v>
      </c>
      <c r="AJ156" s="116"/>
      <c r="AM156" s="57"/>
    </row>
    <row r="157" spans="1:39" s="56" customFormat="1" ht="74.400000000000006" customHeight="1">
      <c r="A157" s="100" t="s">
        <v>458</v>
      </c>
      <c r="B157" s="100"/>
      <c r="C157" s="80"/>
      <c r="D157" s="81" t="s">
        <v>820</v>
      </c>
      <c r="E157" s="82"/>
      <c r="F157" s="83"/>
      <c r="G157" s="84" t="s">
        <v>821</v>
      </c>
      <c r="H157" s="85" t="s">
        <v>41</v>
      </c>
      <c r="I157" s="86"/>
      <c r="J157" s="87"/>
      <c r="K157" s="87"/>
      <c r="L157" s="87"/>
      <c r="M157" s="87"/>
      <c r="N157" s="87"/>
      <c r="O157" s="87"/>
      <c r="P157" s="87"/>
      <c r="Q157" s="87"/>
      <c r="R157" s="87"/>
      <c r="S157" s="87"/>
      <c r="T157" s="87"/>
      <c r="U157" s="87"/>
      <c r="V157" s="87"/>
      <c r="W157" s="88"/>
      <c r="X157" s="88"/>
      <c r="Y157" s="89"/>
      <c r="Z157" s="90"/>
      <c r="AA157" s="91"/>
      <c r="AB157" s="91"/>
      <c r="AC157" s="91"/>
      <c r="AD157" s="91"/>
      <c r="AE157" s="91"/>
      <c r="AF157" s="84"/>
      <c r="AG157" s="92"/>
      <c r="AH157" s="91"/>
      <c r="AI157" s="93"/>
      <c r="AJ157" s="94"/>
      <c r="AK157" s="95"/>
      <c r="AL157" s="95"/>
      <c r="AM157" s="57"/>
    </row>
    <row r="158" spans="1:39" s="56" customFormat="1" ht="28.8">
      <c r="A158" s="100" t="s">
        <v>446</v>
      </c>
      <c r="B158" s="54" t="s">
        <v>450</v>
      </c>
      <c r="C158" s="96"/>
      <c r="D158" s="97" t="s">
        <v>822</v>
      </c>
      <c r="E158" s="96" t="s">
        <v>11</v>
      </c>
      <c r="F158" s="98"/>
      <c r="G158" s="99" t="s">
        <v>823</v>
      </c>
      <c r="H158" s="100" t="s">
        <v>41</v>
      </c>
      <c r="I158" s="101" t="s">
        <v>454</v>
      </c>
      <c r="J158" s="87"/>
      <c r="K158" s="87"/>
      <c r="L158" s="87"/>
      <c r="M158" s="87"/>
      <c r="N158" s="87"/>
      <c r="O158" s="87"/>
      <c r="P158" s="87"/>
      <c r="Q158" s="87"/>
      <c r="R158" s="87"/>
      <c r="S158" s="87"/>
      <c r="T158" s="87"/>
      <c r="U158" s="87"/>
      <c r="V158" s="87"/>
      <c r="W158" s="102"/>
      <c r="X158" s="102"/>
      <c r="Y158" s="103"/>
      <c r="Z158" s="170" t="s">
        <v>824</v>
      </c>
      <c r="AA158" s="99"/>
      <c r="AB158" s="99"/>
      <c r="AC158" s="99"/>
      <c r="AD158" s="99"/>
      <c r="AE158" s="99"/>
      <c r="AF158" s="105"/>
      <c r="AG158" s="106"/>
      <c r="AH158" s="99"/>
      <c r="AI158" s="107">
        <v>1</v>
      </c>
      <c r="AJ158" s="108"/>
      <c r="AK158" s="100"/>
      <c r="AL158" s="100"/>
      <c r="AM158" s="57"/>
    </row>
    <row r="159" spans="1:39" s="56" customFormat="1" ht="34.5" customHeight="1">
      <c r="A159" s="100" t="s">
        <v>446</v>
      </c>
      <c r="B159" s="100"/>
      <c r="C159" s="80"/>
      <c r="D159" s="81" t="s">
        <v>825</v>
      </c>
      <c r="E159" s="82"/>
      <c r="F159" s="83"/>
      <c r="G159" s="84" t="s">
        <v>826</v>
      </c>
      <c r="H159" s="85" t="s">
        <v>41</v>
      </c>
      <c r="I159" s="86"/>
      <c r="J159" s="87"/>
      <c r="K159" s="87"/>
      <c r="L159" s="87"/>
      <c r="M159" s="87"/>
      <c r="N159" s="87"/>
      <c r="O159" s="87"/>
      <c r="P159" s="87"/>
      <c r="Q159" s="87"/>
      <c r="R159" s="87"/>
      <c r="S159" s="87"/>
      <c r="T159" s="87"/>
      <c r="U159" s="87"/>
      <c r="V159" s="87"/>
      <c r="W159" s="88"/>
      <c r="X159" s="88"/>
      <c r="Y159" s="89"/>
      <c r="Z159" s="104"/>
      <c r="AA159" s="91"/>
      <c r="AB159" s="91"/>
      <c r="AC159" s="91"/>
      <c r="AD159" s="91"/>
      <c r="AE159" s="91"/>
      <c r="AF159" s="84"/>
      <c r="AG159" s="92"/>
      <c r="AH159" s="91"/>
      <c r="AI159" s="93"/>
      <c r="AJ159" s="116"/>
      <c r="AM159" s="57"/>
    </row>
    <row r="160" spans="1:39" s="56" customFormat="1" ht="19.95" customHeight="1">
      <c r="A160" s="100" t="s">
        <v>446</v>
      </c>
      <c r="B160" s="54" t="s">
        <v>450</v>
      </c>
      <c r="C160" s="96"/>
      <c r="D160" s="97" t="s">
        <v>827</v>
      </c>
      <c r="E160" s="96" t="s">
        <v>11</v>
      </c>
      <c r="F160" s="98"/>
      <c r="G160" s="141" t="s">
        <v>828</v>
      </c>
      <c r="H160" s="100" t="s">
        <v>41</v>
      </c>
      <c r="I160" s="101" t="s">
        <v>454</v>
      </c>
      <c r="J160" s="87"/>
      <c r="K160" s="87"/>
      <c r="L160" s="87"/>
      <c r="M160" s="87"/>
      <c r="N160" s="87"/>
      <c r="O160" s="87"/>
      <c r="P160" s="87"/>
      <c r="Q160" s="87"/>
      <c r="R160" s="87"/>
      <c r="S160" s="87"/>
      <c r="T160" s="87"/>
      <c r="U160" s="87"/>
      <c r="V160" s="87"/>
      <c r="W160" s="102"/>
      <c r="X160" s="102"/>
      <c r="Y160" s="103"/>
      <c r="Z160" s="170" t="s">
        <v>829</v>
      </c>
      <c r="AA160" s="99"/>
      <c r="AB160" s="99"/>
      <c r="AC160" s="99"/>
      <c r="AD160" s="99"/>
      <c r="AE160" s="99"/>
      <c r="AF160" s="105"/>
      <c r="AG160" s="106"/>
      <c r="AH160" s="99"/>
      <c r="AI160" s="107">
        <v>1</v>
      </c>
      <c r="AJ160" s="108"/>
      <c r="AK160" s="100"/>
      <c r="AL160" s="100"/>
      <c r="AM160" s="57"/>
    </row>
    <row r="161" spans="1:39" s="56" customFormat="1" ht="72.599999999999994" customHeight="1">
      <c r="A161" s="100" t="s">
        <v>446</v>
      </c>
      <c r="B161" s="100"/>
      <c r="C161" s="80"/>
      <c r="D161" s="81" t="s">
        <v>830</v>
      </c>
      <c r="E161" s="82"/>
      <c r="F161" s="83"/>
      <c r="G161" s="84" t="s">
        <v>831</v>
      </c>
      <c r="H161" s="85" t="s">
        <v>41</v>
      </c>
      <c r="I161" s="86"/>
      <c r="J161" s="87"/>
      <c r="K161" s="87"/>
      <c r="L161" s="87"/>
      <c r="M161" s="87"/>
      <c r="N161" s="87"/>
      <c r="O161" s="87"/>
      <c r="P161" s="87"/>
      <c r="Q161" s="87"/>
      <c r="R161" s="87"/>
      <c r="S161" s="87"/>
      <c r="T161" s="87"/>
      <c r="U161" s="87"/>
      <c r="V161" s="87"/>
      <c r="W161" s="88"/>
      <c r="X161" s="88"/>
      <c r="Y161" s="89"/>
      <c r="Z161" s="90"/>
      <c r="AA161" s="91"/>
      <c r="AB161" s="91"/>
      <c r="AC161" s="91"/>
      <c r="AD161" s="91"/>
      <c r="AE161" s="91"/>
      <c r="AF161" s="84"/>
      <c r="AG161" s="92"/>
      <c r="AH161" s="91"/>
      <c r="AI161" s="93"/>
      <c r="AJ161" s="116"/>
      <c r="AM161" s="57"/>
    </row>
    <row r="162" spans="1:39" s="56" customFormat="1" ht="28.8">
      <c r="A162" s="100" t="s">
        <v>446</v>
      </c>
      <c r="B162" s="54" t="s">
        <v>450</v>
      </c>
      <c r="C162" s="96"/>
      <c r="D162" s="97" t="s">
        <v>832</v>
      </c>
      <c r="E162" s="96" t="s">
        <v>11</v>
      </c>
      <c r="F162" s="98"/>
      <c r="G162" s="99" t="s">
        <v>833</v>
      </c>
      <c r="H162" s="100" t="s">
        <v>41</v>
      </c>
      <c r="I162" s="101" t="s">
        <v>454</v>
      </c>
      <c r="J162" s="87"/>
      <c r="K162" s="87"/>
      <c r="L162" s="87"/>
      <c r="M162" s="87"/>
      <c r="N162" s="87"/>
      <c r="O162" s="87"/>
      <c r="P162" s="87"/>
      <c r="Q162" s="87"/>
      <c r="R162" s="87"/>
      <c r="S162" s="87"/>
      <c r="T162" s="87"/>
      <c r="U162" s="87"/>
      <c r="V162" s="87"/>
      <c r="W162" s="102"/>
      <c r="X162" s="102"/>
      <c r="Y162" s="103"/>
      <c r="Z162" s="104" t="s">
        <v>834</v>
      </c>
      <c r="AA162" s="99"/>
      <c r="AB162" s="99"/>
      <c r="AC162" s="99"/>
      <c r="AD162" s="99"/>
      <c r="AE162" s="99"/>
      <c r="AF162" s="105"/>
      <c r="AG162" s="106"/>
      <c r="AH162" s="99"/>
      <c r="AI162" s="107">
        <v>1</v>
      </c>
      <c r="AJ162" s="114"/>
      <c r="AK162" s="85"/>
      <c r="AL162" s="85"/>
      <c r="AM162" s="57"/>
    </row>
    <row r="163" spans="1:39" s="56" customFormat="1" ht="28.8">
      <c r="A163" s="100" t="s">
        <v>446</v>
      </c>
      <c r="B163" s="100"/>
      <c r="C163" s="80"/>
      <c r="D163" s="81" t="s">
        <v>835</v>
      </c>
      <c r="E163" s="82"/>
      <c r="F163" s="83" t="s">
        <v>836</v>
      </c>
      <c r="G163" s="84" t="s">
        <v>837</v>
      </c>
      <c r="H163" s="85" t="s">
        <v>41</v>
      </c>
      <c r="I163" s="86"/>
      <c r="J163" s="87"/>
      <c r="K163" s="87"/>
      <c r="L163" s="87"/>
      <c r="M163" s="87"/>
      <c r="N163" s="87"/>
      <c r="O163" s="87"/>
      <c r="P163" s="87"/>
      <c r="Q163" s="87"/>
      <c r="R163" s="87"/>
      <c r="S163" s="87"/>
      <c r="T163" s="87"/>
      <c r="U163" s="87"/>
      <c r="V163" s="87"/>
      <c r="W163" s="88"/>
      <c r="X163" s="88"/>
      <c r="Y163" s="89"/>
      <c r="Z163" s="90"/>
      <c r="AA163" s="91"/>
      <c r="AB163" s="91"/>
      <c r="AC163" s="91"/>
      <c r="AD163" s="91"/>
      <c r="AE163" s="91"/>
      <c r="AF163" s="84"/>
      <c r="AG163" s="92"/>
      <c r="AH163" s="91"/>
      <c r="AI163" s="113"/>
      <c r="AJ163" s="116"/>
      <c r="AM163" s="57"/>
    </row>
    <row r="164" spans="1:39" s="56" customFormat="1" ht="62.1" customHeight="1">
      <c r="A164" s="100" t="s">
        <v>446</v>
      </c>
      <c r="B164" s="54" t="s">
        <v>614</v>
      </c>
      <c r="C164" s="96"/>
      <c r="D164" s="97" t="s">
        <v>838</v>
      </c>
      <c r="E164" s="96" t="s">
        <v>11</v>
      </c>
      <c r="F164" s="98"/>
      <c r="G164" s="141" t="s">
        <v>839</v>
      </c>
      <c r="H164" s="100" t="s">
        <v>41</v>
      </c>
      <c r="I164" s="101" t="s">
        <v>481</v>
      </c>
      <c r="J164" s="87"/>
      <c r="K164" s="87"/>
      <c r="L164" s="87"/>
      <c r="M164" s="87"/>
      <c r="N164" s="87"/>
      <c r="O164" s="87"/>
      <c r="P164" s="87"/>
      <c r="Q164" s="87"/>
      <c r="R164" s="87"/>
      <c r="S164" s="87"/>
      <c r="T164" s="87"/>
      <c r="U164" s="87"/>
      <c r="V164" s="87"/>
      <c r="W164" s="102"/>
      <c r="X164" s="102"/>
      <c r="Y164" s="103"/>
      <c r="Z164" s="104" t="s">
        <v>504</v>
      </c>
      <c r="AA164" s="99"/>
      <c r="AB164" s="99"/>
      <c r="AC164" s="99"/>
      <c r="AD164" s="99"/>
      <c r="AE164" s="99"/>
      <c r="AF164" s="105"/>
      <c r="AG164" s="106"/>
      <c r="AH164" s="99"/>
      <c r="AI164" s="112" t="s">
        <v>465</v>
      </c>
      <c r="AJ164" s="94"/>
      <c r="AK164" s="95"/>
      <c r="AL164" s="95"/>
      <c r="AM164" s="57"/>
    </row>
    <row r="165" spans="1:39" s="56" customFormat="1" ht="28.8">
      <c r="A165" s="100" t="s">
        <v>446</v>
      </c>
      <c r="B165" s="100"/>
      <c r="C165" s="80"/>
      <c r="D165" s="81" t="s">
        <v>840</v>
      </c>
      <c r="E165" s="82"/>
      <c r="F165" s="83"/>
      <c r="G165" s="84" t="s">
        <v>841</v>
      </c>
      <c r="H165" s="85" t="s">
        <v>41</v>
      </c>
      <c r="I165" s="86"/>
      <c r="J165" s="87"/>
      <c r="K165" s="87"/>
      <c r="L165" s="87"/>
      <c r="M165" s="87"/>
      <c r="N165" s="87"/>
      <c r="O165" s="87"/>
      <c r="P165" s="87"/>
      <c r="Q165" s="87"/>
      <c r="R165" s="87"/>
      <c r="S165" s="87"/>
      <c r="T165" s="87"/>
      <c r="U165" s="87"/>
      <c r="V165" s="87"/>
      <c r="W165" s="88"/>
      <c r="X165" s="88"/>
      <c r="Y165" s="89"/>
      <c r="Z165" s="90"/>
      <c r="AA165" s="91"/>
      <c r="AB165" s="91"/>
      <c r="AC165" s="91"/>
      <c r="AD165" s="91"/>
      <c r="AE165" s="91"/>
      <c r="AF165" s="84"/>
      <c r="AG165" s="92"/>
      <c r="AH165" s="91"/>
      <c r="AI165" s="113"/>
      <c r="AJ165" s="108"/>
      <c r="AK165" s="100"/>
      <c r="AL165" s="100"/>
      <c r="AM165" s="57"/>
    </row>
    <row r="166" spans="1:39" s="56" customFormat="1" ht="34.5" customHeight="1">
      <c r="A166" s="100" t="s">
        <v>458</v>
      </c>
      <c r="B166" s="54" t="s">
        <v>614</v>
      </c>
      <c r="C166" s="96"/>
      <c r="D166" s="97" t="s">
        <v>842</v>
      </c>
      <c r="E166" s="96" t="s">
        <v>11</v>
      </c>
      <c r="F166" s="98"/>
      <c r="G166" s="99" t="s">
        <v>843</v>
      </c>
      <c r="H166" s="100" t="s">
        <v>41</v>
      </c>
      <c r="I166" s="101" t="s">
        <v>454</v>
      </c>
      <c r="J166" s="87"/>
      <c r="K166" s="87"/>
      <c r="L166" s="87"/>
      <c r="M166" s="87"/>
      <c r="N166" s="87"/>
      <c r="O166" s="87"/>
      <c r="P166" s="87"/>
      <c r="Q166" s="87"/>
      <c r="R166" s="87"/>
      <c r="S166" s="87"/>
      <c r="T166" s="87"/>
      <c r="U166" s="87"/>
      <c r="V166" s="87"/>
      <c r="W166" s="102"/>
      <c r="X166" s="102"/>
      <c r="Y166" s="103"/>
      <c r="Z166" s="104" t="s">
        <v>844</v>
      </c>
      <c r="AA166" s="99"/>
      <c r="AB166" s="99"/>
      <c r="AC166" s="99"/>
      <c r="AD166" s="99"/>
      <c r="AE166" s="99"/>
      <c r="AF166" s="105"/>
      <c r="AG166" s="106"/>
      <c r="AH166" s="99"/>
      <c r="AI166" s="112" t="s">
        <v>465</v>
      </c>
      <c r="AJ166" s="94"/>
      <c r="AK166" s="95"/>
      <c r="AL166" s="95"/>
      <c r="AM166" s="57"/>
    </row>
    <row r="167" spans="1:39" s="56" customFormat="1">
      <c r="A167" s="96" t="s">
        <v>446</v>
      </c>
      <c r="B167" s="96"/>
      <c r="C167" s="96"/>
      <c r="D167" s="97" t="s">
        <v>845</v>
      </c>
      <c r="E167" s="97"/>
      <c r="F167" s="166" t="s">
        <v>102</v>
      </c>
      <c r="G167" s="167" t="s">
        <v>846</v>
      </c>
      <c r="H167" s="100"/>
      <c r="I167" s="101"/>
      <c r="J167" s="87"/>
      <c r="K167" s="87"/>
      <c r="L167" s="87"/>
      <c r="M167" s="87"/>
      <c r="N167" s="87"/>
      <c r="O167" s="87"/>
      <c r="P167" s="87"/>
      <c r="Q167" s="87"/>
      <c r="R167" s="87"/>
      <c r="S167" s="87"/>
      <c r="T167" s="87"/>
      <c r="U167" s="87"/>
      <c r="V167" s="87"/>
      <c r="W167" s="102"/>
      <c r="X167" s="102"/>
      <c r="Y167" s="103"/>
      <c r="Z167" s="104"/>
      <c r="AA167" s="99"/>
      <c r="AB167" s="99"/>
      <c r="AC167" s="99"/>
      <c r="AD167" s="99"/>
      <c r="AE167" s="99"/>
      <c r="AF167" s="105"/>
      <c r="AG167" s="106"/>
      <c r="AH167" s="99"/>
      <c r="AI167" s="107"/>
      <c r="AJ167" s="108"/>
      <c r="AK167" s="100"/>
      <c r="AL167" s="100"/>
      <c r="AM167" s="57"/>
    </row>
    <row r="168" spans="1:39" s="56" customFormat="1" ht="34.5" customHeight="1">
      <c r="A168" s="96" t="s">
        <v>446</v>
      </c>
      <c r="B168" s="96"/>
      <c r="C168" s="80"/>
      <c r="D168" s="81" t="s">
        <v>847</v>
      </c>
      <c r="E168" s="82"/>
      <c r="F168" s="83"/>
      <c r="G168" s="84" t="s">
        <v>848</v>
      </c>
      <c r="H168" s="85" t="s">
        <v>41</v>
      </c>
      <c r="I168" s="86"/>
      <c r="J168" s="87"/>
      <c r="K168" s="87"/>
      <c r="L168" s="87"/>
      <c r="M168" s="87"/>
      <c r="N168" s="87"/>
      <c r="O168" s="87"/>
      <c r="P168" s="87"/>
      <c r="Q168" s="87"/>
      <c r="R168" s="87"/>
      <c r="S168" s="87"/>
      <c r="T168" s="87"/>
      <c r="U168" s="87"/>
      <c r="V168" s="87"/>
      <c r="W168" s="88"/>
      <c r="X168" s="88"/>
      <c r="Y168" s="89"/>
      <c r="Z168" s="90"/>
      <c r="AA168" s="91"/>
      <c r="AB168" s="91"/>
      <c r="AC168" s="91"/>
      <c r="AD168" s="91"/>
      <c r="AE168" s="91"/>
      <c r="AF168" s="84"/>
      <c r="AG168" s="92"/>
      <c r="AH168" s="91"/>
      <c r="AI168" s="93"/>
      <c r="AJ168" s="94"/>
      <c r="AK168" s="95"/>
      <c r="AL168" s="95"/>
      <c r="AM168" s="57"/>
    </row>
    <row r="169" spans="1:39" s="56" customFormat="1" ht="28.8">
      <c r="A169" s="96"/>
      <c r="B169" s="54" t="s">
        <v>614</v>
      </c>
      <c r="C169" s="96"/>
      <c r="D169" s="97" t="s">
        <v>849</v>
      </c>
      <c r="E169" s="96" t="s">
        <v>11</v>
      </c>
      <c r="F169" s="98"/>
      <c r="G169" s="99" t="s">
        <v>850</v>
      </c>
      <c r="H169" s="100" t="s">
        <v>41</v>
      </c>
      <c r="I169" s="101" t="s">
        <v>481</v>
      </c>
      <c r="J169" s="87"/>
      <c r="K169" s="87"/>
      <c r="L169" s="87"/>
      <c r="M169" s="87"/>
      <c r="N169" s="87"/>
      <c r="O169" s="87"/>
      <c r="P169" s="87"/>
      <c r="Q169" s="87"/>
      <c r="R169" s="87"/>
      <c r="S169" s="87"/>
      <c r="T169" s="87"/>
      <c r="U169" s="87"/>
      <c r="V169" s="87"/>
      <c r="W169" s="102"/>
      <c r="X169" s="102"/>
      <c r="Y169" s="103"/>
      <c r="Z169" s="104" t="s">
        <v>504</v>
      </c>
      <c r="AA169" s="99"/>
      <c r="AB169" s="99"/>
      <c r="AC169" s="99"/>
      <c r="AD169" s="99"/>
      <c r="AE169" s="99"/>
      <c r="AF169" s="105"/>
      <c r="AG169" s="106"/>
      <c r="AH169" s="99"/>
      <c r="AI169" s="112" t="s">
        <v>465</v>
      </c>
      <c r="AJ169" s="108"/>
      <c r="AK169" s="100"/>
      <c r="AL169" s="100"/>
      <c r="AM169" s="57"/>
    </row>
    <row r="170" spans="1:39" s="56" customFormat="1" ht="34.5" customHeight="1">
      <c r="A170" s="96" t="s">
        <v>446</v>
      </c>
      <c r="B170" s="96"/>
      <c r="C170" s="80"/>
      <c r="D170" s="81" t="s">
        <v>851</v>
      </c>
      <c r="E170" s="82"/>
      <c r="F170" s="83"/>
      <c r="G170" s="84" t="s">
        <v>852</v>
      </c>
      <c r="H170" s="85" t="s">
        <v>41</v>
      </c>
      <c r="I170" s="86"/>
      <c r="J170" s="87"/>
      <c r="K170" s="87"/>
      <c r="L170" s="87"/>
      <c r="M170" s="87"/>
      <c r="N170" s="87"/>
      <c r="O170" s="87"/>
      <c r="P170" s="87"/>
      <c r="Q170" s="87"/>
      <c r="R170" s="87"/>
      <c r="S170" s="87"/>
      <c r="T170" s="87"/>
      <c r="U170" s="87"/>
      <c r="V170" s="87"/>
      <c r="W170" s="88"/>
      <c r="X170" s="88"/>
      <c r="Y170" s="89"/>
      <c r="Z170" s="90"/>
      <c r="AA170" s="91"/>
      <c r="AB170" s="91"/>
      <c r="AC170" s="91"/>
      <c r="AD170" s="91"/>
      <c r="AE170" s="91"/>
      <c r="AF170" s="84"/>
      <c r="AG170" s="92"/>
      <c r="AH170" s="91"/>
      <c r="AI170" s="93"/>
      <c r="AJ170" s="116"/>
      <c r="AM170" s="57"/>
    </row>
    <row r="171" spans="1:39" s="56" customFormat="1" ht="28.8">
      <c r="A171" s="96" t="s">
        <v>446</v>
      </c>
      <c r="B171" s="54" t="s">
        <v>614</v>
      </c>
      <c r="C171" s="96"/>
      <c r="D171" s="97" t="s">
        <v>853</v>
      </c>
      <c r="E171" s="96" t="s">
        <v>11</v>
      </c>
      <c r="F171" s="98"/>
      <c r="G171" s="99" t="s">
        <v>854</v>
      </c>
      <c r="H171" s="100" t="s">
        <v>41</v>
      </c>
      <c r="I171" s="101" t="s">
        <v>481</v>
      </c>
      <c r="J171" s="87"/>
      <c r="K171" s="87"/>
      <c r="L171" s="87"/>
      <c r="M171" s="87"/>
      <c r="N171" s="87"/>
      <c r="O171" s="87"/>
      <c r="P171" s="87"/>
      <c r="Q171" s="87"/>
      <c r="R171" s="87"/>
      <c r="S171" s="87"/>
      <c r="T171" s="87"/>
      <c r="U171" s="87"/>
      <c r="V171" s="87"/>
      <c r="W171" s="102"/>
      <c r="X171" s="102"/>
      <c r="Y171" s="103"/>
      <c r="Z171" s="104" t="s">
        <v>504</v>
      </c>
      <c r="AA171" s="99"/>
      <c r="AB171" s="99"/>
      <c r="AC171" s="99"/>
      <c r="AD171" s="99"/>
      <c r="AE171" s="99"/>
      <c r="AF171" s="105"/>
      <c r="AG171" s="106"/>
      <c r="AH171" s="99"/>
      <c r="AI171" s="112" t="s">
        <v>465</v>
      </c>
      <c r="AJ171" s="114"/>
      <c r="AK171" s="85"/>
      <c r="AL171" s="85"/>
      <c r="AM171" s="57"/>
    </row>
    <row r="172" spans="1:39" s="56" customFormat="1" ht="34.5" customHeight="1">
      <c r="A172" s="96" t="s">
        <v>446</v>
      </c>
      <c r="B172" s="96"/>
      <c r="C172" s="80"/>
      <c r="D172" s="81" t="s">
        <v>855</v>
      </c>
      <c r="E172" s="82"/>
      <c r="F172" s="83"/>
      <c r="G172" s="84" t="s">
        <v>856</v>
      </c>
      <c r="H172" s="85" t="s">
        <v>41</v>
      </c>
      <c r="I172" s="86"/>
      <c r="J172" s="87"/>
      <c r="K172" s="87"/>
      <c r="L172" s="87"/>
      <c r="M172" s="87"/>
      <c r="N172" s="87"/>
      <c r="O172" s="87"/>
      <c r="P172" s="87"/>
      <c r="Q172" s="87"/>
      <c r="R172" s="87"/>
      <c r="S172" s="87"/>
      <c r="T172" s="87"/>
      <c r="U172" s="87"/>
      <c r="V172" s="87"/>
      <c r="W172" s="88"/>
      <c r="X172" s="88"/>
      <c r="Y172" s="89"/>
      <c r="Z172" s="90"/>
      <c r="AA172" s="91"/>
      <c r="AB172" s="91"/>
      <c r="AC172" s="91"/>
      <c r="AD172" s="91"/>
      <c r="AE172" s="91"/>
      <c r="AF172" s="84"/>
      <c r="AG172" s="92"/>
      <c r="AH172" s="91"/>
      <c r="AI172" s="93"/>
      <c r="AJ172" s="116"/>
      <c r="AM172" s="57"/>
    </row>
    <row r="173" spans="1:39" s="56" customFormat="1">
      <c r="A173" s="96" t="s">
        <v>446</v>
      </c>
      <c r="B173" s="54" t="s">
        <v>614</v>
      </c>
      <c r="C173" s="96"/>
      <c r="D173" s="97" t="s">
        <v>857</v>
      </c>
      <c r="E173" s="96" t="s">
        <v>11</v>
      </c>
      <c r="F173" s="98"/>
      <c r="G173" s="99" t="s">
        <v>858</v>
      </c>
      <c r="H173" s="100" t="s">
        <v>41</v>
      </c>
      <c r="I173" s="101" t="s">
        <v>481</v>
      </c>
      <c r="J173" s="87"/>
      <c r="K173" s="87"/>
      <c r="L173" s="87"/>
      <c r="M173" s="87"/>
      <c r="N173" s="87"/>
      <c r="O173" s="87"/>
      <c r="P173" s="87"/>
      <c r="Q173" s="87"/>
      <c r="R173" s="87"/>
      <c r="S173" s="87"/>
      <c r="T173" s="87"/>
      <c r="U173" s="87"/>
      <c r="V173" s="87"/>
      <c r="W173" s="102"/>
      <c r="X173" s="102"/>
      <c r="Y173" s="103"/>
      <c r="Z173" s="104" t="s">
        <v>504</v>
      </c>
      <c r="AA173" s="99"/>
      <c r="AB173" s="99"/>
      <c r="AC173" s="99"/>
      <c r="AD173" s="99"/>
      <c r="AE173" s="99"/>
      <c r="AF173" s="105"/>
      <c r="AG173" s="106"/>
      <c r="AH173" s="99"/>
      <c r="AI173" s="112" t="s">
        <v>465</v>
      </c>
      <c r="AJ173" s="114"/>
      <c r="AK173" s="85"/>
      <c r="AL173" s="85"/>
      <c r="AM173" s="57"/>
    </row>
    <row r="174" spans="1:39" s="56" customFormat="1" ht="34.5" customHeight="1">
      <c r="A174" s="96" t="s">
        <v>446</v>
      </c>
      <c r="B174" s="54" t="s">
        <v>614</v>
      </c>
      <c r="C174" s="96"/>
      <c r="D174" s="97" t="s">
        <v>86</v>
      </c>
      <c r="E174" s="96" t="s">
        <v>11</v>
      </c>
      <c r="F174" s="98"/>
      <c r="G174" s="99" t="s">
        <v>87</v>
      </c>
      <c r="H174" s="100"/>
      <c r="I174" s="101" t="s">
        <v>14</v>
      </c>
      <c r="J174" s="87"/>
      <c r="K174" s="87"/>
      <c r="L174" s="87"/>
      <c r="M174" s="87"/>
      <c r="N174" s="87"/>
      <c r="O174" s="87"/>
      <c r="P174" s="87"/>
      <c r="Q174" s="87"/>
      <c r="R174" s="87"/>
      <c r="S174" s="87"/>
      <c r="T174" s="87"/>
      <c r="U174" s="87"/>
      <c r="V174" s="87"/>
      <c r="W174" s="102"/>
      <c r="X174" s="102"/>
      <c r="Y174" s="103"/>
      <c r="Z174" s="104"/>
      <c r="AA174" s="99"/>
      <c r="AB174" s="99"/>
      <c r="AC174" s="99"/>
      <c r="AD174" s="99"/>
      <c r="AE174" s="99"/>
      <c r="AF174" s="105"/>
      <c r="AG174" s="106"/>
      <c r="AH174" s="99"/>
      <c r="AI174" s="112"/>
      <c r="AJ174" s="116"/>
      <c r="AM174" s="57"/>
    </row>
    <row r="175" spans="1:39" s="56" customFormat="1" ht="28.8">
      <c r="A175" s="96" t="s">
        <v>446</v>
      </c>
      <c r="B175" s="96"/>
      <c r="C175" s="80"/>
      <c r="D175" s="81" t="s">
        <v>859</v>
      </c>
      <c r="E175" s="82"/>
      <c r="F175" s="83"/>
      <c r="G175" s="84" t="s">
        <v>860</v>
      </c>
      <c r="H175" s="85" t="s">
        <v>41</v>
      </c>
      <c r="I175" s="86"/>
      <c r="J175" s="87"/>
      <c r="K175" s="87"/>
      <c r="L175" s="87"/>
      <c r="M175" s="87"/>
      <c r="N175" s="87"/>
      <c r="O175" s="87"/>
      <c r="P175" s="87"/>
      <c r="Q175" s="87"/>
      <c r="R175" s="87"/>
      <c r="S175" s="87"/>
      <c r="T175" s="87"/>
      <c r="U175" s="87"/>
      <c r="V175" s="87"/>
      <c r="W175" s="88"/>
      <c r="X175" s="88"/>
      <c r="Y175" s="89"/>
      <c r="Z175" s="90"/>
      <c r="AA175" s="91"/>
      <c r="AB175" s="91"/>
      <c r="AC175" s="91"/>
      <c r="AD175" s="91"/>
      <c r="AE175" s="91"/>
      <c r="AF175" s="84"/>
      <c r="AG175" s="92"/>
      <c r="AH175" s="91"/>
      <c r="AI175" s="113"/>
      <c r="AJ175" s="114"/>
      <c r="AK175" s="85"/>
      <c r="AL175" s="85"/>
      <c r="AM175" s="57"/>
    </row>
    <row r="176" spans="1:39" s="56" customFormat="1" ht="34.5" customHeight="1">
      <c r="A176" s="96" t="s">
        <v>446</v>
      </c>
      <c r="B176" s="54" t="s">
        <v>450</v>
      </c>
      <c r="C176" s="96"/>
      <c r="D176" s="97" t="s">
        <v>861</v>
      </c>
      <c r="E176" s="96" t="s">
        <v>17</v>
      </c>
      <c r="F176" s="98"/>
      <c r="G176" s="99" t="s">
        <v>862</v>
      </c>
      <c r="H176" s="100" t="s">
        <v>41</v>
      </c>
      <c r="I176" s="101" t="s">
        <v>454</v>
      </c>
      <c r="J176" s="87"/>
      <c r="K176" s="87"/>
      <c r="L176" s="87"/>
      <c r="M176" s="87"/>
      <c r="N176" s="87"/>
      <c r="O176" s="87"/>
      <c r="P176" s="87"/>
      <c r="Q176" s="87"/>
      <c r="R176" s="87"/>
      <c r="S176" s="87"/>
      <c r="T176" s="87"/>
      <c r="U176" s="87"/>
      <c r="V176" s="87"/>
      <c r="W176" s="102"/>
      <c r="X176" s="102"/>
      <c r="Y176" s="103"/>
      <c r="Z176" s="104" t="s">
        <v>863</v>
      </c>
      <c r="AA176" s="99"/>
      <c r="AB176" s="99"/>
      <c r="AC176" s="99"/>
      <c r="AD176" s="99"/>
      <c r="AE176" s="99"/>
      <c r="AF176" s="105"/>
      <c r="AG176" s="106"/>
      <c r="AH176" s="99"/>
      <c r="AI176" s="112">
        <v>3</v>
      </c>
      <c r="AJ176" s="116"/>
      <c r="AM176" s="57"/>
    </row>
    <row r="177" spans="1:39" s="56" customFormat="1" ht="100.8">
      <c r="A177" s="96" t="s">
        <v>446</v>
      </c>
      <c r="B177" s="96"/>
      <c r="C177" s="80"/>
      <c r="D177" s="81" t="s">
        <v>864</v>
      </c>
      <c r="E177" s="82"/>
      <c r="F177" s="83"/>
      <c r="G177" s="84" t="s">
        <v>865</v>
      </c>
      <c r="H177" s="85" t="s">
        <v>41</v>
      </c>
      <c r="I177" s="86"/>
      <c r="J177" s="87"/>
      <c r="K177" s="87"/>
      <c r="L177" s="87"/>
      <c r="M177" s="87"/>
      <c r="N177" s="87"/>
      <c r="O177" s="87"/>
      <c r="P177" s="87"/>
      <c r="Q177" s="87"/>
      <c r="R177" s="87"/>
      <c r="S177" s="87"/>
      <c r="T177" s="87"/>
      <c r="U177" s="87"/>
      <c r="V177" s="87"/>
      <c r="W177" s="88"/>
      <c r="X177" s="88"/>
      <c r="Y177" s="89"/>
      <c r="Z177" s="90"/>
      <c r="AA177" s="91"/>
      <c r="AB177" s="91"/>
      <c r="AC177" s="91"/>
      <c r="AD177" s="91"/>
      <c r="AE177" s="91"/>
      <c r="AF177" s="84"/>
      <c r="AG177" s="92"/>
      <c r="AH177" s="91"/>
      <c r="AI177" s="113"/>
      <c r="AJ177" s="114"/>
      <c r="AK177" s="85"/>
      <c r="AL177" s="85"/>
      <c r="AM177" s="57"/>
    </row>
    <row r="178" spans="1:39" s="56" customFormat="1" ht="34.5" customHeight="1">
      <c r="A178" s="96" t="s">
        <v>446</v>
      </c>
      <c r="B178" s="54" t="s">
        <v>614</v>
      </c>
      <c r="C178" s="96"/>
      <c r="D178" s="97" t="s">
        <v>866</v>
      </c>
      <c r="E178" s="96" t="s">
        <v>11</v>
      </c>
      <c r="F178" s="98"/>
      <c r="G178" s="99" t="s">
        <v>867</v>
      </c>
      <c r="H178" s="100" t="s">
        <v>41</v>
      </c>
      <c r="I178" s="101" t="s">
        <v>481</v>
      </c>
      <c r="J178" s="87"/>
      <c r="K178" s="87"/>
      <c r="L178" s="87"/>
      <c r="M178" s="87"/>
      <c r="N178" s="87"/>
      <c r="O178" s="87"/>
      <c r="P178" s="87"/>
      <c r="Q178" s="87"/>
      <c r="R178" s="87"/>
      <c r="S178" s="87"/>
      <c r="T178" s="87"/>
      <c r="U178" s="87"/>
      <c r="V178" s="87"/>
      <c r="W178" s="102"/>
      <c r="X178" s="102"/>
      <c r="Y178" s="103"/>
      <c r="Z178" s="104" t="s">
        <v>504</v>
      </c>
      <c r="AA178" s="99"/>
      <c r="AB178" s="99"/>
      <c r="AC178" s="99"/>
      <c r="AD178" s="99"/>
      <c r="AE178" s="99"/>
      <c r="AF178" s="105"/>
      <c r="AG178" s="106"/>
      <c r="AH178" s="99"/>
      <c r="AI178" s="112" t="s">
        <v>465</v>
      </c>
      <c r="AJ178" s="116"/>
      <c r="AM178" s="57"/>
    </row>
    <row r="179" spans="1:39" s="56" customFormat="1">
      <c r="A179" s="96" t="s">
        <v>446</v>
      </c>
      <c r="B179" s="54" t="s">
        <v>614</v>
      </c>
      <c r="C179" s="96"/>
      <c r="D179" s="97" t="s">
        <v>868</v>
      </c>
      <c r="E179" s="96" t="s">
        <v>11</v>
      </c>
      <c r="F179" s="98"/>
      <c r="G179" s="99" t="s">
        <v>869</v>
      </c>
      <c r="H179" s="100" t="s">
        <v>41</v>
      </c>
      <c r="I179" s="101" t="s">
        <v>481</v>
      </c>
      <c r="J179" s="87"/>
      <c r="K179" s="87"/>
      <c r="L179" s="87"/>
      <c r="M179" s="87"/>
      <c r="N179" s="87"/>
      <c r="O179" s="87"/>
      <c r="P179" s="87"/>
      <c r="Q179" s="87"/>
      <c r="R179" s="87"/>
      <c r="S179" s="87"/>
      <c r="T179" s="87"/>
      <c r="U179" s="87"/>
      <c r="V179" s="87"/>
      <c r="W179" s="102"/>
      <c r="X179" s="102"/>
      <c r="Y179" s="103"/>
      <c r="Z179" s="104" t="s">
        <v>504</v>
      </c>
      <c r="AA179" s="99"/>
      <c r="AB179" s="99"/>
      <c r="AC179" s="99"/>
      <c r="AD179" s="99"/>
      <c r="AE179" s="99"/>
      <c r="AF179" s="105"/>
      <c r="AG179" s="106"/>
      <c r="AH179" s="99"/>
      <c r="AI179" s="112" t="s">
        <v>465</v>
      </c>
      <c r="AJ179" s="114"/>
      <c r="AK179" s="85"/>
      <c r="AL179" s="85"/>
      <c r="AM179" s="57"/>
    </row>
    <row r="180" spans="1:39" s="56" customFormat="1">
      <c r="A180" s="96" t="s">
        <v>446</v>
      </c>
      <c r="B180" s="54" t="s">
        <v>614</v>
      </c>
      <c r="C180" s="96"/>
      <c r="D180" s="97" t="s">
        <v>870</v>
      </c>
      <c r="E180" s="96" t="s">
        <v>11</v>
      </c>
      <c r="F180" s="98"/>
      <c r="G180" s="99" t="s">
        <v>871</v>
      </c>
      <c r="H180" s="100" t="s">
        <v>41</v>
      </c>
      <c r="I180" s="101" t="s">
        <v>481</v>
      </c>
      <c r="J180" s="87"/>
      <c r="K180" s="87"/>
      <c r="L180" s="87"/>
      <c r="M180" s="87"/>
      <c r="N180" s="87"/>
      <c r="O180" s="87"/>
      <c r="P180" s="87"/>
      <c r="Q180" s="87"/>
      <c r="R180" s="87"/>
      <c r="S180" s="87"/>
      <c r="T180" s="87"/>
      <c r="U180" s="87"/>
      <c r="V180" s="87"/>
      <c r="W180" s="102"/>
      <c r="X180" s="102"/>
      <c r="Y180" s="103"/>
      <c r="Z180" s="104" t="s">
        <v>504</v>
      </c>
      <c r="AA180" s="99"/>
      <c r="AB180" s="99"/>
      <c r="AC180" s="99"/>
      <c r="AD180" s="99"/>
      <c r="AE180" s="99"/>
      <c r="AF180" s="105"/>
      <c r="AG180" s="106"/>
      <c r="AH180" s="99"/>
      <c r="AI180" s="112" t="s">
        <v>465</v>
      </c>
      <c r="AJ180" s="116"/>
      <c r="AM180" s="57"/>
    </row>
    <row r="181" spans="1:39" s="56" customFormat="1" ht="50.25" customHeight="1">
      <c r="A181" s="96" t="s">
        <v>446</v>
      </c>
      <c r="B181" s="54" t="s">
        <v>872</v>
      </c>
      <c r="C181" s="96"/>
      <c r="D181" s="97" t="s">
        <v>89</v>
      </c>
      <c r="E181" s="96" t="s">
        <v>17</v>
      </c>
      <c r="F181" s="98"/>
      <c r="G181" s="109" t="s">
        <v>90</v>
      </c>
      <c r="H181" s="100"/>
      <c r="I181" s="101" t="s">
        <v>14</v>
      </c>
      <c r="J181" s="87"/>
      <c r="K181" s="87"/>
      <c r="L181" s="87"/>
      <c r="M181" s="87"/>
      <c r="N181" s="87"/>
      <c r="O181" s="87"/>
      <c r="P181" s="87"/>
      <c r="Q181" s="87"/>
      <c r="R181" s="87"/>
      <c r="S181" s="87"/>
      <c r="T181" s="87"/>
      <c r="U181" s="87"/>
      <c r="V181" s="87"/>
      <c r="W181" s="102"/>
      <c r="X181" s="102"/>
      <c r="Y181" s="103"/>
      <c r="Z181" s="104" t="s">
        <v>873</v>
      </c>
      <c r="AA181" s="99"/>
      <c r="AB181" s="99"/>
      <c r="AC181" s="99"/>
      <c r="AD181" s="99"/>
      <c r="AE181" s="99"/>
      <c r="AF181" s="105"/>
      <c r="AG181" s="106"/>
      <c r="AH181" s="99"/>
      <c r="AI181" s="112"/>
      <c r="AJ181" s="116"/>
      <c r="AM181" s="57"/>
    </row>
    <row r="182" spans="1:39" s="56" customFormat="1" ht="36.75" customHeight="1">
      <c r="A182" s="96" t="s">
        <v>446</v>
      </c>
      <c r="B182" s="96"/>
      <c r="C182" s="80"/>
      <c r="D182" s="81" t="s">
        <v>874</v>
      </c>
      <c r="E182" s="82"/>
      <c r="F182" s="83"/>
      <c r="G182" s="84" t="s">
        <v>875</v>
      </c>
      <c r="H182" s="85" t="s">
        <v>41</v>
      </c>
      <c r="I182" s="86"/>
      <c r="J182" s="87"/>
      <c r="K182" s="87"/>
      <c r="L182" s="87"/>
      <c r="M182" s="87"/>
      <c r="N182" s="87"/>
      <c r="O182" s="87"/>
      <c r="P182" s="87"/>
      <c r="Q182" s="87"/>
      <c r="R182" s="87"/>
      <c r="S182" s="87"/>
      <c r="T182" s="87"/>
      <c r="U182" s="87"/>
      <c r="V182" s="87"/>
      <c r="W182" s="88"/>
      <c r="X182" s="88"/>
      <c r="Y182" s="89"/>
      <c r="Z182" s="90"/>
      <c r="AA182" s="91"/>
      <c r="AB182" s="91"/>
      <c r="AC182" s="91"/>
      <c r="AD182" s="91"/>
      <c r="AE182" s="91"/>
      <c r="AF182" s="84"/>
      <c r="AG182" s="92"/>
      <c r="AH182" s="91"/>
      <c r="AI182" s="113"/>
      <c r="AJ182" s="108"/>
      <c r="AK182" s="100"/>
      <c r="AL182" s="100"/>
      <c r="AM182" s="57"/>
    </row>
    <row r="183" spans="1:39" s="56" customFormat="1" ht="34.5" customHeight="1">
      <c r="A183" s="96" t="s">
        <v>446</v>
      </c>
      <c r="B183" s="54" t="s">
        <v>614</v>
      </c>
      <c r="C183" s="96"/>
      <c r="D183" s="97" t="s">
        <v>876</v>
      </c>
      <c r="E183" s="96" t="s">
        <v>11</v>
      </c>
      <c r="F183" s="98"/>
      <c r="G183" s="99" t="s">
        <v>877</v>
      </c>
      <c r="H183" s="100" t="s">
        <v>41</v>
      </c>
      <c r="I183" s="101" t="s">
        <v>481</v>
      </c>
      <c r="J183" s="87"/>
      <c r="K183" s="87"/>
      <c r="L183" s="87"/>
      <c r="M183" s="87"/>
      <c r="N183" s="87"/>
      <c r="O183" s="87"/>
      <c r="P183" s="87"/>
      <c r="Q183" s="87"/>
      <c r="R183" s="87"/>
      <c r="S183" s="87"/>
      <c r="T183" s="87"/>
      <c r="U183" s="87"/>
      <c r="V183" s="87"/>
      <c r="W183" s="102"/>
      <c r="X183" s="102"/>
      <c r="Y183" s="103"/>
      <c r="Z183" s="104" t="s">
        <v>504</v>
      </c>
      <c r="AA183" s="99"/>
      <c r="AB183" s="99"/>
      <c r="AC183" s="99"/>
      <c r="AD183" s="99"/>
      <c r="AE183" s="99"/>
      <c r="AF183" s="105"/>
      <c r="AG183" s="106"/>
      <c r="AH183" s="99"/>
      <c r="AI183" s="112" t="s">
        <v>465</v>
      </c>
      <c r="AJ183" s="116"/>
      <c r="AM183" s="57"/>
    </row>
    <row r="184" spans="1:39" s="56" customFormat="1" ht="28.8">
      <c r="A184" s="96" t="s">
        <v>446</v>
      </c>
      <c r="B184" s="96"/>
      <c r="C184" s="80"/>
      <c r="D184" s="81" t="s">
        <v>878</v>
      </c>
      <c r="E184" s="82"/>
      <c r="F184" s="83"/>
      <c r="G184" s="84" t="s">
        <v>879</v>
      </c>
      <c r="H184" s="85" t="s">
        <v>41</v>
      </c>
      <c r="I184" s="86"/>
      <c r="J184" s="87"/>
      <c r="K184" s="87"/>
      <c r="L184" s="87"/>
      <c r="M184" s="87"/>
      <c r="N184" s="87"/>
      <c r="O184" s="87"/>
      <c r="P184" s="87"/>
      <c r="Q184" s="87"/>
      <c r="R184" s="87"/>
      <c r="S184" s="87"/>
      <c r="T184" s="87"/>
      <c r="U184" s="87"/>
      <c r="V184" s="87"/>
      <c r="W184" s="88"/>
      <c r="X184" s="88"/>
      <c r="Y184" s="89"/>
      <c r="Z184" s="90"/>
      <c r="AA184" s="91"/>
      <c r="AB184" s="91"/>
      <c r="AC184" s="91"/>
      <c r="AD184" s="91"/>
      <c r="AE184" s="91"/>
      <c r="AF184" s="84"/>
      <c r="AG184" s="92"/>
      <c r="AH184" s="91"/>
      <c r="AI184" s="113"/>
      <c r="AJ184" s="108"/>
      <c r="AK184" s="100"/>
      <c r="AL184" s="100"/>
      <c r="AM184" s="57"/>
    </row>
    <row r="185" spans="1:39" s="56" customFormat="1" ht="58.35" customHeight="1">
      <c r="A185" s="96" t="s">
        <v>446</v>
      </c>
      <c r="B185" s="54" t="s">
        <v>614</v>
      </c>
      <c r="C185" s="96"/>
      <c r="D185" s="97" t="s">
        <v>880</v>
      </c>
      <c r="E185" s="96" t="s">
        <v>11</v>
      </c>
      <c r="F185" s="98"/>
      <c r="G185" s="99" t="s">
        <v>881</v>
      </c>
      <c r="H185" s="100" t="s">
        <v>41</v>
      </c>
      <c r="I185" s="101" t="s">
        <v>454</v>
      </c>
      <c r="J185" s="87"/>
      <c r="K185" s="87"/>
      <c r="L185" s="87"/>
      <c r="M185" s="87"/>
      <c r="N185" s="87"/>
      <c r="O185" s="87"/>
      <c r="P185" s="87"/>
      <c r="Q185" s="87"/>
      <c r="R185" s="87"/>
      <c r="S185" s="87"/>
      <c r="T185" s="87"/>
      <c r="U185" s="87"/>
      <c r="V185" s="87"/>
      <c r="W185" s="102"/>
      <c r="X185" s="102"/>
      <c r="Y185" s="103"/>
      <c r="Z185" s="104" t="s">
        <v>882</v>
      </c>
      <c r="AA185" s="99"/>
      <c r="AB185" s="99"/>
      <c r="AC185" s="99"/>
      <c r="AD185" s="99"/>
      <c r="AE185" s="99"/>
      <c r="AF185" s="105"/>
      <c r="AG185" s="106"/>
      <c r="AH185" s="99"/>
      <c r="AI185" s="112" t="s">
        <v>465</v>
      </c>
      <c r="AJ185" s="116"/>
      <c r="AM185" s="57"/>
    </row>
    <row r="186" spans="1:39" s="56" customFormat="1">
      <c r="A186" s="96" t="s">
        <v>446</v>
      </c>
      <c r="B186" s="96"/>
      <c r="C186" s="80"/>
      <c r="D186" s="81" t="s">
        <v>883</v>
      </c>
      <c r="E186" s="82"/>
      <c r="F186" s="83"/>
      <c r="G186" s="84" t="s">
        <v>884</v>
      </c>
      <c r="H186" s="85" t="s">
        <v>41</v>
      </c>
      <c r="I186" s="86"/>
      <c r="J186" s="87"/>
      <c r="K186" s="87"/>
      <c r="L186" s="87"/>
      <c r="M186" s="87"/>
      <c r="N186" s="87"/>
      <c r="O186" s="87"/>
      <c r="P186" s="87"/>
      <c r="Q186" s="87"/>
      <c r="R186" s="87"/>
      <c r="S186" s="87"/>
      <c r="T186" s="87"/>
      <c r="U186" s="87"/>
      <c r="V186" s="87"/>
      <c r="W186" s="88"/>
      <c r="X186" s="88"/>
      <c r="Y186" s="89"/>
      <c r="Z186" s="90"/>
      <c r="AA186" s="91"/>
      <c r="AB186" s="91"/>
      <c r="AC186" s="91"/>
      <c r="AD186" s="91"/>
      <c r="AE186" s="91"/>
      <c r="AF186" s="84"/>
      <c r="AG186" s="92"/>
      <c r="AH186" s="91"/>
      <c r="AI186" s="113"/>
      <c r="AJ186" s="108"/>
      <c r="AK186" s="100"/>
      <c r="AL186" s="100"/>
      <c r="AM186" s="57"/>
    </row>
    <row r="187" spans="1:39" s="56" customFormat="1" ht="34.5" customHeight="1">
      <c r="A187" s="96" t="s">
        <v>446</v>
      </c>
      <c r="B187" s="54" t="s">
        <v>614</v>
      </c>
      <c r="C187" s="96"/>
      <c r="D187" s="97" t="s">
        <v>885</v>
      </c>
      <c r="E187" s="96" t="s">
        <v>11</v>
      </c>
      <c r="F187" s="98"/>
      <c r="G187" s="99" t="s">
        <v>886</v>
      </c>
      <c r="H187" s="100" t="s">
        <v>41</v>
      </c>
      <c r="I187" s="101" t="s">
        <v>454</v>
      </c>
      <c r="J187" s="87"/>
      <c r="K187" s="87"/>
      <c r="L187" s="87"/>
      <c r="M187" s="87"/>
      <c r="N187" s="87"/>
      <c r="O187" s="87"/>
      <c r="P187" s="87"/>
      <c r="Q187" s="87"/>
      <c r="R187" s="87"/>
      <c r="S187" s="87"/>
      <c r="T187" s="87"/>
      <c r="U187" s="87"/>
      <c r="V187" s="87"/>
      <c r="W187" s="102"/>
      <c r="X187" s="102"/>
      <c r="Y187" s="103"/>
      <c r="Z187" s="104" t="s">
        <v>882</v>
      </c>
      <c r="AA187" s="99"/>
      <c r="AB187" s="99"/>
      <c r="AC187" s="99"/>
      <c r="AD187" s="99"/>
      <c r="AE187" s="99"/>
      <c r="AF187" s="105"/>
      <c r="AG187" s="106"/>
      <c r="AH187" s="99"/>
      <c r="AI187" s="112" t="s">
        <v>465</v>
      </c>
      <c r="AJ187" s="116"/>
      <c r="AM187" s="57"/>
    </row>
    <row r="188" spans="1:39" s="56" customFormat="1" ht="28.8">
      <c r="A188" s="96" t="s">
        <v>446</v>
      </c>
      <c r="B188" s="96"/>
      <c r="C188" s="80"/>
      <c r="D188" s="81" t="s">
        <v>887</v>
      </c>
      <c r="E188" s="82"/>
      <c r="F188" s="83"/>
      <c r="G188" s="84" t="s">
        <v>888</v>
      </c>
      <c r="H188" s="85" t="s">
        <v>41</v>
      </c>
      <c r="I188" s="86"/>
      <c r="J188" s="87"/>
      <c r="K188" s="87"/>
      <c r="L188" s="87"/>
      <c r="M188" s="87"/>
      <c r="N188" s="87"/>
      <c r="O188" s="87"/>
      <c r="P188" s="87"/>
      <c r="Q188" s="87"/>
      <c r="R188" s="87"/>
      <c r="S188" s="87"/>
      <c r="T188" s="87"/>
      <c r="U188" s="87"/>
      <c r="V188" s="87"/>
      <c r="W188" s="88"/>
      <c r="X188" s="88"/>
      <c r="Y188" s="89"/>
      <c r="Z188" s="90"/>
      <c r="AA188" s="91"/>
      <c r="AB188" s="91"/>
      <c r="AC188" s="91"/>
      <c r="AD188" s="91"/>
      <c r="AE188" s="91"/>
      <c r="AF188" s="84"/>
      <c r="AG188" s="92"/>
      <c r="AH188" s="91"/>
      <c r="AI188" s="113"/>
      <c r="AJ188" s="108"/>
      <c r="AK188" s="100"/>
      <c r="AL188" s="100"/>
      <c r="AM188" s="57"/>
    </row>
    <row r="189" spans="1:39" s="56" customFormat="1" ht="28.8">
      <c r="A189" s="96" t="s">
        <v>446</v>
      </c>
      <c r="B189" s="54" t="s">
        <v>614</v>
      </c>
      <c r="C189" s="96"/>
      <c r="D189" s="97" t="s">
        <v>889</v>
      </c>
      <c r="E189" s="96" t="s">
        <v>11</v>
      </c>
      <c r="F189" s="98"/>
      <c r="G189" s="99" t="s">
        <v>890</v>
      </c>
      <c r="H189" s="100" t="s">
        <v>41</v>
      </c>
      <c r="I189" s="101" t="s">
        <v>481</v>
      </c>
      <c r="J189" s="87"/>
      <c r="K189" s="87"/>
      <c r="L189" s="87"/>
      <c r="M189" s="87"/>
      <c r="N189" s="87"/>
      <c r="O189" s="87"/>
      <c r="P189" s="87"/>
      <c r="Q189" s="87"/>
      <c r="R189" s="87"/>
      <c r="S189" s="87"/>
      <c r="T189" s="87"/>
      <c r="U189" s="87"/>
      <c r="V189" s="87"/>
      <c r="W189" s="102"/>
      <c r="X189" s="102"/>
      <c r="Y189" s="103"/>
      <c r="Z189" s="104" t="s">
        <v>504</v>
      </c>
      <c r="AA189" s="99"/>
      <c r="AB189" s="99"/>
      <c r="AC189" s="99"/>
      <c r="AD189" s="99"/>
      <c r="AE189" s="99"/>
      <c r="AF189" s="105"/>
      <c r="AG189" s="106"/>
      <c r="AH189" s="99"/>
      <c r="AI189" s="112" t="s">
        <v>465</v>
      </c>
      <c r="AJ189" s="116"/>
      <c r="AM189" s="57"/>
    </row>
    <row r="190" spans="1:39" s="56" customFormat="1" ht="34.5" customHeight="1">
      <c r="A190" s="96" t="s">
        <v>446</v>
      </c>
      <c r="B190" s="54"/>
      <c r="C190" s="96"/>
      <c r="D190" s="97" t="s">
        <v>891</v>
      </c>
      <c r="E190" s="97"/>
      <c r="F190" s="120"/>
      <c r="G190" s="121" t="s">
        <v>892</v>
      </c>
      <c r="H190" s="100" t="s">
        <v>758</v>
      </c>
      <c r="I190" s="101" t="s">
        <v>759</v>
      </c>
      <c r="J190" s="87"/>
      <c r="K190" s="87"/>
      <c r="L190" s="87"/>
      <c r="M190" s="87"/>
      <c r="N190" s="87"/>
      <c r="O190" s="87"/>
      <c r="P190" s="87"/>
      <c r="Q190" s="87"/>
      <c r="R190" s="87"/>
      <c r="S190" s="87"/>
      <c r="T190" s="87"/>
      <c r="U190" s="87"/>
      <c r="V190" s="87"/>
      <c r="W190" s="102"/>
      <c r="X190" s="102"/>
      <c r="Y190" s="103"/>
      <c r="Z190" s="104"/>
      <c r="AA190" s="99"/>
      <c r="AB190" s="99"/>
      <c r="AC190" s="99"/>
      <c r="AD190" s="99"/>
      <c r="AE190" s="99"/>
      <c r="AF190" s="105"/>
      <c r="AG190" s="106"/>
      <c r="AH190" s="99"/>
      <c r="AI190" s="112"/>
      <c r="AJ190" s="116"/>
      <c r="AM190" s="57"/>
    </row>
    <row r="191" spans="1:39" s="56" customFormat="1" ht="13.95" customHeight="1">
      <c r="A191" s="96" t="s">
        <v>446</v>
      </c>
      <c r="B191" s="96"/>
      <c r="C191" s="80"/>
      <c r="D191" s="81" t="s">
        <v>893</v>
      </c>
      <c r="E191" s="82"/>
      <c r="F191" s="83"/>
      <c r="G191" s="84" t="s">
        <v>894</v>
      </c>
      <c r="H191" s="85" t="s">
        <v>41</v>
      </c>
      <c r="I191" s="86"/>
      <c r="J191" s="87"/>
      <c r="K191" s="87"/>
      <c r="L191" s="87"/>
      <c r="M191" s="87"/>
      <c r="N191" s="87"/>
      <c r="O191" s="87"/>
      <c r="P191" s="87"/>
      <c r="Q191" s="87"/>
      <c r="R191" s="87"/>
      <c r="S191" s="87"/>
      <c r="T191" s="87"/>
      <c r="U191" s="87"/>
      <c r="V191" s="87"/>
      <c r="W191" s="88"/>
      <c r="X191" s="88"/>
      <c r="Y191" s="89"/>
      <c r="Z191" s="90"/>
      <c r="AA191" s="91"/>
      <c r="AB191" s="91"/>
      <c r="AC191" s="91"/>
      <c r="AD191" s="91"/>
      <c r="AE191" s="91"/>
      <c r="AF191" s="84"/>
      <c r="AG191" s="92"/>
      <c r="AH191" s="91"/>
      <c r="AI191" s="113"/>
      <c r="AJ191" s="108"/>
      <c r="AK191" s="100"/>
      <c r="AL191" s="100"/>
      <c r="AM191" s="57"/>
    </row>
    <row r="192" spans="1:39" s="56" customFormat="1" ht="43.95" customHeight="1">
      <c r="A192" s="96" t="s">
        <v>446</v>
      </c>
      <c r="B192" s="54" t="s">
        <v>450</v>
      </c>
      <c r="C192" s="96"/>
      <c r="D192" s="97" t="s">
        <v>895</v>
      </c>
      <c r="E192" s="96" t="s">
        <v>11</v>
      </c>
      <c r="F192" s="98"/>
      <c r="G192" s="99" t="s">
        <v>896</v>
      </c>
      <c r="H192" s="100"/>
      <c r="I192" s="101" t="s">
        <v>454</v>
      </c>
      <c r="J192" s="87"/>
      <c r="K192" s="87"/>
      <c r="L192" s="87"/>
      <c r="M192" s="87"/>
      <c r="N192" s="87"/>
      <c r="O192" s="87"/>
      <c r="P192" s="87"/>
      <c r="Q192" s="87"/>
      <c r="R192" s="87"/>
      <c r="S192" s="87"/>
      <c r="T192" s="87"/>
      <c r="U192" s="87"/>
      <c r="V192" s="87"/>
      <c r="W192" s="102"/>
      <c r="X192" s="102"/>
      <c r="Y192" s="103"/>
      <c r="Z192" s="104" t="s">
        <v>897</v>
      </c>
      <c r="AA192" s="99"/>
      <c r="AB192" s="99"/>
      <c r="AC192" s="99"/>
      <c r="AD192" s="99"/>
      <c r="AE192" s="99"/>
      <c r="AF192" s="105"/>
      <c r="AG192" s="106"/>
      <c r="AH192" s="99"/>
      <c r="AI192" s="107">
        <v>1</v>
      </c>
      <c r="AJ192" s="116"/>
      <c r="AM192" s="57"/>
    </row>
    <row r="193" spans="1:39" s="56" customFormat="1" ht="60.75" customHeight="1">
      <c r="A193" s="96" t="s">
        <v>446</v>
      </c>
      <c r="B193" s="96"/>
      <c r="C193" s="80"/>
      <c r="D193" s="81" t="s">
        <v>898</v>
      </c>
      <c r="E193" s="82"/>
      <c r="F193" s="83"/>
      <c r="G193" s="84" t="s">
        <v>899</v>
      </c>
      <c r="H193" s="85" t="s">
        <v>41</v>
      </c>
      <c r="I193" s="86"/>
      <c r="J193" s="87"/>
      <c r="K193" s="87"/>
      <c r="L193" s="87"/>
      <c r="M193" s="87"/>
      <c r="N193" s="87"/>
      <c r="O193" s="87"/>
      <c r="P193" s="87"/>
      <c r="Q193" s="87"/>
      <c r="R193" s="87"/>
      <c r="S193" s="87"/>
      <c r="T193" s="87"/>
      <c r="U193" s="87"/>
      <c r="V193" s="87"/>
      <c r="W193" s="88"/>
      <c r="X193" s="88"/>
      <c r="Y193" s="89"/>
      <c r="Z193" s="90"/>
      <c r="AA193" s="91"/>
      <c r="AB193" s="91"/>
      <c r="AC193" s="91"/>
      <c r="AD193" s="91"/>
      <c r="AE193" s="91"/>
      <c r="AF193" s="84"/>
      <c r="AG193" s="92"/>
      <c r="AH193" s="91"/>
      <c r="AI193" s="93"/>
      <c r="AJ193" s="94"/>
      <c r="AK193" s="95"/>
      <c r="AL193" s="95"/>
      <c r="AM193" s="57"/>
    </row>
    <row r="194" spans="1:39" s="56" customFormat="1" ht="13.95" customHeight="1">
      <c r="A194" s="96" t="s">
        <v>446</v>
      </c>
      <c r="B194" s="54" t="s">
        <v>614</v>
      </c>
      <c r="C194" s="96"/>
      <c r="D194" s="97" t="s">
        <v>900</v>
      </c>
      <c r="E194" s="96" t="s">
        <v>11</v>
      </c>
      <c r="F194" s="98"/>
      <c r="G194" s="99" t="s">
        <v>901</v>
      </c>
      <c r="H194" s="100" t="s">
        <v>41</v>
      </c>
      <c r="I194" s="101" t="s">
        <v>454</v>
      </c>
      <c r="J194" s="87"/>
      <c r="K194" s="87"/>
      <c r="L194" s="87"/>
      <c r="M194" s="87"/>
      <c r="N194" s="87"/>
      <c r="O194" s="87"/>
      <c r="P194" s="87"/>
      <c r="Q194" s="87"/>
      <c r="R194" s="87"/>
      <c r="S194" s="87"/>
      <c r="T194" s="87"/>
      <c r="U194" s="87"/>
      <c r="V194" s="87"/>
      <c r="W194" s="102"/>
      <c r="X194" s="102"/>
      <c r="Y194" s="103"/>
      <c r="Z194" s="104" t="s">
        <v>902</v>
      </c>
      <c r="AA194" s="99"/>
      <c r="AB194" s="99"/>
      <c r="AC194" s="99"/>
      <c r="AD194" s="99"/>
      <c r="AE194" s="99"/>
      <c r="AF194" s="105"/>
      <c r="AG194" s="106"/>
      <c r="AH194" s="99"/>
      <c r="AI194" s="107" t="s">
        <v>465</v>
      </c>
      <c r="AJ194" s="108"/>
      <c r="AK194" s="100"/>
      <c r="AL194" s="100"/>
      <c r="AM194" s="57"/>
    </row>
    <row r="195" spans="1:39" s="56" customFormat="1" ht="34.5" customHeight="1">
      <c r="A195" s="96" t="s">
        <v>446</v>
      </c>
      <c r="B195" s="96"/>
      <c r="C195" s="80"/>
      <c r="D195" s="81" t="s">
        <v>903</v>
      </c>
      <c r="E195" s="82"/>
      <c r="F195" s="83"/>
      <c r="G195" s="84" t="s">
        <v>904</v>
      </c>
      <c r="H195" s="85" t="s">
        <v>41</v>
      </c>
      <c r="I195" s="86"/>
      <c r="J195" s="87"/>
      <c r="K195" s="87"/>
      <c r="L195" s="87"/>
      <c r="M195" s="87"/>
      <c r="N195" s="87"/>
      <c r="O195" s="87"/>
      <c r="P195" s="87"/>
      <c r="Q195" s="87"/>
      <c r="R195" s="87"/>
      <c r="S195" s="87"/>
      <c r="T195" s="87"/>
      <c r="U195" s="87"/>
      <c r="V195" s="87"/>
      <c r="W195" s="88"/>
      <c r="X195" s="88"/>
      <c r="Y195" s="89"/>
      <c r="Z195" s="90"/>
      <c r="AA195" s="91"/>
      <c r="AB195" s="91"/>
      <c r="AC195" s="91"/>
      <c r="AD195" s="91"/>
      <c r="AE195" s="91"/>
      <c r="AF195" s="84"/>
      <c r="AG195" s="92"/>
      <c r="AH195" s="91"/>
      <c r="AI195" s="93"/>
      <c r="AJ195" s="116"/>
      <c r="AM195" s="57"/>
    </row>
    <row r="196" spans="1:39" s="56" customFormat="1" ht="45.6" customHeight="1">
      <c r="A196" s="96" t="s">
        <v>446</v>
      </c>
      <c r="B196" s="54" t="s">
        <v>614</v>
      </c>
      <c r="C196" s="96"/>
      <c r="D196" s="97" t="s">
        <v>905</v>
      </c>
      <c r="E196" s="96" t="s">
        <v>11</v>
      </c>
      <c r="F196" s="98"/>
      <c r="G196" s="99" t="s">
        <v>906</v>
      </c>
      <c r="H196" s="100" t="s">
        <v>41</v>
      </c>
      <c r="I196" s="101" t="s">
        <v>454</v>
      </c>
      <c r="J196" s="87"/>
      <c r="K196" s="87"/>
      <c r="L196" s="87"/>
      <c r="M196" s="87"/>
      <c r="N196" s="87"/>
      <c r="O196" s="87"/>
      <c r="P196" s="87"/>
      <c r="Q196" s="87"/>
      <c r="R196" s="87"/>
      <c r="S196" s="87"/>
      <c r="T196" s="87"/>
      <c r="U196" s="87"/>
      <c r="V196" s="87"/>
      <c r="W196" s="102"/>
      <c r="X196" s="102"/>
      <c r="Y196" s="103"/>
      <c r="Z196" s="104" t="s">
        <v>844</v>
      </c>
      <c r="AA196" s="99"/>
      <c r="AB196" s="99"/>
      <c r="AC196" s="99"/>
      <c r="AD196" s="99"/>
      <c r="AE196" s="99"/>
      <c r="AF196" s="105"/>
      <c r="AG196" s="106"/>
      <c r="AH196" s="99"/>
      <c r="AI196" s="107" t="s">
        <v>465</v>
      </c>
      <c r="AJ196" s="108"/>
      <c r="AK196" s="100"/>
      <c r="AL196" s="100"/>
      <c r="AM196" s="57"/>
    </row>
    <row r="197" spans="1:39" s="56" customFormat="1" ht="34.5" customHeight="1">
      <c r="A197" s="96" t="s">
        <v>446</v>
      </c>
      <c r="B197" s="96"/>
      <c r="C197" s="80"/>
      <c r="D197" s="81" t="s">
        <v>907</v>
      </c>
      <c r="E197" s="82"/>
      <c r="F197" s="83"/>
      <c r="G197" s="84" t="s">
        <v>908</v>
      </c>
      <c r="H197" s="85" t="s">
        <v>41</v>
      </c>
      <c r="I197" s="86"/>
      <c r="J197" s="87"/>
      <c r="K197" s="87"/>
      <c r="L197" s="87"/>
      <c r="M197" s="87"/>
      <c r="N197" s="87"/>
      <c r="O197" s="87"/>
      <c r="P197" s="87"/>
      <c r="Q197" s="87"/>
      <c r="R197" s="87"/>
      <c r="S197" s="87"/>
      <c r="T197" s="87"/>
      <c r="U197" s="87"/>
      <c r="V197" s="87"/>
      <c r="W197" s="88"/>
      <c r="X197" s="88"/>
      <c r="Y197" s="89"/>
      <c r="Z197" s="90"/>
      <c r="AA197" s="91"/>
      <c r="AB197" s="91"/>
      <c r="AC197" s="91"/>
      <c r="AD197" s="91"/>
      <c r="AE197" s="91"/>
      <c r="AF197" s="84"/>
      <c r="AG197" s="92"/>
      <c r="AH197" s="91"/>
      <c r="AI197" s="93"/>
      <c r="AJ197" s="116"/>
      <c r="AM197" s="57"/>
    </row>
    <row r="198" spans="1:39" s="56" customFormat="1" ht="27.6" customHeight="1">
      <c r="A198" s="96" t="s">
        <v>446</v>
      </c>
      <c r="B198" s="54" t="s">
        <v>614</v>
      </c>
      <c r="C198" s="96"/>
      <c r="D198" s="97" t="s">
        <v>909</v>
      </c>
      <c r="E198" s="96" t="s">
        <v>11</v>
      </c>
      <c r="F198" s="98"/>
      <c r="G198" s="99" t="s">
        <v>910</v>
      </c>
      <c r="H198" s="100" t="s">
        <v>41</v>
      </c>
      <c r="I198" s="101" t="s">
        <v>454</v>
      </c>
      <c r="J198" s="87"/>
      <c r="K198" s="87"/>
      <c r="L198" s="87"/>
      <c r="M198" s="87"/>
      <c r="N198" s="87"/>
      <c r="O198" s="87"/>
      <c r="P198" s="87"/>
      <c r="Q198" s="87"/>
      <c r="R198" s="87"/>
      <c r="S198" s="87"/>
      <c r="T198" s="87"/>
      <c r="U198" s="87"/>
      <c r="V198" s="87"/>
      <c r="W198" s="102"/>
      <c r="X198" s="102"/>
      <c r="Y198" s="103"/>
      <c r="Z198" s="104" t="s">
        <v>844</v>
      </c>
      <c r="AA198" s="99"/>
      <c r="AB198" s="99"/>
      <c r="AC198" s="99"/>
      <c r="AD198" s="99"/>
      <c r="AE198" s="99"/>
      <c r="AF198" s="105"/>
      <c r="AG198" s="106"/>
      <c r="AH198" s="99"/>
      <c r="AI198" s="107" t="s">
        <v>465</v>
      </c>
      <c r="AJ198" s="108"/>
      <c r="AK198" s="100"/>
      <c r="AL198" s="100"/>
      <c r="AM198" s="57"/>
    </row>
    <row r="199" spans="1:39" s="56" customFormat="1" ht="27.6" customHeight="1">
      <c r="A199" s="96" t="s">
        <v>446</v>
      </c>
      <c r="B199" s="54" t="s">
        <v>614</v>
      </c>
      <c r="C199" s="96"/>
      <c r="D199" s="97" t="s">
        <v>911</v>
      </c>
      <c r="E199" s="96" t="s">
        <v>11</v>
      </c>
      <c r="F199" s="98"/>
      <c r="G199" s="99" t="s">
        <v>912</v>
      </c>
      <c r="H199" s="100" t="s">
        <v>41</v>
      </c>
      <c r="I199" s="101" t="s">
        <v>481</v>
      </c>
      <c r="J199" s="87"/>
      <c r="K199" s="87"/>
      <c r="L199" s="87"/>
      <c r="M199" s="87"/>
      <c r="N199" s="87"/>
      <c r="O199" s="87"/>
      <c r="P199" s="87"/>
      <c r="Q199" s="87"/>
      <c r="R199" s="87"/>
      <c r="S199" s="87"/>
      <c r="T199" s="87"/>
      <c r="U199" s="87"/>
      <c r="V199" s="87"/>
      <c r="W199" s="102"/>
      <c r="X199" s="102"/>
      <c r="Y199" s="103"/>
      <c r="Z199" s="104"/>
      <c r="AA199" s="99"/>
      <c r="AB199" s="99"/>
      <c r="AC199" s="99"/>
      <c r="AD199" s="99"/>
      <c r="AE199" s="99"/>
      <c r="AF199" s="105"/>
      <c r="AG199" s="106"/>
      <c r="AH199" s="99"/>
      <c r="AI199" s="107" t="s">
        <v>465</v>
      </c>
      <c r="AJ199" s="116"/>
      <c r="AM199" s="57"/>
    </row>
    <row r="200" spans="1:39" s="56" customFormat="1" ht="85.95" customHeight="1">
      <c r="A200" s="96" t="s">
        <v>446</v>
      </c>
      <c r="B200" s="96"/>
      <c r="C200" s="80"/>
      <c r="D200" s="81" t="s">
        <v>913</v>
      </c>
      <c r="E200" s="82"/>
      <c r="F200" s="83" t="s">
        <v>914</v>
      </c>
      <c r="G200" s="84" t="s">
        <v>915</v>
      </c>
      <c r="H200" s="85" t="s">
        <v>41</v>
      </c>
      <c r="I200" s="86"/>
      <c r="J200" s="87"/>
      <c r="K200" s="87"/>
      <c r="L200" s="87"/>
      <c r="M200" s="87"/>
      <c r="N200" s="87"/>
      <c r="O200" s="87"/>
      <c r="P200" s="87"/>
      <c r="Q200" s="87"/>
      <c r="R200" s="87"/>
      <c r="S200" s="87"/>
      <c r="T200" s="87"/>
      <c r="U200" s="87"/>
      <c r="V200" s="87"/>
      <c r="W200" s="88"/>
      <c r="X200" s="88"/>
      <c r="Y200" s="89"/>
      <c r="Z200" s="90"/>
      <c r="AA200" s="91"/>
      <c r="AB200" s="91"/>
      <c r="AC200" s="91"/>
      <c r="AD200" s="91"/>
      <c r="AE200" s="91"/>
      <c r="AF200" s="84"/>
      <c r="AG200" s="92"/>
      <c r="AH200" s="91"/>
      <c r="AI200" s="93"/>
      <c r="AJ200" s="116"/>
      <c r="AM200" s="57"/>
    </row>
    <row r="201" spans="1:39" s="56" customFormat="1" ht="19.95" customHeight="1">
      <c r="A201" s="96" t="s">
        <v>446</v>
      </c>
      <c r="B201" s="54" t="s">
        <v>450</v>
      </c>
      <c r="C201" s="96"/>
      <c r="D201" s="97" t="s">
        <v>916</v>
      </c>
      <c r="E201" s="96" t="s">
        <v>11</v>
      </c>
      <c r="F201" s="98"/>
      <c r="G201" s="109" t="s">
        <v>917</v>
      </c>
      <c r="H201" s="100"/>
      <c r="I201" s="101" t="s">
        <v>454</v>
      </c>
      <c r="J201" s="87"/>
      <c r="K201" s="87"/>
      <c r="L201" s="87"/>
      <c r="M201" s="87"/>
      <c r="N201" s="87"/>
      <c r="O201" s="87"/>
      <c r="P201" s="87"/>
      <c r="Q201" s="87"/>
      <c r="R201" s="87"/>
      <c r="S201" s="87"/>
      <c r="T201" s="87"/>
      <c r="U201" s="87"/>
      <c r="V201" s="87"/>
      <c r="W201" s="102"/>
      <c r="X201" s="102"/>
      <c r="Y201" s="103"/>
      <c r="Z201" s="104" t="s">
        <v>918</v>
      </c>
      <c r="AA201" s="99"/>
      <c r="AB201" s="99"/>
      <c r="AC201" s="99"/>
      <c r="AD201" s="99"/>
      <c r="AE201" s="99"/>
      <c r="AF201" s="105"/>
      <c r="AG201" s="106"/>
      <c r="AH201" s="99"/>
      <c r="AI201" s="107">
        <v>3</v>
      </c>
      <c r="AJ201" s="114"/>
      <c r="AK201" s="85"/>
      <c r="AL201" s="85"/>
      <c r="AM201" s="57"/>
    </row>
    <row r="202" spans="1:39" s="56" customFormat="1" ht="27.6" customHeight="1">
      <c r="A202" s="96" t="s">
        <v>446</v>
      </c>
      <c r="B202" s="54" t="s">
        <v>450</v>
      </c>
      <c r="C202" s="96"/>
      <c r="D202" s="97" t="s">
        <v>919</v>
      </c>
      <c r="E202" s="96" t="s">
        <v>11</v>
      </c>
      <c r="F202" s="98"/>
      <c r="G202" s="109" t="s">
        <v>920</v>
      </c>
      <c r="H202" s="100"/>
      <c r="I202" s="101" t="s">
        <v>454</v>
      </c>
      <c r="J202" s="87"/>
      <c r="K202" s="87"/>
      <c r="L202" s="87"/>
      <c r="M202" s="87"/>
      <c r="N202" s="87"/>
      <c r="O202" s="87"/>
      <c r="P202" s="87"/>
      <c r="Q202" s="87"/>
      <c r="R202" s="87"/>
      <c r="S202" s="87"/>
      <c r="T202" s="87"/>
      <c r="U202" s="87"/>
      <c r="V202" s="87"/>
      <c r="W202" s="102"/>
      <c r="X202" s="102"/>
      <c r="Y202" s="103"/>
      <c r="Z202" s="104" t="s">
        <v>921</v>
      </c>
      <c r="AA202" s="99"/>
      <c r="AB202" s="99"/>
      <c r="AC202" s="99"/>
      <c r="AD202" s="99"/>
      <c r="AE202" s="99"/>
      <c r="AF202" s="105"/>
      <c r="AG202" s="106"/>
      <c r="AH202" s="99"/>
      <c r="AI202" s="107">
        <v>3</v>
      </c>
      <c r="AJ202" s="164"/>
      <c r="AK202" s="67"/>
      <c r="AL202" s="67"/>
      <c r="AM202" s="57"/>
    </row>
    <row r="203" spans="1:39" s="56" customFormat="1" ht="31.95" customHeight="1">
      <c r="A203" s="96" t="s">
        <v>446</v>
      </c>
      <c r="B203" s="54" t="s">
        <v>450</v>
      </c>
      <c r="C203" s="96"/>
      <c r="D203" s="97" t="s">
        <v>922</v>
      </c>
      <c r="E203" s="96" t="s">
        <v>11</v>
      </c>
      <c r="F203" s="98"/>
      <c r="G203" s="109" t="s">
        <v>923</v>
      </c>
      <c r="H203" s="100"/>
      <c r="I203" s="101" t="s">
        <v>454</v>
      </c>
      <c r="J203" s="87"/>
      <c r="K203" s="87"/>
      <c r="L203" s="87"/>
      <c r="M203" s="87"/>
      <c r="N203" s="87"/>
      <c r="O203" s="87"/>
      <c r="P203" s="87"/>
      <c r="Q203" s="87"/>
      <c r="R203" s="87"/>
      <c r="S203" s="87"/>
      <c r="T203" s="87"/>
      <c r="U203" s="87"/>
      <c r="V203" s="87"/>
      <c r="W203" s="102"/>
      <c r="X203" s="102"/>
      <c r="Y203" s="103"/>
      <c r="Z203" s="104" t="s">
        <v>921</v>
      </c>
      <c r="AA203" s="99"/>
      <c r="AB203" s="99"/>
      <c r="AC203" s="99"/>
      <c r="AD203" s="99"/>
      <c r="AE203" s="99"/>
      <c r="AF203" s="105"/>
      <c r="AG203" s="106"/>
      <c r="AH203" s="99"/>
      <c r="AI203" s="107">
        <v>3</v>
      </c>
      <c r="AJ203" s="164"/>
      <c r="AK203" s="67"/>
      <c r="AL203" s="67"/>
      <c r="AM203" s="57"/>
    </row>
    <row r="204" spans="1:39" s="56" customFormat="1" ht="13.95" customHeight="1">
      <c r="A204" s="96" t="s">
        <v>446</v>
      </c>
      <c r="B204" s="54" t="s">
        <v>450</v>
      </c>
      <c r="C204" s="96"/>
      <c r="D204" s="97" t="s">
        <v>924</v>
      </c>
      <c r="E204" s="96" t="s">
        <v>11</v>
      </c>
      <c r="F204" s="98"/>
      <c r="G204" s="109" t="s">
        <v>925</v>
      </c>
      <c r="H204" s="100"/>
      <c r="I204" s="101" t="s">
        <v>454</v>
      </c>
      <c r="J204" s="87"/>
      <c r="K204" s="87"/>
      <c r="L204" s="87"/>
      <c r="M204" s="87"/>
      <c r="N204" s="87"/>
      <c r="O204" s="87"/>
      <c r="P204" s="87"/>
      <c r="Q204" s="87"/>
      <c r="R204" s="87"/>
      <c r="S204" s="87"/>
      <c r="T204" s="87"/>
      <c r="U204" s="87"/>
      <c r="V204" s="87"/>
      <c r="W204" s="102"/>
      <c r="X204" s="102"/>
      <c r="Y204" s="103"/>
      <c r="Z204" s="104" t="s">
        <v>921</v>
      </c>
      <c r="AA204" s="99"/>
      <c r="AB204" s="99"/>
      <c r="AC204" s="99"/>
      <c r="AD204" s="99"/>
      <c r="AE204" s="99"/>
      <c r="AF204" s="105"/>
      <c r="AG204" s="106"/>
      <c r="AH204" s="99"/>
      <c r="AI204" s="107">
        <v>3</v>
      </c>
      <c r="AJ204" s="171"/>
      <c r="AK204" s="153"/>
      <c r="AL204" s="153"/>
      <c r="AM204" s="57"/>
    </row>
    <row r="205" spans="1:39" s="56" customFormat="1" ht="27.6" customHeight="1">
      <c r="A205" s="96" t="s">
        <v>446</v>
      </c>
      <c r="B205" s="54" t="s">
        <v>450</v>
      </c>
      <c r="C205" s="96"/>
      <c r="D205" s="97" t="s">
        <v>926</v>
      </c>
      <c r="E205" s="96" t="s">
        <v>11</v>
      </c>
      <c r="F205" s="98"/>
      <c r="G205" s="109" t="s">
        <v>927</v>
      </c>
      <c r="H205" s="100"/>
      <c r="I205" s="101" t="s">
        <v>454</v>
      </c>
      <c r="J205" s="87"/>
      <c r="K205" s="87"/>
      <c r="L205" s="87"/>
      <c r="M205" s="87"/>
      <c r="N205" s="87"/>
      <c r="O205" s="87"/>
      <c r="P205" s="87"/>
      <c r="Q205" s="87"/>
      <c r="R205" s="87"/>
      <c r="S205" s="87"/>
      <c r="T205" s="87"/>
      <c r="U205" s="87"/>
      <c r="V205" s="87"/>
      <c r="W205" s="102"/>
      <c r="X205" s="102"/>
      <c r="Y205" s="103"/>
      <c r="Z205" s="104" t="s">
        <v>921</v>
      </c>
      <c r="AA205" s="99"/>
      <c r="AB205" s="99"/>
      <c r="AC205" s="99"/>
      <c r="AD205" s="99"/>
      <c r="AE205" s="99"/>
      <c r="AF205" s="105"/>
      <c r="AG205" s="106"/>
      <c r="AH205" s="99"/>
      <c r="AI205" s="107">
        <v>2</v>
      </c>
      <c r="AJ205" s="164"/>
      <c r="AK205" s="67"/>
      <c r="AL205" s="67"/>
      <c r="AM205" s="57"/>
    </row>
    <row r="206" spans="1:39" s="56" customFormat="1" ht="27.6" customHeight="1">
      <c r="A206" s="96" t="s">
        <v>446</v>
      </c>
      <c r="B206" s="54" t="s">
        <v>450</v>
      </c>
      <c r="C206" s="96"/>
      <c r="D206" s="97" t="s">
        <v>928</v>
      </c>
      <c r="E206" s="96" t="s">
        <v>11</v>
      </c>
      <c r="F206" s="98"/>
      <c r="G206" s="109" t="s">
        <v>929</v>
      </c>
      <c r="H206" s="100"/>
      <c r="I206" s="101" t="s">
        <v>454</v>
      </c>
      <c r="J206" s="87"/>
      <c r="K206" s="87"/>
      <c r="L206" s="87"/>
      <c r="M206" s="87"/>
      <c r="N206" s="87"/>
      <c r="O206" s="87"/>
      <c r="P206" s="87"/>
      <c r="Q206" s="87"/>
      <c r="R206" s="87"/>
      <c r="S206" s="87"/>
      <c r="T206" s="87"/>
      <c r="U206" s="87"/>
      <c r="V206" s="87"/>
      <c r="W206" s="102"/>
      <c r="X206" s="102"/>
      <c r="Y206" s="103"/>
      <c r="Z206" s="104" t="s">
        <v>921</v>
      </c>
      <c r="AA206" s="99"/>
      <c r="AB206" s="99"/>
      <c r="AC206" s="99"/>
      <c r="AD206" s="99"/>
      <c r="AE206" s="99"/>
      <c r="AF206" s="105"/>
      <c r="AG206" s="106"/>
      <c r="AH206" s="99"/>
      <c r="AI206" s="107">
        <v>2</v>
      </c>
      <c r="AJ206" s="116"/>
      <c r="AM206" s="57"/>
    </row>
    <row r="207" spans="1:39" s="56" customFormat="1" ht="13.95" customHeight="1">
      <c r="A207" s="100" t="s">
        <v>458</v>
      </c>
      <c r="B207" s="54" t="s">
        <v>450</v>
      </c>
      <c r="C207" s="96"/>
      <c r="D207" s="97" t="s">
        <v>930</v>
      </c>
      <c r="E207" s="96" t="s">
        <v>11</v>
      </c>
      <c r="F207" s="98"/>
      <c r="G207" s="109" t="s">
        <v>931</v>
      </c>
      <c r="H207" s="100"/>
      <c r="I207" s="101" t="s">
        <v>454</v>
      </c>
      <c r="J207" s="87"/>
      <c r="K207" s="87"/>
      <c r="L207" s="87"/>
      <c r="M207" s="87"/>
      <c r="N207" s="87"/>
      <c r="O207" s="87"/>
      <c r="P207" s="87"/>
      <c r="Q207" s="87"/>
      <c r="R207" s="87"/>
      <c r="S207" s="87"/>
      <c r="T207" s="87"/>
      <c r="U207" s="87"/>
      <c r="V207" s="87"/>
      <c r="W207" s="102"/>
      <c r="X207" s="102"/>
      <c r="Y207" s="103"/>
      <c r="Z207" s="104" t="s">
        <v>921</v>
      </c>
      <c r="AA207" s="99"/>
      <c r="AB207" s="99"/>
      <c r="AC207" s="99"/>
      <c r="AD207" s="99"/>
      <c r="AE207" s="99"/>
      <c r="AF207" s="105"/>
      <c r="AG207" s="106"/>
      <c r="AH207" s="99"/>
      <c r="AI207" s="107">
        <v>2</v>
      </c>
      <c r="AJ207" s="116"/>
      <c r="AM207" s="57"/>
    </row>
    <row r="208" spans="1:39" s="56" customFormat="1" ht="37.950000000000003" customHeight="1">
      <c r="A208" s="96" t="s">
        <v>446</v>
      </c>
      <c r="B208" s="54" t="s">
        <v>450</v>
      </c>
      <c r="C208" s="96"/>
      <c r="D208" s="97" t="s">
        <v>932</v>
      </c>
      <c r="E208" s="96" t="s">
        <v>11</v>
      </c>
      <c r="F208" s="98"/>
      <c r="G208" s="109" t="s">
        <v>933</v>
      </c>
      <c r="H208" s="100"/>
      <c r="I208" s="101" t="s">
        <v>454</v>
      </c>
      <c r="J208" s="87"/>
      <c r="K208" s="87"/>
      <c r="L208" s="87"/>
      <c r="M208" s="87"/>
      <c r="N208" s="87"/>
      <c r="O208" s="87"/>
      <c r="P208" s="87"/>
      <c r="Q208" s="87"/>
      <c r="R208" s="87"/>
      <c r="S208" s="87"/>
      <c r="T208" s="87"/>
      <c r="U208" s="87"/>
      <c r="V208" s="87"/>
      <c r="W208" s="102"/>
      <c r="X208" s="102"/>
      <c r="Y208" s="103"/>
      <c r="Z208" s="104" t="s">
        <v>921</v>
      </c>
      <c r="AA208" s="99"/>
      <c r="AB208" s="99"/>
      <c r="AC208" s="99"/>
      <c r="AD208" s="99"/>
      <c r="AE208" s="99"/>
      <c r="AF208" s="105"/>
      <c r="AG208" s="106"/>
      <c r="AH208" s="99"/>
      <c r="AI208" s="107">
        <v>2</v>
      </c>
      <c r="AJ208" s="94"/>
      <c r="AK208" s="95"/>
      <c r="AL208" s="119"/>
      <c r="AM208" s="57"/>
    </row>
    <row r="209" spans="1:39" s="56" customFormat="1" ht="28.8">
      <c r="A209" s="100" t="s">
        <v>458</v>
      </c>
      <c r="B209" s="54" t="s">
        <v>450</v>
      </c>
      <c r="C209" s="96"/>
      <c r="D209" s="97" t="s">
        <v>934</v>
      </c>
      <c r="E209" s="96" t="s">
        <v>11</v>
      </c>
      <c r="F209" s="98"/>
      <c r="G209" s="109" t="s">
        <v>935</v>
      </c>
      <c r="H209" s="100"/>
      <c r="I209" s="101" t="s">
        <v>454</v>
      </c>
      <c r="J209" s="87"/>
      <c r="K209" s="87"/>
      <c r="L209" s="87"/>
      <c r="M209" s="87"/>
      <c r="N209" s="87"/>
      <c r="O209" s="87"/>
      <c r="P209" s="87"/>
      <c r="Q209" s="87"/>
      <c r="R209" s="87"/>
      <c r="S209" s="87"/>
      <c r="T209" s="87"/>
      <c r="U209" s="87"/>
      <c r="V209" s="87"/>
      <c r="W209" s="102"/>
      <c r="X209" s="102"/>
      <c r="Y209" s="103"/>
      <c r="Z209" s="104" t="s">
        <v>921</v>
      </c>
      <c r="AA209" s="99"/>
      <c r="AB209" s="99"/>
      <c r="AC209" s="99"/>
      <c r="AD209" s="99"/>
      <c r="AE209" s="99"/>
      <c r="AF209" s="105"/>
      <c r="AG209" s="106"/>
      <c r="AH209" s="99"/>
      <c r="AI209" s="107">
        <v>2</v>
      </c>
      <c r="AJ209" s="172"/>
      <c r="AL209" s="54"/>
      <c r="AM209" s="57"/>
    </row>
    <row r="210" spans="1:39" s="56" customFormat="1" ht="107.1" customHeight="1">
      <c r="A210" s="96" t="s">
        <v>446</v>
      </c>
      <c r="B210" s="54" t="s">
        <v>450</v>
      </c>
      <c r="C210" s="96"/>
      <c r="D210" s="97" t="s">
        <v>936</v>
      </c>
      <c r="E210" s="96" t="s">
        <v>11</v>
      </c>
      <c r="F210" s="98"/>
      <c r="G210" s="109" t="s">
        <v>937</v>
      </c>
      <c r="H210" s="100"/>
      <c r="I210" s="101" t="s">
        <v>454</v>
      </c>
      <c r="J210" s="87"/>
      <c r="K210" s="87"/>
      <c r="L210" s="87"/>
      <c r="M210" s="87"/>
      <c r="N210" s="87"/>
      <c r="O210" s="87"/>
      <c r="P210" s="87"/>
      <c r="Q210" s="87"/>
      <c r="R210" s="87"/>
      <c r="S210" s="87"/>
      <c r="T210" s="87"/>
      <c r="U210" s="87"/>
      <c r="V210" s="87"/>
      <c r="W210" s="102"/>
      <c r="X210" s="102"/>
      <c r="Y210" s="103"/>
      <c r="Z210" s="104" t="s">
        <v>921</v>
      </c>
      <c r="AA210" s="99"/>
      <c r="AB210" s="99"/>
      <c r="AC210" s="99"/>
      <c r="AD210" s="99"/>
      <c r="AE210" s="99"/>
      <c r="AF210" s="105"/>
      <c r="AG210" s="106"/>
      <c r="AH210" s="99"/>
      <c r="AI210" s="107">
        <v>2</v>
      </c>
      <c r="AJ210" s="116"/>
      <c r="AM210" s="57"/>
    </row>
    <row r="211" spans="1:39" s="56" customFormat="1" ht="16.350000000000001" customHeight="1">
      <c r="A211" s="96" t="s">
        <v>446</v>
      </c>
      <c r="B211" s="54" t="s">
        <v>450</v>
      </c>
      <c r="C211" s="96"/>
      <c r="D211" s="97" t="s">
        <v>938</v>
      </c>
      <c r="E211" s="96" t="s">
        <v>11</v>
      </c>
      <c r="F211" s="98"/>
      <c r="G211" s="109" t="s">
        <v>939</v>
      </c>
      <c r="H211" s="100"/>
      <c r="I211" s="101" t="s">
        <v>454</v>
      </c>
      <c r="J211" s="87"/>
      <c r="K211" s="87"/>
      <c r="L211" s="87"/>
      <c r="M211" s="87"/>
      <c r="N211" s="87"/>
      <c r="O211" s="87"/>
      <c r="P211" s="87"/>
      <c r="Q211" s="87"/>
      <c r="R211" s="87"/>
      <c r="S211" s="87"/>
      <c r="T211" s="87"/>
      <c r="U211" s="87"/>
      <c r="V211" s="87"/>
      <c r="W211" s="102"/>
      <c r="X211" s="102"/>
      <c r="Y211" s="103"/>
      <c r="Z211" s="104" t="s">
        <v>921</v>
      </c>
      <c r="AA211" s="99"/>
      <c r="AB211" s="99"/>
      <c r="AC211" s="99"/>
      <c r="AD211" s="99"/>
      <c r="AE211" s="99"/>
      <c r="AF211" s="105"/>
      <c r="AG211" s="106"/>
      <c r="AH211" s="99"/>
      <c r="AI211" s="107">
        <v>2</v>
      </c>
      <c r="AJ211" s="108"/>
      <c r="AK211" s="100"/>
      <c r="AL211" s="100"/>
      <c r="AM211" s="57"/>
    </row>
    <row r="212" spans="1:39" s="56" customFormat="1" ht="13.95" customHeight="1">
      <c r="A212" s="96" t="s">
        <v>446</v>
      </c>
      <c r="B212" s="54" t="s">
        <v>450</v>
      </c>
      <c r="C212" s="96"/>
      <c r="D212" s="97" t="s">
        <v>940</v>
      </c>
      <c r="E212" s="96" t="s">
        <v>11</v>
      </c>
      <c r="F212" s="98"/>
      <c r="G212" s="109" t="s">
        <v>941</v>
      </c>
      <c r="H212" s="100"/>
      <c r="I212" s="101" t="s">
        <v>454</v>
      </c>
      <c r="J212" s="87"/>
      <c r="K212" s="87"/>
      <c r="L212" s="87"/>
      <c r="M212" s="87"/>
      <c r="N212" s="87"/>
      <c r="O212" s="87"/>
      <c r="P212" s="87"/>
      <c r="Q212" s="87"/>
      <c r="R212" s="87"/>
      <c r="S212" s="87"/>
      <c r="T212" s="87"/>
      <c r="U212" s="87"/>
      <c r="V212" s="87"/>
      <c r="W212" s="102"/>
      <c r="X212" s="102"/>
      <c r="Y212" s="103"/>
      <c r="Z212" s="104" t="s">
        <v>921</v>
      </c>
      <c r="AA212" s="99"/>
      <c r="AB212" s="99"/>
      <c r="AC212" s="99"/>
      <c r="AD212" s="99"/>
      <c r="AE212" s="99"/>
      <c r="AF212" s="105"/>
      <c r="AG212" s="106"/>
      <c r="AH212" s="99"/>
      <c r="AI212" s="107">
        <v>2</v>
      </c>
      <c r="AJ212" s="164"/>
      <c r="AK212" s="67"/>
      <c r="AL212" s="67"/>
      <c r="AM212" s="57"/>
    </row>
    <row r="213" spans="1:39" s="56" customFormat="1" ht="27.6" customHeight="1">
      <c r="A213" s="96" t="s">
        <v>446</v>
      </c>
      <c r="B213" s="54" t="s">
        <v>450</v>
      </c>
      <c r="C213" s="96"/>
      <c r="D213" s="97" t="s">
        <v>942</v>
      </c>
      <c r="E213" s="96" t="s">
        <v>11</v>
      </c>
      <c r="F213" s="98"/>
      <c r="G213" s="109" t="s">
        <v>943</v>
      </c>
      <c r="H213" s="100"/>
      <c r="I213" s="101" t="s">
        <v>454</v>
      </c>
      <c r="J213" s="87"/>
      <c r="K213" s="87"/>
      <c r="L213" s="87"/>
      <c r="M213" s="87"/>
      <c r="N213" s="87"/>
      <c r="O213" s="87"/>
      <c r="P213" s="87"/>
      <c r="Q213" s="87"/>
      <c r="R213" s="87"/>
      <c r="S213" s="87"/>
      <c r="T213" s="87"/>
      <c r="U213" s="87"/>
      <c r="V213" s="87"/>
      <c r="W213" s="102"/>
      <c r="X213" s="102"/>
      <c r="Y213" s="103"/>
      <c r="Z213" s="104" t="s">
        <v>921</v>
      </c>
      <c r="AA213" s="99"/>
      <c r="AB213" s="99"/>
      <c r="AC213" s="99"/>
      <c r="AD213" s="99"/>
      <c r="AE213" s="99"/>
      <c r="AF213" s="105"/>
      <c r="AG213" s="106"/>
      <c r="AH213" s="99"/>
      <c r="AI213" s="107">
        <v>2</v>
      </c>
      <c r="AJ213" s="164"/>
      <c r="AK213" s="67"/>
      <c r="AL213" s="67"/>
      <c r="AM213" s="57"/>
    </row>
    <row r="214" spans="1:39" s="56" customFormat="1" ht="144">
      <c r="A214" s="96" t="s">
        <v>446</v>
      </c>
      <c r="B214" s="96"/>
      <c r="C214" s="80"/>
      <c r="D214" s="81" t="s">
        <v>944</v>
      </c>
      <c r="E214" s="82"/>
      <c r="F214" s="83" t="s">
        <v>92</v>
      </c>
      <c r="G214" s="84" t="s">
        <v>945</v>
      </c>
      <c r="H214" s="85" t="s">
        <v>41</v>
      </c>
      <c r="I214" s="86"/>
      <c r="J214" s="87"/>
      <c r="K214" s="87"/>
      <c r="L214" s="87"/>
      <c r="M214" s="87"/>
      <c r="N214" s="87"/>
      <c r="O214" s="87"/>
      <c r="P214" s="87"/>
      <c r="Q214" s="87"/>
      <c r="R214" s="87"/>
      <c r="S214" s="87"/>
      <c r="T214" s="87"/>
      <c r="U214" s="87"/>
      <c r="V214" s="87"/>
      <c r="W214" s="88"/>
      <c r="X214" s="88"/>
      <c r="Y214" s="89"/>
      <c r="Z214" s="90"/>
      <c r="AA214" s="91"/>
      <c r="AB214" s="91"/>
      <c r="AC214" s="91"/>
      <c r="AD214" s="91"/>
      <c r="AE214" s="91"/>
      <c r="AF214" s="84"/>
      <c r="AG214" s="92"/>
      <c r="AH214" s="91"/>
      <c r="AI214" s="113"/>
      <c r="AJ214" s="94"/>
      <c r="AK214" s="119"/>
      <c r="AL214" s="119"/>
      <c r="AM214" s="57"/>
    </row>
    <row r="215" spans="1:39" s="56" customFormat="1">
      <c r="A215" s="96" t="s">
        <v>446</v>
      </c>
      <c r="B215" s="54" t="s">
        <v>450</v>
      </c>
      <c r="C215" s="96"/>
      <c r="D215" s="97" t="s">
        <v>946</v>
      </c>
      <c r="E215" s="96" t="s">
        <v>11</v>
      </c>
      <c r="F215" s="98"/>
      <c r="G215" s="99" t="s">
        <v>947</v>
      </c>
      <c r="H215" s="100" t="s">
        <v>41</v>
      </c>
      <c r="I215" s="101" t="s">
        <v>481</v>
      </c>
      <c r="J215" s="87"/>
      <c r="K215" s="87"/>
      <c r="L215" s="87"/>
      <c r="M215" s="87"/>
      <c r="N215" s="87"/>
      <c r="O215" s="87"/>
      <c r="P215" s="87"/>
      <c r="Q215" s="87"/>
      <c r="R215" s="87"/>
      <c r="S215" s="87"/>
      <c r="T215" s="87"/>
      <c r="U215" s="87"/>
      <c r="V215" s="87"/>
      <c r="W215" s="102"/>
      <c r="X215" s="102"/>
      <c r="Y215" s="103"/>
      <c r="Z215" s="104" t="s">
        <v>504</v>
      </c>
      <c r="AA215" s="99"/>
      <c r="AB215" s="99"/>
      <c r="AC215" s="99"/>
      <c r="AD215" s="99"/>
      <c r="AE215" s="99"/>
      <c r="AF215" s="105"/>
      <c r="AG215" s="106"/>
      <c r="AH215" s="99"/>
      <c r="AI215" s="107" t="s">
        <v>465</v>
      </c>
      <c r="AJ215" s="172"/>
      <c r="AL215" s="54"/>
      <c r="AM215" s="57"/>
    </row>
    <row r="216" spans="1:39" s="56" customFormat="1" ht="28.8">
      <c r="A216" s="96" t="s">
        <v>446</v>
      </c>
      <c r="B216" s="54" t="s">
        <v>948</v>
      </c>
      <c r="C216" s="96"/>
      <c r="D216" s="97" t="s">
        <v>949</v>
      </c>
      <c r="E216" s="96" t="s">
        <v>11</v>
      </c>
      <c r="F216" s="98"/>
      <c r="G216" s="99" t="s">
        <v>950</v>
      </c>
      <c r="H216" s="100" t="s">
        <v>41</v>
      </c>
      <c r="I216" s="101" t="s">
        <v>481</v>
      </c>
      <c r="J216" s="87"/>
      <c r="K216" s="87"/>
      <c r="L216" s="87"/>
      <c r="M216" s="87"/>
      <c r="N216" s="87"/>
      <c r="O216" s="87"/>
      <c r="P216" s="87"/>
      <c r="Q216" s="87"/>
      <c r="R216" s="87"/>
      <c r="S216" s="87"/>
      <c r="T216" s="87"/>
      <c r="U216" s="87"/>
      <c r="V216" s="87"/>
      <c r="W216" s="102"/>
      <c r="X216" s="102"/>
      <c r="Y216" s="103"/>
      <c r="Z216" s="104" t="s">
        <v>504</v>
      </c>
      <c r="AA216" s="99"/>
      <c r="AB216" s="99"/>
      <c r="AC216" s="99"/>
      <c r="AD216" s="99"/>
      <c r="AE216" s="99"/>
      <c r="AF216" s="105"/>
      <c r="AG216" s="106"/>
      <c r="AH216" s="99"/>
      <c r="AI216" s="107" t="s">
        <v>465</v>
      </c>
      <c r="AJ216" s="94"/>
      <c r="AK216" s="95"/>
      <c r="AL216" s="95"/>
      <c r="AM216" s="57"/>
    </row>
    <row r="217" spans="1:39" s="56" customFormat="1" ht="30.6" customHeight="1">
      <c r="A217" s="96" t="s">
        <v>446</v>
      </c>
      <c r="B217" s="54" t="s">
        <v>948</v>
      </c>
      <c r="C217" s="96"/>
      <c r="D217" s="97" t="s">
        <v>951</v>
      </c>
      <c r="E217" s="96" t="s">
        <v>11</v>
      </c>
      <c r="F217" s="98"/>
      <c r="G217" s="99" t="s">
        <v>952</v>
      </c>
      <c r="H217" s="100" t="s">
        <v>41</v>
      </c>
      <c r="I217" s="101" t="s">
        <v>481</v>
      </c>
      <c r="J217" s="87"/>
      <c r="K217" s="87"/>
      <c r="L217" s="87"/>
      <c r="M217" s="87"/>
      <c r="N217" s="87"/>
      <c r="O217" s="87"/>
      <c r="P217" s="87"/>
      <c r="Q217" s="87"/>
      <c r="R217" s="87"/>
      <c r="S217" s="87"/>
      <c r="T217" s="87"/>
      <c r="U217" s="87"/>
      <c r="V217" s="87"/>
      <c r="W217" s="102"/>
      <c r="X217" s="102"/>
      <c r="Y217" s="103"/>
      <c r="Z217" s="104" t="s">
        <v>504</v>
      </c>
      <c r="AA217" s="99"/>
      <c r="AB217" s="99"/>
      <c r="AC217" s="99"/>
      <c r="AD217" s="99"/>
      <c r="AE217" s="99"/>
      <c r="AF217" s="105"/>
      <c r="AG217" s="106"/>
      <c r="AH217" s="99"/>
      <c r="AI217" s="107" t="s">
        <v>465</v>
      </c>
      <c r="AJ217" s="172"/>
      <c r="AL217" s="54"/>
      <c r="AM217" s="57"/>
    </row>
    <row r="218" spans="1:39" s="56" customFormat="1" ht="28.8">
      <c r="A218" s="96" t="s">
        <v>446</v>
      </c>
      <c r="B218" s="54" t="s">
        <v>948</v>
      </c>
      <c r="C218" s="96"/>
      <c r="D218" s="97" t="s">
        <v>953</v>
      </c>
      <c r="E218" s="96" t="s">
        <v>11</v>
      </c>
      <c r="F218" s="98"/>
      <c r="G218" s="99" t="s">
        <v>954</v>
      </c>
      <c r="H218" s="100" t="s">
        <v>41</v>
      </c>
      <c r="I218" s="101" t="s">
        <v>955</v>
      </c>
      <c r="J218" s="87"/>
      <c r="K218" s="87"/>
      <c r="L218" s="87"/>
      <c r="M218" s="87"/>
      <c r="N218" s="87"/>
      <c r="O218" s="87"/>
      <c r="P218" s="87"/>
      <c r="Q218" s="87"/>
      <c r="R218" s="87"/>
      <c r="S218" s="87"/>
      <c r="T218" s="87"/>
      <c r="U218" s="87"/>
      <c r="V218" s="87"/>
      <c r="W218" s="102"/>
      <c r="X218" s="102"/>
      <c r="Y218" s="103"/>
      <c r="Z218" s="104" t="s">
        <v>504</v>
      </c>
      <c r="AA218" s="99"/>
      <c r="AB218" s="99"/>
      <c r="AC218" s="99"/>
      <c r="AD218" s="99"/>
      <c r="AE218" s="99"/>
      <c r="AF218" s="105"/>
      <c r="AG218" s="106"/>
      <c r="AH218" s="99"/>
      <c r="AI218" s="107" t="s">
        <v>465</v>
      </c>
      <c r="AJ218" s="94"/>
      <c r="AK218" s="95"/>
      <c r="AL218" s="95"/>
      <c r="AM218" s="57"/>
    </row>
    <row r="219" spans="1:39" s="56" customFormat="1" ht="57.6">
      <c r="A219" s="96" t="s">
        <v>446</v>
      </c>
      <c r="B219" s="54" t="s">
        <v>781</v>
      </c>
      <c r="C219" s="96"/>
      <c r="D219" s="97" t="s">
        <v>93</v>
      </c>
      <c r="E219" s="96" t="s">
        <v>11</v>
      </c>
      <c r="F219" s="98"/>
      <c r="G219" s="99" t="s">
        <v>94</v>
      </c>
      <c r="H219" s="100"/>
      <c r="I219" s="101" t="s">
        <v>14</v>
      </c>
      <c r="J219" s="87"/>
      <c r="K219" s="87"/>
      <c r="L219" s="87"/>
      <c r="M219" s="87"/>
      <c r="N219" s="87"/>
      <c r="O219" s="87"/>
      <c r="P219" s="87"/>
      <c r="Q219" s="87"/>
      <c r="R219" s="87"/>
      <c r="S219" s="87"/>
      <c r="T219" s="87"/>
      <c r="U219" s="87"/>
      <c r="V219" s="87"/>
      <c r="W219" s="102"/>
      <c r="X219" s="102"/>
      <c r="Y219" s="103"/>
      <c r="Z219" s="117" t="s">
        <v>956</v>
      </c>
      <c r="AA219" s="99"/>
      <c r="AB219" s="99"/>
      <c r="AC219" s="99"/>
      <c r="AD219" s="99"/>
      <c r="AE219" s="99"/>
      <c r="AF219" s="105"/>
      <c r="AG219" s="106"/>
      <c r="AH219" s="99"/>
      <c r="AI219" s="107"/>
      <c r="AJ219" s="172"/>
      <c r="AM219" s="57"/>
    </row>
    <row r="220" spans="1:39" s="56" customFormat="1" ht="57.6">
      <c r="A220" s="96" t="s">
        <v>446</v>
      </c>
      <c r="B220" s="54" t="s">
        <v>781</v>
      </c>
      <c r="C220" s="96"/>
      <c r="D220" s="97" t="s">
        <v>97</v>
      </c>
      <c r="E220" s="96" t="s">
        <v>11</v>
      </c>
      <c r="F220" s="98"/>
      <c r="G220" s="99" t="s">
        <v>98</v>
      </c>
      <c r="H220" s="100"/>
      <c r="I220" s="101" t="s">
        <v>14</v>
      </c>
      <c r="J220" s="87"/>
      <c r="K220" s="87"/>
      <c r="L220" s="87"/>
      <c r="M220" s="87"/>
      <c r="N220" s="87"/>
      <c r="O220" s="87"/>
      <c r="P220" s="87"/>
      <c r="Q220" s="87"/>
      <c r="R220" s="87"/>
      <c r="S220" s="87"/>
      <c r="T220" s="87"/>
      <c r="U220" s="87"/>
      <c r="V220" s="87"/>
      <c r="W220" s="102"/>
      <c r="X220" s="102"/>
      <c r="Y220" s="103"/>
      <c r="Z220" s="117" t="s">
        <v>956</v>
      </c>
      <c r="AA220" s="99"/>
      <c r="AB220" s="99"/>
      <c r="AC220" s="99"/>
      <c r="AD220" s="99"/>
      <c r="AE220" s="99"/>
      <c r="AF220" s="105"/>
      <c r="AG220" s="106"/>
      <c r="AH220" s="99"/>
      <c r="AI220" s="107"/>
      <c r="AJ220" s="94"/>
      <c r="AK220" s="95"/>
      <c r="AL220" s="95"/>
      <c r="AM220" s="57"/>
    </row>
    <row r="221" spans="1:39" s="56" customFormat="1" ht="55.2" customHeight="1">
      <c r="A221" s="96" t="s">
        <v>446</v>
      </c>
      <c r="B221" s="96"/>
      <c r="C221" s="96"/>
      <c r="D221" s="97" t="s">
        <v>957</v>
      </c>
      <c r="E221" s="97"/>
      <c r="F221" s="166" t="s">
        <v>102</v>
      </c>
      <c r="G221" s="167" t="s">
        <v>958</v>
      </c>
      <c r="H221" s="100"/>
      <c r="I221" s="101"/>
      <c r="J221" s="87"/>
      <c r="K221" s="87"/>
      <c r="L221" s="87"/>
      <c r="M221" s="87"/>
      <c r="N221" s="87"/>
      <c r="O221" s="87"/>
      <c r="P221" s="87"/>
      <c r="Q221" s="87"/>
      <c r="R221" s="87"/>
      <c r="S221" s="87"/>
      <c r="T221" s="87"/>
      <c r="U221" s="87"/>
      <c r="V221" s="87"/>
      <c r="W221" s="102"/>
      <c r="X221" s="102"/>
      <c r="Y221" s="103"/>
      <c r="Z221" s="104"/>
      <c r="AA221" s="99"/>
      <c r="AB221" s="99"/>
      <c r="AC221" s="99"/>
      <c r="AD221" s="99"/>
      <c r="AE221" s="99"/>
      <c r="AF221" s="105"/>
      <c r="AG221" s="106"/>
      <c r="AH221" s="99"/>
      <c r="AI221" s="112"/>
      <c r="AJ221" s="172"/>
      <c r="AL221" s="54"/>
      <c r="AM221" s="57"/>
    </row>
    <row r="222" spans="1:39" s="56" customFormat="1" ht="216">
      <c r="A222" s="96" t="s">
        <v>446</v>
      </c>
      <c r="B222" s="96"/>
      <c r="C222" s="80"/>
      <c r="D222" s="81" t="s">
        <v>959</v>
      </c>
      <c r="E222" s="82"/>
      <c r="F222" s="83" t="s">
        <v>100</v>
      </c>
      <c r="G222" s="84" t="s">
        <v>960</v>
      </c>
      <c r="H222" s="85" t="s">
        <v>41</v>
      </c>
      <c r="I222" s="86"/>
      <c r="J222" s="87"/>
      <c r="K222" s="87"/>
      <c r="L222" s="87"/>
      <c r="M222" s="87"/>
      <c r="N222" s="87"/>
      <c r="O222" s="87"/>
      <c r="P222" s="87"/>
      <c r="Q222" s="87"/>
      <c r="R222" s="87"/>
      <c r="S222" s="87"/>
      <c r="T222" s="87"/>
      <c r="U222" s="87"/>
      <c r="V222" s="87"/>
      <c r="W222" s="88"/>
      <c r="X222" s="88"/>
      <c r="Y222" s="89"/>
      <c r="Z222" s="90"/>
      <c r="AA222" s="91"/>
      <c r="AB222" s="91"/>
      <c r="AC222" s="91"/>
      <c r="AD222" s="91"/>
      <c r="AE222" s="91"/>
      <c r="AF222" s="84"/>
      <c r="AG222" s="92"/>
      <c r="AH222" s="91"/>
      <c r="AI222" s="113"/>
      <c r="AJ222" s="114"/>
      <c r="AK222" s="85"/>
      <c r="AL222" s="85"/>
      <c r="AM222" s="57"/>
    </row>
    <row r="223" spans="1:39" s="56" customFormat="1" ht="57.6">
      <c r="A223" s="96" t="s">
        <v>446</v>
      </c>
      <c r="B223" s="54" t="s">
        <v>450</v>
      </c>
      <c r="C223" s="96"/>
      <c r="D223" s="97" t="s">
        <v>101</v>
      </c>
      <c r="E223" s="96" t="s">
        <v>11</v>
      </c>
      <c r="F223" s="153"/>
      <c r="G223" s="109" t="s">
        <v>103</v>
      </c>
      <c r="H223" s="100"/>
      <c r="I223" s="101" t="s">
        <v>14</v>
      </c>
      <c r="J223" s="87"/>
      <c r="K223" s="87"/>
      <c r="L223" s="87"/>
      <c r="M223" s="87"/>
      <c r="N223" s="87"/>
      <c r="O223" s="87"/>
      <c r="P223" s="87"/>
      <c r="Q223" s="87"/>
      <c r="R223" s="87"/>
      <c r="S223" s="87"/>
      <c r="T223" s="87"/>
      <c r="U223" s="87"/>
      <c r="V223" s="87"/>
      <c r="W223" s="102"/>
      <c r="X223" s="102"/>
      <c r="Y223" s="103"/>
      <c r="Z223" s="104" t="s">
        <v>961</v>
      </c>
      <c r="AA223" s="99"/>
      <c r="AB223" s="99"/>
      <c r="AC223" s="99"/>
      <c r="AD223" s="99"/>
      <c r="AE223" s="99"/>
      <c r="AF223" s="105"/>
      <c r="AG223" s="106"/>
      <c r="AH223" s="99"/>
      <c r="AI223" s="107"/>
      <c r="AJ223" s="172"/>
      <c r="AM223" s="57"/>
    </row>
    <row r="224" spans="1:39" s="56" customFormat="1" ht="28.8">
      <c r="A224" s="96" t="s">
        <v>446</v>
      </c>
      <c r="B224" s="54" t="s">
        <v>450</v>
      </c>
      <c r="C224" s="155"/>
      <c r="D224" s="97" t="s">
        <v>962</v>
      </c>
      <c r="E224" s="96" t="s">
        <v>11</v>
      </c>
      <c r="F224" s="98"/>
      <c r="G224" s="109" t="s">
        <v>963</v>
      </c>
      <c r="H224" s="153"/>
      <c r="I224" s="157" t="s">
        <v>454</v>
      </c>
      <c r="J224" s="158"/>
      <c r="K224" s="158"/>
      <c r="L224" s="158"/>
      <c r="M224" s="158"/>
      <c r="N224" s="158"/>
      <c r="O224" s="158"/>
      <c r="P224" s="158"/>
      <c r="Q224" s="158"/>
      <c r="R224" s="158"/>
      <c r="S224" s="158"/>
      <c r="T224" s="158"/>
      <c r="U224" s="158"/>
      <c r="V224" s="158"/>
      <c r="W224" s="159"/>
      <c r="X224" s="159"/>
      <c r="Y224" s="160"/>
      <c r="Z224" s="104" t="s">
        <v>964</v>
      </c>
      <c r="AA224" s="109"/>
      <c r="AB224" s="109"/>
      <c r="AC224" s="109"/>
      <c r="AD224" s="109"/>
      <c r="AE224" s="109"/>
      <c r="AF224" s="161"/>
      <c r="AG224" s="162"/>
      <c r="AH224" s="109"/>
      <c r="AI224" s="163" t="s">
        <v>465</v>
      </c>
      <c r="AJ224" s="172"/>
      <c r="AL224" s="54"/>
      <c r="AM224" s="57"/>
    </row>
    <row r="225" spans="1:39" s="56" customFormat="1" ht="28.8">
      <c r="A225" s="96" t="s">
        <v>621</v>
      </c>
      <c r="B225" s="54"/>
      <c r="C225" s="155"/>
      <c r="D225" s="97" t="s">
        <v>965</v>
      </c>
      <c r="E225" s="173"/>
      <c r="F225" s="174" t="s">
        <v>102</v>
      </c>
      <c r="G225" s="175" t="s">
        <v>966</v>
      </c>
      <c r="H225" s="153"/>
      <c r="I225" s="157"/>
      <c r="J225" s="158"/>
      <c r="K225" s="158"/>
      <c r="L225" s="158"/>
      <c r="M225" s="158"/>
      <c r="N225" s="158"/>
      <c r="O225" s="158"/>
      <c r="P225" s="158"/>
      <c r="Q225" s="158"/>
      <c r="R225" s="158"/>
      <c r="S225" s="158"/>
      <c r="T225" s="158"/>
      <c r="U225" s="158"/>
      <c r="V225" s="158"/>
      <c r="W225" s="159"/>
      <c r="X225" s="159"/>
      <c r="Y225" s="160"/>
      <c r="Z225" s="104"/>
      <c r="AA225" s="109"/>
      <c r="AB225" s="109"/>
      <c r="AC225" s="109"/>
      <c r="AD225" s="109"/>
      <c r="AE225" s="109"/>
      <c r="AF225" s="161"/>
      <c r="AG225" s="162"/>
      <c r="AH225" s="109"/>
      <c r="AI225" s="163"/>
      <c r="AJ225" s="94"/>
      <c r="AK225" s="119"/>
      <c r="AL225" s="119"/>
      <c r="AM225" s="57"/>
    </row>
    <row r="226" spans="1:39" s="56" customFormat="1" ht="43.2">
      <c r="A226" s="96" t="s">
        <v>446</v>
      </c>
      <c r="B226" s="54" t="s">
        <v>450</v>
      </c>
      <c r="C226" s="155"/>
      <c r="D226" s="97" t="s">
        <v>967</v>
      </c>
      <c r="E226" s="96" t="s">
        <v>11</v>
      </c>
      <c r="F226" s="98"/>
      <c r="G226" s="109" t="s">
        <v>968</v>
      </c>
      <c r="H226" s="153"/>
      <c r="I226" s="157" t="s">
        <v>454</v>
      </c>
      <c r="J226" s="158"/>
      <c r="K226" s="158"/>
      <c r="L226" s="158"/>
      <c r="M226" s="158"/>
      <c r="N226" s="158"/>
      <c r="O226" s="158"/>
      <c r="P226" s="158"/>
      <c r="Q226" s="158"/>
      <c r="R226" s="158"/>
      <c r="S226" s="158"/>
      <c r="T226" s="158"/>
      <c r="U226" s="158"/>
      <c r="V226" s="158"/>
      <c r="W226" s="159"/>
      <c r="X226" s="159"/>
      <c r="Y226" s="160"/>
      <c r="Z226" s="104" t="s">
        <v>969</v>
      </c>
      <c r="AA226" s="109"/>
      <c r="AB226" s="109"/>
      <c r="AC226" s="109"/>
      <c r="AD226" s="109"/>
      <c r="AE226" s="109"/>
      <c r="AF226" s="161"/>
      <c r="AG226" s="162"/>
      <c r="AH226" s="109"/>
      <c r="AI226" s="163" t="s">
        <v>465</v>
      </c>
      <c r="AJ226" s="116"/>
      <c r="AK226" s="79"/>
      <c r="AL226" s="79"/>
      <c r="AM226" s="57"/>
    </row>
    <row r="227" spans="1:39" s="56" customFormat="1">
      <c r="A227" s="96" t="s">
        <v>446</v>
      </c>
      <c r="B227" s="54"/>
      <c r="C227" s="155"/>
      <c r="D227" s="97" t="s">
        <v>970</v>
      </c>
      <c r="E227" s="173"/>
      <c r="F227" s="98" t="s">
        <v>102</v>
      </c>
      <c r="G227" s="109" t="s">
        <v>971</v>
      </c>
      <c r="H227" s="153"/>
      <c r="I227" s="157"/>
      <c r="J227" s="158"/>
      <c r="K227" s="158"/>
      <c r="L227" s="158"/>
      <c r="M227" s="158"/>
      <c r="N227" s="158"/>
      <c r="O227" s="158"/>
      <c r="P227" s="158"/>
      <c r="Q227" s="158"/>
      <c r="R227" s="158"/>
      <c r="S227" s="158"/>
      <c r="T227" s="158"/>
      <c r="U227" s="158"/>
      <c r="V227" s="158"/>
      <c r="W227" s="159"/>
      <c r="X227" s="159"/>
      <c r="Y227" s="160"/>
      <c r="Z227" s="104"/>
      <c r="AA227" s="109"/>
      <c r="AB227" s="109"/>
      <c r="AC227" s="109"/>
      <c r="AD227" s="109"/>
      <c r="AE227" s="109"/>
      <c r="AF227" s="161"/>
      <c r="AG227" s="162"/>
      <c r="AH227" s="109"/>
      <c r="AI227" s="163"/>
      <c r="AJ227" s="116"/>
      <c r="AK227" s="79"/>
      <c r="AL227" s="79"/>
      <c r="AM227" s="57"/>
    </row>
    <row r="228" spans="1:39" s="56" customFormat="1" ht="36.6" customHeight="1">
      <c r="A228" s="96" t="s">
        <v>446</v>
      </c>
      <c r="B228" s="54" t="s">
        <v>450</v>
      </c>
      <c r="C228" s="155"/>
      <c r="D228" s="97" t="s">
        <v>972</v>
      </c>
      <c r="E228" s="96" t="s">
        <v>11</v>
      </c>
      <c r="F228" s="98"/>
      <c r="G228" s="109" t="s">
        <v>973</v>
      </c>
      <c r="H228" s="100" t="s">
        <v>41</v>
      </c>
      <c r="I228" s="157" t="s">
        <v>454</v>
      </c>
      <c r="J228" s="158"/>
      <c r="K228" s="158"/>
      <c r="L228" s="158"/>
      <c r="M228" s="158"/>
      <c r="N228" s="158"/>
      <c r="O228" s="158"/>
      <c r="P228" s="158"/>
      <c r="Q228" s="158"/>
      <c r="R228" s="158"/>
      <c r="S228" s="158"/>
      <c r="T228" s="158"/>
      <c r="U228" s="158"/>
      <c r="V228" s="158"/>
      <c r="W228" s="159"/>
      <c r="X228" s="159"/>
      <c r="Y228" s="160"/>
      <c r="Z228" s="104" t="s">
        <v>974</v>
      </c>
      <c r="AA228" s="109"/>
      <c r="AB228" s="109"/>
      <c r="AC228" s="109"/>
      <c r="AD228" s="109"/>
      <c r="AE228" s="109"/>
      <c r="AF228" s="161"/>
      <c r="AG228" s="162"/>
      <c r="AH228" s="109"/>
      <c r="AI228" s="176" t="s">
        <v>465</v>
      </c>
      <c r="AJ228" s="116"/>
      <c r="AK228" s="79"/>
      <c r="AL228" s="79"/>
      <c r="AM228" s="57"/>
    </row>
    <row r="229" spans="1:39" s="56" customFormat="1" ht="57.6">
      <c r="A229" s="96" t="s">
        <v>446</v>
      </c>
      <c r="B229" s="54" t="s">
        <v>450</v>
      </c>
      <c r="C229" s="155"/>
      <c r="D229" s="97" t="s">
        <v>106</v>
      </c>
      <c r="E229" s="96" t="s">
        <v>17</v>
      </c>
      <c r="F229" s="98"/>
      <c r="G229" s="165" t="s">
        <v>107</v>
      </c>
      <c r="H229" s="153"/>
      <c r="I229" s="157" t="s">
        <v>14</v>
      </c>
      <c r="J229" s="158"/>
      <c r="K229" s="158"/>
      <c r="L229" s="158"/>
      <c r="M229" s="158"/>
      <c r="N229" s="158"/>
      <c r="O229" s="158"/>
      <c r="P229" s="158"/>
      <c r="Q229" s="158"/>
      <c r="R229" s="158"/>
      <c r="S229" s="158"/>
      <c r="T229" s="158"/>
      <c r="U229" s="158"/>
      <c r="V229" s="158"/>
      <c r="W229" s="159"/>
      <c r="X229" s="159"/>
      <c r="Y229" s="160"/>
      <c r="Z229" s="104" t="s">
        <v>975</v>
      </c>
      <c r="AA229" s="109"/>
      <c r="AB229" s="109"/>
      <c r="AC229" s="109"/>
      <c r="AD229" s="109"/>
      <c r="AE229" s="109"/>
      <c r="AF229" s="161"/>
      <c r="AG229" s="162"/>
      <c r="AH229" s="109"/>
      <c r="AI229" s="163"/>
      <c r="AJ229" s="108"/>
      <c r="AK229" s="108"/>
      <c r="AL229" s="108"/>
      <c r="AM229" s="57"/>
    </row>
    <row r="230" spans="1:39" s="67" customFormat="1" ht="28.8">
      <c r="A230" s="96" t="s">
        <v>446</v>
      </c>
      <c r="B230" s="54" t="s">
        <v>781</v>
      </c>
      <c r="C230" s="96"/>
      <c r="D230" s="97" t="s">
        <v>109</v>
      </c>
      <c r="E230" s="96" t="s">
        <v>11</v>
      </c>
      <c r="F230" s="98"/>
      <c r="G230" s="109" t="s">
        <v>976</v>
      </c>
      <c r="H230" s="100"/>
      <c r="I230" s="101" t="s">
        <v>14</v>
      </c>
      <c r="J230" s="87"/>
      <c r="K230" s="87"/>
      <c r="L230" s="87"/>
      <c r="M230" s="87"/>
      <c r="N230" s="87"/>
      <c r="O230" s="87"/>
      <c r="P230" s="87"/>
      <c r="Q230" s="87"/>
      <c r="R230" s="87"/>
      <c r="S230" s="87"/>
      <c r="T230" s="87"/>
      <c r="U230" s="87"/>
      <c r="V230" s="87"/>
      <c r="W230" s="102"/>
      <c r="X230" s="102"/>
      <c r="Y230" s="103"/>
      <c r="Z230" s="104" t="s">
        <v>977</v>
      </c>
      <c r="AA230" s="99"/>
      <c r="AB230" s="99"/>
      <c r="AC230" s="99"/>
      <c r="AD230" s="99"/>
      <c r="AE230" s="99"/>
      <c r="AF230" s="105"/>
      <c r="AG230" s="106"/>
      <c r="AH230" s="99"/>
      <c r="AI230" s="107"/>
      <c r="AJ230" s="116"/>
      <c r="AK230" s="79"/>
      <c r="AL230" s="79"/>
      <c r="AM230" s="165"/>
    </row>
    <row r="231" spans="1:39" s="67" customFormat="1">
      <c r="A231" s="96" t="s">
        <v>446</v>
      </c>
      <c r="B231" s="96"/>
      <c r="C231" s="96"/>
      <c r="D231" s="97" t="s">
        <v>978</v>
      </c>
      <c r="E231" s="97"/>
      <c r="F231" s="98" t="s">
        <v>102</v>
      </c>
      <c r="G231" s="177" t="s">
        <v>979</v>
      </c>
      <c r="H231" s="100"/>
      <c r="I231" s="101"/>
      <c r="J231" s="87"/>
      <c r="K231" s="87"/>
      <c r="L231" s="87"/>
      <c r="M231" s="87"/>
      <c r="N231" s="87"/>
      <c r="O231" s="87"/>
      <c r="P231" s="87"/>
      <c r="Q231" s="87"/>
      <c r="R231" s="87"/>
      <c r="S231" s="87"/>
      <c r="T231" s="87"/>
      <c r="U231" s="87"/>
      <c r="V231" s="87"/>
      <c r="W231" s="102"/>
      <c r="X231" s="102"/>
      <c r="Y231" s="103"/>
      <c r="Z231" s="104" t="s">
        <v>980</v>
      </c>
      <c r="AA231" s="99"/>
      <c r="AB231" s="99"/>
      <c r="AC231" s="99"/>
      <c r="AD231" s="99"/>
      <c r="AE231" s="99"/>
      <c r="AF231" s="105"/>
      <c r="AG231" s="106"/>
      <c r="AH231" s="99"/>
      <c r="AI231" s="107"/>
      <c r="AJ231" s="116"/>
      <c r="AK231" s="79"/>
      <c r="AL231" s="79"/>
      <c r="AM231" s="165"/>
    </row>
    <row r="232" spans="1:39" s="56" customFormat="1">
      <c r="A232" s="96" t="s">
        <v>446</v>
      </c>
      <c r="B232" s="96"/>
      <c r="C232" s="96"/>
      <c r="D232" s="97" t="s">
        <v>981</v>
      </c>
      <c r="E232" s="97"/>
      <c r="F232" s="166" t="s">
        <v>102</v>
      </c>
      <c r="G232" s="167" t="s">
        <v>982</v>
      </c>
      <c r="H232" s="100"/>
      <c r="I232" s="101"/>
      <c r="J232" s="87"/>
      <c r="K232" s="87"/>
      <c r="L232" s="87"/>
      <c r="M232" s="87"/>
      <c r="N232" s="87"/>
      <c r="O232" s="87"/>
      <c r="P232" s="87"/>
      <c r="Q232" s="87"/>
      <c r="R232" s="87"/>
      <c r="S232" s="87"/>
      <c r="T232" s="87"/>
      <c r="U232" s="87"/>
      <c r="V232" s="87"/>
      <c r="W232" s="102"/>
      <c r="X232" s="102"/>
      <c r="Y232" s="103"/>
      <c r="Z232" s="104"/>
      <c r="AA232" s="99"/>
      <c r="AB232" s="99"/>
      <c r="AC232" s="99"/>
      <c r="AD232" s="99"/>
      <c r="AE232" s="99"/>
      <c r="AF232" s="105"/>
      <c r="AG232" s="106"/>
      <c r="AH232" s="99"/>
      <c r="AI232" s="107"/>
      <c r="AJ232" s="94"/>
      <c r="AK232" s="95"/>
      <c r="AL232" s="95"/>
      <c r="AM232" s="57"/>
    </row>
    <row r="233" spans="1:39" s="56" customFormat="1" ht="106.95" customHeight="1">
      <c r="A233" s="96" t="s">
        <v>446</v>
      </c>
      <c r="B233" s="96"/>
      <c r="C233" s="80"/>
      <c r="D233" s="81" t="s">
        <v>983</v>
      </c>
      <c r="E233" s="82"/>
      <c r="F233" s="83" t="s">
        <v>113</v>
      </c>
      <c r="G233" s="143" t="s">
        <v>984</v>
      </c>
      <c r="H233" s="85" t="s">
        <v>41</v>
      </c>
      <c r="I233" s="86"/>
      <c r="J233" s="87"/>
      <c r="K233" s="87"/>
      <c r="L233" s="87"/>
      <c r="M233" s="87"/>
      <c r="N233" s="87"/>
      <c r="O233" s="87"/>
      <c r="P233" s="87"/>
      <c r="Q233" s="87"/>
      <c r="R233" s="87"/>
      <c r="S233" s="87"/>
      <c r="T233" s="87"/>
      <c r="U233" s="87"/>
      <c r="V233" s="87"/>
      <c r="W233" s="88"/>
      <c r="X233" s="88"/>
      <c r="Y233" s="89"/>
      <c r="Z233" s="90"/>
      <c r="AA233" s="91"/>
      <c r="AB233" s="91"/>
      <c r="AC233" s="91"/>
      <c r="AD233" s="91"/>
      <c r="AE233" s="91"/>
      <c r="AF233" s="84"/>
      <c r="AG233" s="92"/>
      <c r="AH233" s="91"/>
      <c r="AI233" s="113"/>
      <c r="AJ233" s="94"/>
      <c r="AK233" s="95"/>
      <c r="AL233" s="95"/>
    </row>
    <row r="234" spans="1:39" s="56" customFormat="1" ht="28.8">
      <c r="A234" s="96" t="s">
        <v>446</v>
      </c>
      <c r="B234" s="54" t="s">
        <v>450</v>
      </c>
      <c r="C234" s="96"/>
      <c r="D234" s="97" t="s">
        <v>985</v>
      </c>
      <c r="E234" s="96" t="s">
        <v>11</v>
      </c>
      <c r="F234" s="98"/>
      <c r="G234" s="57" t="s">
        <v>986</v>
      </c>
      <c r="H234" s="100" t="s">
        <v>41</v>
      </c>
      <c r="I234" s="101" t="s">
        <v>481</v>
      </c>
      <c r="J234" s="87"/>
      <c r="K234" s="87"/>
      <c r="L234" s="87"/>
      <c r="M234" s="87"/>
      <c r="N234" s="87"/>
      <c r="O234" s="87"/>
      <c r="P234" s="87"/>
      <c r="Q234" s="87"/>
      <c r="R234" s="87"/>
      <c r="S234" s="87"/>
      <c r="T234" s="87"/>
      <c r="U234" s="87"/>
      <c r="V234" s="87"/>
      <c r="W234" s="102"/>
      <c r="X234" s="102"/>
      <c r="Y234" s="103"/>
      <c r="Z234" s="104"/>
      <c r="AA234" s="99"/>
      <c r="AB234" s="99"/>
      <c r="AC234" s="99"/>
      <c r="AD234" s="99"/>
      <c r="AE234" s="99"/>
      <c r="AF234" s="105"/>
      <c r="AG234" s="106"/>
      <c r="AH234" s="99"/>
      <c r="AI234" s="107" t="s">
        <v>465</v>
      </c>
      <c r="AJ234" s="116"/>
      <c r="AK234" s="79"/>
      <c r="AL234" s="79"/>
    </row>
    <row r="235" spans="1:39" s="56" customFormat="1">
      <c r="A235" s="96" t="s">
        <v>458</v>
      </c>
      <c r="B235" s="54" t="s">
        <v>450</v>
      </c>
      <c r="C235" s="96"/>
      <c r="D235" s="97" t="s">
        <v>987</v>
      </c>
      <c r="E235" s="96" t="s">
        <v>11</v>
      </c>
      <c r="F235" s="98"/>
      <c r="G235" s="99" t="s">
        <v>988</v>
      </c>
      <c r="H235" s="153" t="s">
        <v>41</v>
      </c>
      <c r="I235" s="101" t="s">
        <v>14</v>
      </c>
      <c r="J235" s="87"/>
      <c r="K235" s="87"/>
      <c r="L235" s="87"/>
      <c r="M235" s="87"/>
      <c r="N235" s="87"/>
      <c r="O235" s="87"/>
      <c r="P235" s="87"/>
      <c r="Q235" s="87"/>
      <c r="R235" s="87"/>
      <c r="S235" s="87"/>
      <c r="T235" s="87"/>
      <c r="U235" s="87"/>
      <c r="V235" s="87"/>
      <c r="W235" s="102"/>
      <c r="X235" s="102"/>
      <c r="Y235" s="103"/>
      <c r="Z235" s="104" t="s">
        <v>989</v>
      </c>
      <c r="AA235" s="99"/>
      <c r="AB235" s="99"/>
      <c r="AC235" s="99"/>
      <c r="AD235" s="99"/>
      <c r="AE235" s="99"/>
      <c r="AF235" s="105"/>
      <c r="AG235" s="106"/>
      <c r="AH235" s="99"/>
      <c r="AI235" s="107"/>
      <c r="AJ235" s="116"/>
      <c r="AK235" s="79"/>
      <c r="AL235" s="79"/>
    </row>
    <row r="236" spans="1:39" s="56" customFormat="1" ht="43.2">
      <c r="A236" s="96" t="s">
        <v>458</v>
      </c>
      <c r="B236" s="54" t="s">
        <v>450</v>
      </c>
      <c r="C236" s="96"/>
      <c r="D236" s="97" t="s">
        <v>114</v>
      </c>
      <c r="E236" s="96" t="s">
        <v>11</v>
      </c>
      <c r="F236" s="98"/>
      <c r="G236" s="99" t="s">
        <v>990</v>
      </c>
      <c r="H236" s="153"/>
      <c r="I236" s="101" t="s">
        <v>14</v>
      </c>
      <c r="J236" s="87"/>
      <c r="K236" s="87"/>
      <c r="L236" s="87"/>
      <c r="M236" s="87"/>
      <c r="N236" s="87"/>
      <c r="O236" s="87"/>
      <c r="P236" s="87"/>
      <c r="Q236" s="87"/>
      <c r="R236" s="87"/>
      <c r="S236" s="87"/>
      <c r="T236" s="87"/>
      <c r="U236" s="87"/>
      <c r="V236" s="87"/>
      <c r="W236" s="102"/>
      <c r="X236" s="102"/>
      <c r="Y236" s="103"/>
      <c r="Z236" s="104" t="s">
        <v>991</v>
      </c>
      <c r="AA236" s="99"/>
      <c r="AB236" s="99"/>
      <c r="AC236" s="99"/>
      <c r="AD236" s="99"/>
      <c r="AE236" s="99"/>
      <c r="AF236" s="105"/>
      <c r="AG236" s="106"/>
      <c r="AH236" s="99"/>
      <c r="AI236" s="107"/>
      <c r="AJ236" s="94"/>
      <c r="AK236" s="95"/>
      <c r="AL236" s="95"/>
    </row>
    <row r="237" spans="1:39" s="56" customFormat="1" ht="77.099999999999994" customHeight="1">
      <c r="A237" s="96" t="s">
        <v>458</v>
      </c>
      <c r="B237" s="54" t="s">
        <v>450</v>
      </c>
      <c r="C237" s="96"/>
      <c r="D237" s="97" t="s">
        <v>118</v>
      </c>
      <c r="E237" s="96" t="s">
        <v>11</v>
      </c>
      <c r="F237" s="98"/>
      <c r="G237" s="99" t="s">
        <v>119</v>
      </c>
      <c r="H237" s="100"/>
      <c r="I237" s="101" t="s">
        <v>14</v>
      </c>
      <c r="J237" s="87"/>
      <c r="K237" s="87"/>
      <c r="L237" s="87"/>
      <c r="M237" s="87"/>
      <c r="N237" s="87"/>
      <c r="O237" s="87"/>
      <c r="P237" s="87"/>
      <c r="Q237" s="87"/>
      <c r="R237" s="87"/>
      <c r="S237" s="87"/>
      <c r="T237" s="87"/>
      <c r="U237" s="87"/>
      <c r="V237" s="87"/>
      <c r="W237" s="102"/>
      <c r="X237" s="102"/>
      <c r="Y237" s="103"/>
      <c r="Z237" s="104" t="s">
        <v>991</v>
      </c>
      <c r="AA237" s="99"/>
      <c r="AB237" s="99"/>
      <c r="AC237" s="99"/>
      <c r="AD237" s="99"/>
      <c r="AE237" s="99"/>
      <c r="AF237" s="105"/>
      <c r="AG237" s="106"/>
      <c r="AH237" s="99"/>
      <c r="AI237" s="112"/>
      <c r="AJ237" s="116"/>
      <c r="AK237" s="79"/>
      <c r="AL237" s="79"/>
      <c r="AM237" s="57"/>
    </row>
    <row r="238" spans="1:39" s="56" customFormat="1">
      <c r="A238" s="96" t="s">
        <v>458</v>
      </c>
      <c r="B238" s="54" t="s">
        <v>450</v>
      </c>
      <c r="C238" s="96"/>
      <c r="D238" s="97" t="s">
        <v>992</v>
      </c>
      <c r="E238" s="96" t="s">
        <v>11</v>
      </c>
      <c r="F238" s="98"/>
      <c r="G238" s="99" t="s">
        <v>993</v>
      </c>
      <c r="H238" s="153" t="s">
        <v>41</v>
      </c>
      <c r="I238" s="101" t="s">
        <v>14</v>
      </c>
      <c r="J238" s="87"/>
      <c r="K238" s="87"/>
      <c r="L238" s="87"/>
      <c r="M238" s="87"/>
      <c r="N238" s="87"/>
      <c r="O238" s="87"/>
      <c r="P238" s="87"/>
      <c r="Q238" s="87"/>
      <c r="R238" s="87"/>
      <c r="S238" s="87"/>
      <c r="T238" s="87"/>
      <c r="U238" s="87"/>
      <c r="V238" s="87"/>
      <c r="W238" s="178"/>
      <c r="X238" s="178"/>
      <c r="Y238" s="179"/>
      <c r="Z238" s="180" t="s">
        <v>504</v>
      </c>
      <c r="AA238" s="181"/>
      <c r="AB238" s="181"/>
      <c r="AC238" s="181"/>
      <c r="AD238" s="181"/>
      <c r="AE238" s="181"/>
      <c r="AF238" s="182"/>
      <c r="AG238" s="106"/>
      <c r="AH238" s="181"/>
      <c r="AJ238" s="114"/>
      <c r="AK238" s="85"/>
      <c r="AL238" s="85"/>
    </row>
    <row r="239" spans="1:39" s="56" customFormat="1" ht="34.5" customHeight="1">
      <c r="A239" s="96" t="s">
        <v>458</v>
      </c>
      <c r="B239" s="54" t="s">
        <v>636</v>
      </c>
      <c r="C239" s="96"/>
      <c r="D239" s="97" t="s">
        <v>994</v>
      </c>
      <c r="E239" s="96" t="s">
        <v>11</v>
      </c>
      <c r="F239" s="98"/>
      <c r="G239" s="99" t="s">
        <v>995</v>
      </c>
      <c r="H239" s="153" t="s">
        <v>41</v>
      </c>
      <c r="I239" s="101" t="s">
        <v>454</v>
      </c>
      <c r="J239" s="87"/>
      <c r="K239" s="87"/>
      <c r="L239" s="87"/>
      <c r="M239" s="87"/>
      <c r="N239" s="87"/>
      <c r="O239" s="87"/>
      <c r="P239" s="87"/>
      <c r="Q239" s="87"/>
      <c r="R239" s="87"/>
      <c r="S239" s="87"/>
      <c r="T239" s="87"/>
      <c r="U239" s="87"/>
      <c r="V239" s="87"/>
      <c r="W239" s="102"/>
      <c r="X239" s="102"/>
      <c r="Y239" s="103"/>
      <c r="Z239" s="104" t="s">
        <v>996</v>
      </c>
      <c r="AA239" s="99"/>
      <c r="AB239" s="99"/>
      <c r="AC239" s="99"/>
      <c r="AD239" s="99"/>
      <c r="AE239" s="99"/>
      <c r="AF239" s="105"/>
      <c r="AG239" s="106"/>
      <c r="AH239" s="99"/>
      <c r="AI239" s="183">
        <v>1</v>
      </c>
      <c r="AJ239" s="116"/>
      <c r="AK239" s="79"/>
      <c r="AL239" s="79"/>
      <c r="AM239" s="57"/>
    </row>
    <row r="240" spans="1:39" ht="28.8">
      <c r="A240" s="96" t="s">
        <v>458</v>
      </c>
      <c r="B240" s="54" t="s">
        <v>450</v>
      </c>
      <c r="D240" s="97" t="s">
        <v>997</v>
      </c>
      <c r="E240" s="96" t="s">
        <v>11</v>
      </c>
      <c r="F240" s="98"/>
      <c r="G240" s="99" t="s">
        <v>998</v>
      </c>
      <c r="H240" s="153" t="s">
        <v>41</v>
      </c>
      <c r="I240" s="101" t="s">
        <v>454</v>
      </c>
      <c r="W240" s="178"/>
      <c r="X240" s="178"/>
      <c r="Y240" s="179"/>
      <c r="Z240" s="180" t="s">
        <v>504</v>
      </c>
      <c r="AA240" s="181"/>
      <c r="AB240" s="181"/>
      <c r="AC240" s="181"/>
      <c r="AD240" s="181"/>
      <c r="AE240" s="181"/>
      <c r="AF240" s="182"/>
      <c r="AH240" s="181"/>
      <c r="AI240" s="183">
        <v>2</v>
      </c>
      <c r="AJ240" s="114"/>
      <c r="AK240" s="85"/>
      <c r="AL240" s="85"/>
      <c r="AM240" s="54"/>
    </row>
    <row r="241" spans="1:39" s="56" customFormat="1" ht="76.5" customHeight="1">
      <c r="A241" s="96" t="s">
        <v>458</v>
      </c>
      <c r="B241" s="54" t="s">
        <v>999</v>
      </c>
      <c r="C241" s="96"/>
      <c r="D241" s="97" t="s">
        <v>1000</v>
      </c>
      <c r="E241" s="96" t="s">
        <v>11</v>
      </c>
      <c r="F241" s="98"/>
      <c r="G241" s="99" t="s">
        <v>1001</v>
      </c>
      <c r="H241" s="153" t="s">
        <v>41</v>
      </c>
      <c r="I241" s="101" t="s">
        <v>454</v>
      </c>
      <c r="J241" s="87"/>
      <c r="K241" s="87"/>
      <c r="L241" s="87"/>
      <c r="M241" s="87"/>
      <c r="N241" s="87"/>
      <c r="O241" s="87"/>
      <c r="P241" s="87"/>
      <c r="Q241" s="87"/>
      <c r="R241" s="87"/>
      <c r="S241" s="87"/>
      <c r="T241" s="87"/>
      <c r="U241" s="87"/>
      <c r="V241" s="87"/>
      <c r="W241" s="102"/>
      <c r="X241" s="102"/>
      <c r="Y241" s="103"/>
      <c r="Z241" s="104" t="s">
        <v>902</v>
      </c>
      <c r="AA241" s="99"/>
      <c r="AB241" s="99"/>
      <c r="AC241" s="99"/>
      <c r="AD241" s="99"/>
      <c r="AE241" s="99"/>
      <c r="AF241" s="105"/>
      <c r="AG241" s="106"/>
      <c r="AH241" s="99"/>
      <c r="AI241" s="112">
        <v>1</v>
      </c>
      <c r="AJ241" s="116"/>
      <c r="AK241" s="79"/>
      <c r="AL241" s="79"/>
      <c r="AM241" s="57"/>
    </row>
    <row r="242" spans="1:39" ht="31.35" customHeight="1">
      <c r="A242" s="96" t="s">
        <v>458</v>
      </c>
      <c r="B242" s="54" t="s">
        <v>450</v>
      </c>
      <c r="D242" s="97" t="s">
        <v>1002</v>
      </c>
      <c r="E242" s="96" t="s">
        <v>11</v>
      </c>
      <c r="F242" s="98"/>
      <c r="G242" s="99" t="s">
        <v>1003</v>
      </c>
      <c r="H242" s="157"/>
      <c r="I242" s="101" t="s">
        <v>481</v>
      </c>
      <c r="W242" s="178"/>
      <c r="X242" s="178"/>
      <c r="Y242" s="179"/>
      <c r="Z242" s="180" t="s">
        <v>1004</v>
      </c>
      <c r="AA242" s="181"/>
      <c r="AB242" s="181"/>
      <c r="AC242" s="181"/>
      <c r="AD242" s="181"/>
      <c r="AE242" s="181"/>
      <c r="AF242" s="182"/>
      <c r="AI242" s="183" t="s">
        <v>465</v>
      </c>
      <c r="AJ242" s="114"/>
      <c r="AK242" s="85"/>
      <c r="AL242" s="85"/>
      <c r="AM242" s="54"/>
    </row>
    <row r="243" spans="1:39" ht="31.35" customHeight="1">
      <c r="A243" s="96" t="s">
        <v>458</v>
      </c>
      <c r="B243" s="54" t="s">
        <v>689</v>
      </c>
      <c r="D243" s="97" t="s">
        <v>1005</v>
      </c>
      <c r="E243" s="96" t="s">
        <v>17</v>
      </c>
      <c r="F243" s="98"/>
      <c r="G243" s="99" t="s">
        <v>1006</v>
      </c>
      <c r="H243" s="157" t="s">
        <v>41</v>
      </c>
      <c r="I243" s="101" t="s">
        <v>481</v>
      </c>
      <c r="W243" s="178"/>
      <c r="X243" s="178"/>
      <c r="Y243" s="179"/>
      <c r="Z243" s="180" t="s">
        <v>504</v>
      </c>
      <c r="AA243" s="181"/>
      <c r="AB243" s="181"/>
      <c r="AC243" s="181"/>
      <c r="AD243" s="181"/>
      <c r="AE243" s="181"/>
      <c r="AF243" s="182"/>
      <c r="AI243" s="183" t="s">
        <v>465</v>
      </c>
      <c r="AJ243" s="116"/>
      <c r="AK243" s="79"/>
      <c r="AL243" s="79"/>
      <c r="AM243" s="54"/>
    </row>
    <row r="244" spans="1:39" s="56" customFormat="1" ht="28.8">
      <c r="A244" s="96" t="s">
        <v>458</v>
      </c>
      <c r="B244" s="54" t="s">
        <v>689</v>
      </c>
      <c r="C244" s="96"/>
      <c r="D244" s="97" t="s">
        <v>1007</v>
      </c>
      <c r="E244" s="96" t="s">
        <v>17</v>
      </c>
      <c r="F244" s="98"/>
      <c r="G244" s="99" t="s">
        <v>1008</v>
      </c>
      <c r="H244" s="100" t="s">
        <v>41</v>
      </c>
      <c r="I244" s="101" t="s">
        <v>481</v>
      </c>
      <c r="J244" s="87"/>
      <c r="K244" s="87"/>
      <c r="L244" s="87"/>
      <c r="M244" s="87"/>
      <c r="N244" s="87"/>
      <c r="O244" s="87"/>
      <c r="P244" s="87"/>
      <c r="Q244" s="87"/>
      <c r="R244" s="87"/>
      <c r="S244" s="87"/>
      <c r="T244" s="87"/>
      <c r="U244" s="87"/>
      <c r="V244" s="87"/>
      <c r="W244" s="102"/>
      <c r="X244" s="102"/>
      <c r="Y244" s="103"/>
      <c r="Z244" s="104"/>
      <c r="AA244" s="99"/>
      <c r="AB244" s="99"/>
      <c r="AC244" s="99"/>
      <c r="AD244" s="99"/>
      <c r="AE244" s="99"/>
      <c r="AF244" s="105"/>
      <c r="AG244" s="106"/>
      <c r="AH244" s="99"/>
      <c r="AI244" s="183" t="s">
        <v>465</v>
      </c>
      <c r="AJ244" s="116"/>
      <c r="AK244" s="79"/>
      <c r="AL244" s="79"/>
    </row>
    <row r="245" spans="1:39" s="56" customFormat="1" ht="28.8">
      <c r="A245" s="96" t="s">
        <v>458</v>
      </c>
      <c r="B245" s="54" t="s">
        <v>636</v>
      </c>
      <c r="C245" s="96"/>
      <c r="D245" s="97" t="s">
        <v>121</v>
      </c>
      <c r="E245" s="96" t="s">
        <v>17</v>
      </c>
      <c r="F245" s="98"/>
      <c r="G245" s="99" t="s">
        <v>640</v>
      </c>
      <c r="H245" s="100"/>
      <c r="I245" s="101" t="s">
        <v>14</v>
      </c>
      <c r="J245" s="87"/>
      <c r="K245" s="87"/>
      <c r="L245" s="87"/>
      <c r="M245" s="87"/>
      <c r="N245" s="87"/>
      <c r="O245" s="87"/>
      <c r="P245" s="87"/>
      <c r="Q245" s="87"/>
      <c r="R245" s="87"/>
      <c r="S245" s="87"/>
      <c r="T245" s="87"/>
      <c r="U245" s="87"/>
      <c r="V245" s="87"/>
      <c r="W245" s="102"/>
      <c r="X245" s="102"/>
      <c r="Y245" s="103"/>
      <c r="Z245" s="104" t="s">
        <v>1009</v>
      </c>
      <c r="AA245" s="99"/>
      <c r="AB245" s="99"/>
      <c r="AC245" s="99"/>
      <c r="AD245" s="99"/>
      <c r="AE245" s="99"/>
      <c r="AF245" s="105"/>
      <c r="AG245" s="106"/>
      <c r="AH245" s="99"/>
      <c r="AI245" s="107"/>
      <c r="AJ245" s="94"/>
      <c r="AK245" s="95"/>
      <c r="AL245" s="95"/>
    </row>
    <row r="246" spans="1:39" s="56" customFormat="1" ht="28.8">
      <c r="A246" s="96" t="s">
        <v>458</v>
      </c>
      <c r="B246" s="54" t="s">
        <v>636</v>
      </c>
      <c r="C246" s="96"/>
      <c r="D246" s="97" t="s">
        <v>123</v>
      </c>
      <c r="E246" s="96" t="s">
        <v>17</v>
      </c>
      <c r="F246" s="98"/>
      <c r="G246" s="99" t="s">
        <v>124</v>
      </c>
      <c r="H246" s="100"/>
      <c r="I246" s="101" t="s">
        <v>14</v>
      </c>
      <c r="J246" s="87"/>
      <c r="K246" s="87"/>
      <c r="L246" s="87"/>
      <c r="M246" s="87"/>
      <c r="N246" s="87"/>
      <c r="O246" s="87"/>
      <c r="P246" s="87"/>
      <c r="Q246" s="87"/>
      <c r="R246" s="87"/>
      <c r="S246" s="87"/>
      <c r="T246" s="87"/>
      <c r="U246" s="87"/>
      <c r="V246" s="87"/>
      <c r="W246" s="102"/>
      <c r="X246" s="102"/>
      <c r="Y246" s="103"/>
      <c r="Z246" s="104" t="s">
        <v>1009</v>
      </c>
      <c r="AA246" s="99"/>
      <c r="AB246" s="99"/>
      <c r="AC246" s="99"/>
      <c r="AD246" s="99"/>
      <c r="AE246" s="99"/>
      <c r="AF246" s="105"/>
      <c r="AG246" s="106"/>
      <c r="AH246" s="99"/>
      <c r="AI246" s="107"/>
      <c r="AJ246" s="116"/>
      <c r="AK246" s="79"/>
      <c r="AL246" s="79"/>
    </row>
    <row r="247" spans="1:39" s="56" customFormat="1" ht="28.8">
      <c r="A247" s="96" t="s">
        <v>458</v>
      </c>
      <c r="B247" s="54" t="s">
        <v>636</v>
      </c>
      <c r="C247" s="96"/>
      <c r="D247" s="97" t="s">
        <v>125</v>
      </c>
      <c r="E247" s="96" t="s">
        <v>17</v>
      </c>
      <c r="F247" s="98"/>
      <c r="G247" s="99" t="s">
        <v>126</v>
      </c>
      <c r="H247" s="100"/>
      <c r="I247" s="101" t="s">
        <v>14</v>
      </c>
      <c r="J247" s="87"/>
      <c r="K247" s="87"/>
      <c r="L247" s="87"/>
      <c r="M247" s="87"/>
      <c r="N247" s="87"/>
      <c r="O247" s="87"/>
      <c r="P247" s="87"/>
      <c r="Q247" s="87"/>
      <c r="R247" s="87"/>
      <c r="S247" s="87"/>
      <c r="T247" s="87"/>
      <c r="U247" s="87"/>
      <c r="V247" s="87"/>
      <c r="W247" s="102"/>
      <c r="X247" s="102"/>
      <c r="Y247" s="103"/>
      <c r="Z247" s="184"/>
      <c r="AA247" s="99"/>
      <c r="AB247" s="99"/>
      <c r="AC247" s="99"/>
      <c r="AD247" s="99"/>
      <c r="AE247" s="99"/>
      <c r="AF247" s="105"/>
      <c r="AG247" s="106"/>
      <c r="AH247" s="99"/>
      <c r="AI247" s="107"/>
      <c r="AJ247" s="94"/>
      <c r="AK247" s="95"/>
      <c r="AL247" s="95"/>
    </row>
    <row r="248" spans="1:39" s="67" customFormat="1" ht="28.8">
      <c r="A248" s="155" t="s">
        <v>458</v>
      </c>
      <c r="B248" s="63" t="s">
        <v>636</v>
      </c>
      <c r="C248" s="155"/>
      <c r="D248" s="173" t="s">
        <v>128</v>
      </c>
      <c r="E248" s="155" t="s">
        <v>17</v>
      </c>
      <c r="F248" s="98"/>
      <c r="G248" s="109" t="s">
        <v>129</v>
      </c>
      <c r="H248" s="153"/>
      <c r="I248" s="157" t="s">
        <v>14</v>
      </c>
      <c r="J248" s="158"/>
      <c r="K248" s="158"/>
      <c r="L248" s="158"/>
      <c r="M248" s="158"/>
      <c r="N248" s="158"/>
      <c r="O248" s="158"/>
      <c r="P248" s="158"/>
      <c r="Q248" s="158"/>
      <c r="R248" s="158"/>
      <c r="S248" s="158"/>
      <c r="T248" s="158"/>
      <c r="U248" s="158"/>
      <c r="V248" s="158"/>
      <c r="W248" s="159"/>
      <c r="X248" s="159"/>
      <c r="Y248" s="160"/>
      <c r="Z248" s="180" t="s">
        <v>1009</v>
      </c>
      <c r="AA248" s="109"/>
      <c r="AB248" s="109"/>
      <c r="AC248" s="109"/>
      <c r="AD248" s="109"/>
      <c r="AE248" s="109"/>
      <c r="AF248" s="161"/>
      <c r="AG248" s="162"/>
      <c r="AH248" s="109"/>
      <c r="AI248" s="163"/>
      <c r="AJ248" s="164"/>
      <c r="AK248" s="185"/>
      <c r="AL248" s="185"/>
    </row>
    <row r="249" spans="1:39" s="56" customFormat="1">
      <c r="A249" s="96" t="s">
        <v>458</v>
      </c>
      <c r="B249" s="54" t="s">
        <v>636</v>
      </c>
      <c r="C249" s="96"/>
      <c r="D249" s="97" t="s">
        <v>1010</v>
      </c>
      <c r="E249" s="96" t="s">
        <v>11</v>
      </c>
      <c r="F249" s="98"/>
      <c r="G249" s="99" t="s">
        <v>1011</v>
      </c>
      <c r="H249" s="153" t="s">
        <v>41</v>
      </c>
      <c r="I249" s="101" t="s">
        <v>14</v>
      </c>
      <c r="J249" s="87"/>
      <c r="K249" s="87"/>
      <c r="L249" s="87"/>
      <c r="M249" s="87"/>
      <c r="N249" s="87"/>
      <c r="O249" s="87"/>
      <c r="P249" s="87"/>
      <c r="Q249" s="87"/>
      <c r="R249" s="87"/>
      <c r="S249" s="87"/>
      <c r="T249" s="87"/>
      <c r="U249" s="87"/>
      <c r="V249" s="87"/>
      <c r="W249" s="102"/>
      <c r="X249" s="102"/>
      <c r="Y249" s="103"/>
      <c r="Z249" s="104" t="s">
        <v>989</v>
      </c>
      <c r="AA249" s="99"/>
      <c r="AB249" s="99"/>
      <c r="AC249" s="99"/>
      <c r="AD249" s="99"/>
      <c r="AE249" s="99"/>
      <c r="AF249" s="105"/>
      <c r="AG249" s="106"/>
      <c r="AH249" s="99"/>
      <c r="AI249" s="107"/>
      <c r="AJ249" s="94"/>
      <c r="AK249" s="95"/>
      <c r="AL249" s="95"/>
    </row>
    <row r="250" spans="1:39" s="56" customFormat="1" ht="28.8">
      <c r="A250" s="96" t="s">
        <v>458</v>
      </c>
      <c r="B250" s="54" t="s">
        <v>636</v>
      </c>
      <c r="C250" s="96"/>
      <c r="D250" s="97" t="s">
        <v>131</v>
      </c>
      <c r="E250" s="96" t="s">
        <v>17</v>
      </c>
      <c r="F250" s="98"/>
      <c r="G250" s="99" t="s">
        <v>132</v>
      </c>
      <c r="H250" s="153"/>
      <c r="I250" s="101" t="s">
        <v>14</v>
      </c>
      <c r="J250" s="87"/>
      <c r="K250" s="87"/>
      <c r="L250" s="87"/>
      <c r="M250" s="87"/>
      <c r="N250" s="87"/>
      <c r="O250" s="87"/>
      <c r="P250" s="87"/>
      <c r="Q250" s="87"/>
      <c r="R250" s="87"/>
      <c r="S250" s="87"/>
      <c r="T250" s="87"/>
      <c r="U250" s="87"/>
      <c r="V250" s="87"/>
      <c r="W250" s="102"/>
      <c r="X250" s="102"/>
      <c r="Y250" s="103"/>
      <c r="Z250" s="180" t="s">
        <v>1012</v>
      </c>
      <c r="AA250" s="99"/>
      <c r="AB250" s="99"/>
      <c r="AC250" s="99"/>
      <c r="AD250" s="99"/>
      <c r="AE250" s="99"/>
      <c r="AF250" s="105"/>
      <c r="AG250" s="106"/>
      <c r="AH250" s="99"/>
      <c r="AI250" s="107"/>
      <c r="AJ250" s="116"/>
      <c r="AK250" s="79"/>
      <c r="AL250" s="79"/>
    </row>
    <row r="251" spans="1:39" s="56" customFormat="1" ht="28.8">
      <c r="A251" s="96" t="s">
        <v>458</v>
      </c>
      <c r="B251" s="54" t="s">
        <v>636</v>
      </c>
      <c r="C251" s="96"/>
      <c r="D251" s="97" t="s">
        <v>134</v>
      </c>
      <c r="E251" s="96" t="s">
        <v>17</v>
      </c>
      <c r="F251" s="98"/>
      <c r="G251" s="99" t="s">
        <v>135</v>
      </c>
      <c r="H251" s="153"/>
      <c r="I251" s="101" t="s">
        <v>14</v>
      </c>
      <c r="J251" s="87"/>
      <c r="K251" s="87"/>
      <c r="L251" s="87"/>
      <c r="M251" s="87"/>
      <c r="N251" s="87"/>
      <c r="O251" s="87"/>
      <c r="P251" s="87"/>
      <c r="Q251" s="87"/>
      <c r="R251" s="87"/>
      <c r="S251" s="87"/>
      <c r="T251" s="87"/>
      <c r="U251" s="87"/>
      <c r="V251" s="87"/>
      <c r="W251" s="102"/>
      <c r="X251" s="102"/>
      <c r="Y251" s="103"/>
      <c r="Z251" s="104" t="s">
        <v>1009</v>
      </c>
      <c r="AA251" s="99"/>
      <c r="AB251" s="99"/>
      <c r="AC251" s="99"/>
      <c r="AD251" s="99"/>
      <c r="AE251" s="99"/>
      <c r="AF251" s="105"/>
      <c r="AG251" s="106"/>
      <c r="AH251" s="99"/>
      <c r="AI251" s="107"/>
      <c r="AJ251" s="94"/>
      <c r="AK251" s="95"/>
      <c r="AL251" s="95"/>
    </row>
    <row r="252" spans="1:39" s="56" customFormat="1">
      <c r="A252" s="96" t="s">
        <v>458</v>
      </c>
      <c r="B252" s="54" t="s">
        <v>636</v>
      </c>
      <c r="C252" s="96"/>
      <c r="D252" s="97" t="s">
        <v>1013</v>
      </c>
      <c r="E252" s="97"/>
      <c r="F252" s="98" t="s">
        <v>64</v>
      </c>
      <c r="G252" s="109" t="s">
        <v>1014</v>
      </c>
      <c r="H252" s="153"/>
      <c r="I252" s="101"/>
      <c r="J252" s="87"/>
      <c r="K252" s="87"/>
      <c r="L252" s="87"/>
      <c r="M252" s="87"/>
      <c r="N252" s="87"/>
      <c r="O252" s="87"/>
      <c r="P252" s="87"/>
      <c r="Q252" s="87"/>
      <c r="R252" s="87"/>
      <c r="S252" s="87"/>
      <c r="T252" s="87"/>
      <c r="U252" s="87"/>
      <c r="V252" s="87"/>
      <c r="W252" s="102"/>
      <c r="X252" s="102"/>
      <c r="Y252" s="103"/>
      <c r="Z252" s="104"/>
      <c r="AA252" s="99"/>
      <c r="AB252" s="99"/>
      <c r="AC252" s="99"/>
      <c r="AD252" s="99"/>
      <c r="AE252" s="99"/>
      <c r="AF252" s="105"/>
      <c r="AG252" s="106"/>
      <c r="AH252" s="99"/>
      <c r="AI252" s="107"/>
      <c r="AJ252" s="116"/>
      <c r="AK252" s="79"/>
      <c r="AL252" s="79"/>
    </row>
    <row r="253" spans="1:39" s="56" customFormat="1" ht="28.8">
      <c r="A253" s="96" t="s">
        <v>458</v>
      </c>
      <c r="B253" s="54" t="s">
        <v>636</v>
      </c>
      <c r="C253" s="96"/>
      <c r="D253" s="97" t="s">
        <v>1015</v>
      </c>
      <c r="E253" s="97"/>
      <c r="F253" s="98" t="s">
        <v>64</v>
      </c>
      <c r="G253" s="109" t="s">
        <v>1016</v>
      </c>
      <c r="H253" s="153"/>
      <c r="I253" s="101"/>
      <c r="J253" s="87"/>
      <c r="K253" s="87"/>
      <c r="L253" s="87"/>
      <c r="M253" s="87"/>
      <c r="N253" s="87"/>
      <c r="O253" s="87"/>
      <c r="P253" s="87"/>
      <c r="Q253" s="87"/>
      <c r="R253" s="87"/>
      <c r="S253" s="87"/>
      <c r="T253" s="87"/>
      <c r="U253" s="87"/>
      <c r="V253" s="87"/>
      <c r="W253" s="102"/>
      <c r="X253" s="102"/>
      <c r="Y253" s="103"/>
      <c r="Z253" s="180"/>
      <c r="AA253" s="99"/>
      <c r="AB253" s="99"/>
      <c r="AC253" s="99"/>
      <c r="AD253" s="99"/>
      <c r="AE253" s="99"/>
      <c r="AF253" s="105"/>
      <c r="AG253" s="106"/>
      <c r="AH253" s="99"/>
      <c r="AI253" s="107"/>
      <c r="AJ253" s="116"/>
      <c r="AK253" s="79"/>
      <c r="AL253" s="79"/>
    </row>
    <row r="254" spans="1:39" s="56" customFormat="1" ht="28.8">
      <c r="A254" s="96" t="s">
        <v>458</v>
      </c>
      <c r="B254" s="54" t="s">
        <v>450</v>
      </c>
      <c r="C254" s="96"/>
      <c r="D254" s="97" t="s">
        <v>1017</v>
      </c>
      <c r="E254" s="96" t="s">
        <v>11</v>
      </c>
      <c r="F254" s="98"/>
      <c r="G254" s="99" t="s">
        <v>1018</v>
      </c>
      <c r="H254" s="153" t="s">
        <v>41</v>
      </c>
      <c r="I254" s="101" t="s">
        <v>481</v>
      </c>
      <c r="J254" s="87"/>
      <c r="K254" s="87"/>
      <c r="L254" s="87"/>
      <c r="M254" s="87"/>
      <c r="N254" s="87"/>
      <c r="O254" s="87"/>
      <c r="P254" s="87"/>
      <c r="Q254" s="87"/>
      <c r="R254" s="87"/>
      <c r="S254" s="87"/>
      <c r="T254" s="87"/>
      <c r="U254" s="87"/>
      <c r="V254" s="87"/>
      <c r="W254" s="102"/>
      <c r="X254" s="102"/>
      <c r="Y254" s="103"/>
      <c r="Z254" s="104" t="s">
        <v>504</v>
      </c>
      <c r="AA254" s="99"/>
      <c r="AB254" s="99"/>
      <c r="AC254" s="99"/>
      <c r="AD254" s="99"/>
      <c r="AE254" s="99"/>
      <c r="AF254" s="105"/>
      <c r="AG254" s="106"/>
      <c r="AH254" s="99"/>
      <c r="AI254" s="107" t="s">
        <v>465</v>
      </c>
      <c r="AJ254" s="116"/>
      <c r="AK254" s="79"/>
      <c r="AL254" s="79"/>
    </row>
    <row r="255" spans="1:39" s="56" customFormat="1" ht="43.2">
      <c r="A255" s="65" t="s">
        <v>458</v>
      </c>
      <c r="B255" s="54"/>
      <c r="C255" s="80"/>
      <c r="D255" s="81" t="s">
        <v>1019</v>
      </c>
      <c r="E255" s="82"/>
      <c r="F255" s="83"/>
      <c r="G255" s="84" t="s">
        <v>1020</v>
      </c>
      <c r="H255" s="85" t="s">
        <v>41</v>
      </c>
      <c r="I255" s="86"/>
      <c r="J255" s="87"/>
      <c r="K255" s="87"/>
      <c r="L255" s="87"/>
      <c r="M255" s="87"/>
      <c r="N255" s="87"/>
      <c r="O255" s="87"/>
      <c r="P255" s="87"/>
      <c r="Q255" s="87"/>
      <c r="R255" s="87"/>
      <c r="S255" s="87"/>
      <c r="T255" s="87"/>
      <c r="U255" s="87"/>
      <c r="V255" s="87"/>
      <c r="W255" s="186"/>
      <c r="X255" s="186"/>
      <c r="Y255" s="187"/>
      <c r="Z255" s="188"/>
      <c r="AA255" s="189"/>
      <c r="AB255" s="189"/>
      <c r="AC255" s="189"/>
      <c r="AD255" s="189"/>
      <c r="AE255" s="189"/>
      <c r="AF255" s="190"/>
      <c r="AG255" s="92"/>
      <c r="AH255" s="91"/>
      <c r="AI255" s="191"/>
      <c r="AJ255" s="114"/>
      <c r="AK255" s="85"/>
      <c r="AL255" s="85"/>
      <c r="AM255" s="57"/>
    </row>
    <row r="256" spans="1:39" s="56" customFormat="1" ht="105.6" customHeight="1">
      <c r="A256" s="65" t="s">
        <v>458</v>
      </c>
      <c r="B256" s="54" t="s">
        <v>636</v>
      </c>
      <c r="C256" s="96"/>
      <c r="D256" s="97" t="s">
        <v>1021</v>
      </c>
      <c r="E256" s="96" t="s">
        <v>17</v>
      </c>
      <c r="F256" s="98"/>
      <c r="G256" s="99" t="s">
        <v>1022</v>
      </c>
      <c r="H256" s="100" t="s">
        <v>41</v>
      </c>
      <c r="I256" s="101" t="s">
        <v>14</v>
      </c>
      <c r="J256" s="87"/>
      <c r="K256" s="87"/>
      <c r="L256" s="87"/>
      <c r="M256" s="87"/>
      <c r="N256" s="87"/>
      <c r="O256" s="87"/>
      <c r="P256" s="87"/>
      <c r="Q256" s="87"/>
      <c r="R256" s="87"/>
      <c r="S256" s="87"/>
      <c r="T256" s="87"/>
      <c r="U256" s="87"/>
      <c r="V256" s="87"/>
      <c r="W256" s="102"/>
      <c r="X256" s="102"/>
      <c r="Y256" s="103"/>
      <c r="Z256" s="104" t="s">
        <v>504</v>
      </c>
      <c r="AA256" s="99"/>
      <c r="AB256" s="99"/>
      <c r="AC256" s="99"/>
      <c r="AD256" s="99"/>
      <c r="AE256" s="99"/>
      <c r="AF256" s="105"/>
      <c r="AG256" s="106"/>
      <c r="AH256" s="99"/>
      <c r="AI256" s="112"/>
      <c r="AJ256" s="116"/>
      <c r="AK256" s="79"/>
      <c r="AL256" s="79"/>
      <c r="AM256" s="57"/>
    </row>
    <row r="257" spans="1:39" ht="28.8">
      <c r="A257" s="65" t="s">
        <v>458</v>
      </c>
      <c r="C257" s="80"/>
      <c r="D257" s="81" t="s">
        <v>1023</v>
      </c>
      <c r="E257" s="82"/>
      <c r="F257" s="83"/>
      <c r="G257" s="84" t="s">
        <v>1024</v>
      </c>
      <c r="H257" s="85" t="s">
        <v>41</v>
      </c>
      <c r="I257" s="86"/>
      <c r="W257" s="186"/>
      <c r="X257" s="186"/>
      <c r="Y257" s="187"/>
      <c r="Z257" s="188"/>
      <c r="AA257" s="189"/>
      <c r="AB257" s="189"/>
      <c r="AC257" s="189"/>
      <c r="AD257" s="189"/>
      <c r="AE257" s="189"/>
      <c r="AF257" s="190"/>
      <c r="AG257" s="92"/>
      <c r="AH257" s="91"/>
      <c r="AI257" s="191"/>
      <c r="AJ257" s="114"/>
      <c r="AK257" s="85"/>
      <c r="AL257" s="85"/>
    </row>
    <row r="258" spans="1:39" s="56" customFormat="1" ht="69" customHeight="1">
      <c r="A258" s="65" t="s">
        <v>458</v>
      </c>
      <c r="B258" s="54" t="s">
        <v>636</v>
      </c>
      <c r="C258" s="96"/>
      <c r="D258" s="97" t="s">
        <v>1025</v>
      </c>
      <c r="E258" s="96" t="s">
        <v>1720</v>
      </c>
      <c r="F258" s="98"/>
      <c r="G258" s="99" t="s">
        <v>1026</v>
      </c>
      <c r="H258" s="100" t="s">
        <v>41</v>
      </c>
      <c r="I258" s="101" t="s">
        <v>454</v>
      </c>
      <c r="J258" s="87"/>
      <c r="K258" s="87"/>
      <c r="L258" s="87"/>
      <c r="M258" s="87"/>
      <c r="N258" s="87"/>
      <c r="O258" s="87"/>
      <c r="P258" s="87"/>
      <c r="Q258" s="87"/>
      <c r="R258" s="87"/>
      <c r="S258" s="87"/>
      <c r="T258" s="87"/>
      <c r="U258" s="87"/>
      <c r="V258" s="87"/>
      <c r="W258" s="102"/>
      <c r="X258" s="102"/>
      <c r="Y258" s="103"/>
      <c r="Z258" s="104" t="s">
        <v>1027</v>
      </c>
      <c r="AA258" s="99"/>
      <c r="AB258" s="99"/>
      <c r="AC258" s="99"/>
      <c r="AD258" s="99"/>
      <c r="AE258" s="99"/>
      <c r="AF258" s="105"/>
      <c r="AG258" s="162"/>
      <c r="AH258" s="99"/>
      <c r="AI258" s="112"/>
      <c r="AJ258" s="116"/>
      <c r="AK258" s="79"/>
      <c r="AL258" s="79"/>
      <c r="AM258" s="57"/>
    </row>
    <row r="259" spans="1:39" ht="47.7" customHeight="1">
      <c r="A259" s="65" t="s">
        <v>458</v>
      </c>
      <c r="C259" s="80"/>
      <c r="D259" s="81" t="s">
        <v>1028</v>
      </c>
      <c r="E259" s="82"/>
      <c r="F259" s="83"/>
      <c r="G259" s="84" t="s">
        <v>1029</v>
      </c>
      <c r="H259" s="85" t="s">
        <v>41</v>
      </c>
      <c r="I259" s="86"/>
      <c r="W259" s="186"/>
      <c r="X259" s="186"/>
      <c r="Y259" s="187"/>
      <c r="Z259" s="188"/>
      <c r="AA259" s="189"/>
      <c r="AB259" s="189"/>
      <c r="AC259" s="189"/>
      <c r="AD259" s="189"/>
      <c r="AE259" s="189"/>
      <c r="AF259" s="190"/>
      <c r="AG259" s="92"/>
      <c r="AH259" s="91"/>
      <c r="AI259" s="191"/>
      <c r="AJ259" s="114"/>
      <c r="AK259" s="85"/>
      <c r="AL259" s="85"/>
      <c r="AM259" s="54"/>
    </row>
    <row r="260" spans="1:39" s="147" customFormat="1" ht="45.75" customHeight="1">
      <c r="A260" s="192" t="s">
        <v>458</v>
      </c>
      <c r="B260" s="147" t="s">
        <v>172</v>
      </c>
      <c r="C260" s="126"/>
      <c r="D260" s="127" t="s">
        <v>137</v>
      </c>
      <c r="E260" s="126" t="s">
        <v>11</v>
      </c>
      <c r="F260" s="128"/>
      <c r="G260" s="129" t="s">
        <v>1030</v>
      </c>
      <c r="H260" s="131"/>
      <c r="I260" s="131" t="s">
        <v>454</v>
      </c>
      <c r="J260" s="132"/>
      <c r="K260" s="132"/>
      <c r="L260" s="132"/>
      <c r="M260" s="132"/>
      <c r="N260" s="132"/>
      <c r="O260" s="132"/>
      <c r="P260" s="132"/>
      <c r="Q260" s="132"/>
      <c r="R260" s="132"/>
      <c r="S260" s="132"/>
      <c r="T260" s="132"/>
      <c r="U260" s="132"/>
      <c r="V260" s="132"/>
      <c r="W260" s="193"/>
      <c r="X260" s="193"/>
      <c r="Y260" s="194"/>
      <c r="Z260" s="195" t="s">
        <v>1031</v>
      </c>
      <c r="AA260" s="196"/>
      <c r="AB260" s="196"/>
      <c r="AC260" s="196"/>
      <c r="AD260" s="196"/>
      <c r="AE260" s="197"/>
      <c r="AF260" s="197"/>
      <c r="AG260" s="137"/>
      <c r="AH260" s="129"/>
      <c r="AI260" s="198"/>
      <c r="AJ260" s="139"/>
      <c r="AK260" s="199"/>
      <c r="AL260" s="199"/>
    </row>
    <row r="261" spans="1:39" s="56" customFormat="1" ht="60" customHeight="1">
      <c r="A261" s="65" t="s">
        <v>458</v>
      </c>
      <c r="B261" s="54" t="s">
        <v>636</v>
      </c>
      <c r="C261" s="96"/>
      <c r="D261" s="97" t="s">
        <v>138</v>
      </c>
      <c r="E261" s="96" t="s">
        <v>17</v>
      </c>
      <c r="F261" s="98"/>
      <c r="G261" s="99" t="s">
        <v>1032</v>
      </c>
      <c r="H261" s="100"/>
      <c r="I261" s="101" t="s">
        <v>14</v>
      </c>
      <c r="J261" s="87"/>
      <c r="K261" s="87"/>
      <c r="L261" s="87"/>
      <c r="M261" s="87"/>
      <c r="N261" s="87"/>
      <c r="O261" s="87"/>
      <c r="P261" s="87"/>
      <c r="Q261" s="87"/>
      <c r="R261" s="87"/>
      <c r="S261" s="87"/>
      <c r="T261" s="87"/>
      <c r="U261" s="87"/>
      <c r="V261" s="87"/>
      <c r="W261" s="102"/>
      <c r="X261" s="102"/>
      <c r="Y261" s="103"/>
      <c r="Z261" s="104" t="s">
        <v>1009</v>
      </c>
      <c r="AA261" s="99"/>
      <c r="AB261" s="99"/>
      <c r="AC261" s="99"/>
      <c r="AD261" s="99"/>
      <c r="AE261" s="105"/>
      <c r="AF261" s="105"/>
      <c r="AG261" s="162"/>
      <c r="AH261" s="99"/>
      <c r="AI261" s="112"/>
      <c r="AJ261" s="94"/>
      <c r="AK261" s="95"/>
      <c r="AL261" s="95"/>
      <c r="AM261" s="57"/>
    </row>
    <row r="262" spans="1:39" ht="144">
      <c r="A262" s="65" t="s">
        <v>458</v>
      </c>
      <c r="B262" s="54" t="s">
        <v>172</v>
      </c>
      <c r="D262" s="97" t="s">
        <v>141</v>
      </c>
      <c r="E262" s="96" t="s">
        <v>11</v>
      </c>
      <c r="F262" s="98"/>
      <c r="G262" s="99" t="s">
        <v>1033</v>
      </c>
      <c r="H262" s="101"/>
      <c r="I262" s="101" t="s">
        <v>14</v>
      </c>
      <c r="W262" s="178"/>
      <c r="X262" s="178"/>
      <c r="Y262" s="179"/>
      <c r="Z262" s="180" t="s">
        <v>1034</v>
      </c>
      <c r="AA262" s="181"/>
      <c r="AB262" s="181"/>
      <c r="AC262" s="181"/>
      <c r="AD262" s="181"/>
      <c r="AE262" s="182"/>
      <c r="AF262" s="182"/>
      <c r="AG262" s="162"/>
      <c r="AI262" s="183"/>
      <c r="AJ262" s="108"/>
      <c r="AK262" s="108"/>
      <c r="AL262" s="108"/>
      <c r="AM262" s="54"/>
    </row>
    <row r="263" spans="1:39" ht="33" customHeight="1">
      <c r="A263" s="65" t="s">
        <v>1035</v>
      </c>
      <c r="D263" s="97" t="s">
        <v>1036</v>
      </c>
      <c r="E263" s="97"/>
      <c r="F263" s="98" t="s">
        <v>64</v>
      </c>
      <c r="G263" s="109" t="s">
        <v>1037</v>
      </c>
      <c r="H263" s="101"/>
      <c r="W263" s="178"/>
      <c r="X263" s="178"/>
      <c r="Y263" s="179"/>
      <c r="Z263" s="180"/>
      <c r="AA263" s="181"/>
      <c r="AB263" s="181"/>
      <c r="AC263" s="181"/>
      <c r="AD263" s="181"/>
      <c r="AE263" s="182"/>
      <c r="AF263" s="182"/>
      <c r="AG263" s="162"/>
      <c r="AI263" s="183"/>
      <c r="AJ263" s="94"/>
      <c r="AK263" s="119"/>
      <c r="AL263" s="119"/>
      <c r="AM263" s="54"/>
    </row>
    <row r="264" spans="1:39" ht="43.2">
      <c r="A264" s="65" t="s">
        <v>458</v>
      </c>
      <c r="C264" s="80"/>
      <c r="D264" s="81" t="s">
        <v>1038</v>
      </c>
      <c r="E264" s="82"/>
      <c r="F264" s="83"/>
      <c r="G264" s="84" t="s">
        <v>1039</v>
      </c>
      <c r="H264" s="85" t="s">
        <v>41</v>
      </c>
      <c r="I264" s="86"/>
      <c r="W264" s="186"/>
      <c r="X264" s="186"/>
      <c r="Y264" s="187"/>
      <c r="Z264" s="188"/>
      <c r="AA264" s="189"/>
      <c r="AB264" s="189"/>
      <c r="AC264" s="189"/>
      <c r="AD264" s="189"/>
      <c r="AE264" s="189"/>
      <c r="AF264" s="190"/>
      <c r="AG264" s="92"/>
      <c r="AH264" s="91"/>
      <c r="AI264" s="191"/>
      <c r="AJ264" s="116"/>
      <c r="AK264" s="79"/>
      <c r="AL264" s="79"/>
      <c r="AM264" s="54"/>
    </row>
    <row r="265" spans="1:39" s="56" customFormat="1" ht="73.349999999999994" customHeight="1">
      <c r="A265" s="65" t="s">
        <v>458</v>
      </c>
      <c r="B265" s="54" t="s">
        <v>636</v>
      </c>
      <c r="C265" s="96"/>
      <c r="D265" s="97" t="s">
        <v>144</v>
      </c>
      <c r="E265" s="96" t="s">
        <v>17</v>
      </c>
      <c r="F265" s="98"/>
      <c r="G265" s="99" t="s">
        <v>1040</v>
      </c>
      <c r="H265" s="100"/>
      <c r="I265" s="101" t="s">
        <v>14</v>
      </c>
      <c r="J265" s="87"/>
      <c r="K265" s="87"/>
      <c r="L265" s="87"/>
      <c r="M265" s="87"/>
      <c r="N265" s="87"/>
      <c r="O265" s="87"/>
      <c r="P265" s="87"/>
      <c r="Q265" s="87"/>
      <c r="R265" s="87"/>
      <c r="S265" s="87"/>
      <c r="T265" s="87"/>
      <c r="U265" s="87"/>
      <c r="V265" s="87"/>
      <c r="W265" s="102"/>
      <c r="X265" s="102"/>
      <c r="Y265" s="96"/>
      <c r="Z265" s="104" t="s">
        <v>1009</v>
      </c>
      <c r="AA265" s="99"/>
      <c r="AB265" s="99"/>
      <c r="AC265" s="99"/>
      <c r="AD265" s="99"/>
      <c r="AE265" s="99"/>
      <c r="AF265" s="99"/>
      <c r="AG265" s="162"/>
      <c r="AH265" s="99"/>
      <c r="AI265" s="112"/>
      <c r="AJ265" s="94"/>
      <c r="AK265" s="95"/>
      <c r="AL265" s="95"/>
      <c r="AM265" s="57"/>
    </row>
    <row r="266" spans="1:39" ht="57.6">
      <c r="A266" s="65" t="s">
        <v>458</v>
      </c>
      <c r="C266" s="80"/>
      <c r="D266" s="81" t="s">
        <v>1041</v>
      </c>
      <c r="E266" s="82"/>
      <c r="F266" s="83"/>
      <c r="G266" s="84" t="s">
        <v>1042</v>
      </c>
      <c r="H266" s="85" t="s">
        <v>41</v>
      </c>
      <c r="I266" s="86"/>
      <c r="W266" s="186"/>
      <c r="X266" s="186"/>
      <c r="Y266" s="187"/>
      <c r="Z266" s="188"/>
      <c r="AA266" s="189"/>
      <c r="AB266" s="189"/>
      <c r="AC266" s="189"/>
      <c r="AD266" s="189"/>
      <c r="AE266" s="189"/>
      <c r="AF266" s="190"/>
      <c r="AG266" s="92"/>
      <c r="AH266" s="91"/>
      <c r="AI266" s="191"/>
      <c r="AJ266" s="108"/>
      <c r="AK266" s="108"/>
      <c r="AL266" s="108"/>
    </row>
    <row r="267" spans="1:39" ht="28.8">
      <c r="A267" s="65" t="s">
        <v>458</v>
      </c>
      <c r="B267" s="54" t="s">
        <v>636</v>
      </c>
      <c r="D267" s="97" t="s">
        <v>147</v>
      </c>
      <c r="E267" s="96" t="s">
        <v>17</v>
      </c>
      <c r="F267" s="98"/>
      <c r="G267" s="99" t="s">
        <v>1043</v>
      </c>
      <c r="H267" s="101"/>
      <c r="I267" s="101" t="s">
        <v>14</v>
      </c>
      <c r="W267" s="178"/>
      <c r="X267" s="178"/>
      <c r="Y267" s="179"/>
      <c r="Z267" s="180" t="s">
        <v>1009</v>
      </c>
      <c r="AA267" s="181"/>
      <c r="AB267" s="181"/>
      <c r="AC267" s="181"/>
      <c r="AD267" s="181"/>
      <c r="AE267" s="181"/>
      <c r="AF267" s="182"/>
      <c r="AG267" s="162"/>
      <c r="AI267" s="183"/>
      <c r="AJ267" s="94"/>
      <c r="AK267" s="95"/>
      <c r="AL267" s="95"/>
    </row>
    <row r="268" spans="1:39" s="56" customFormat="1" ht="53.1" customHeight="1">
      <c r="A268" s="65" t="s">
        <v>458</v>
      </c>
      <c r="B268" s="54"/>
      <c r="C268" s="80"/>
      <c r="D268" s="81" t="s">
        <v>1044</v>
      </c>
      <c r="E268" s="82"/>
      <c r="F268" s="83"/>
      <c r="G268" s="84" t="s">
        <v>1045</v>
      </c>
      <c r="H268" s="85" t="s">
        <v>41</v>
      </c>
      <c r="I268" s="86"/>
      <c r="J268" s="87"/>
      <c r="K268" s="87"/>
      <c r="L268" s="87"/>
      <c r="M268" s="87"/>
      <c r="N268" s="87"/>
      <c r="O268" s="87"/>
      <c r="P268" s="87"/>
      <c r="Q268" s="87"/>
      <c r="R268" s="87"/>
      <c r="S268" s="87"/>
      <c r="T268" s="87"/>
      <c r="U268" s="87"/>
      <c r="V268" s="87"/>
      <c r="W268" s="88"/>
      <c r="X268" s="88"/>
      <c r="Y268" s="89"/>
      <c r="Z268" s="90"/>
      <c r="AA268" s="91"/>
      <c r="AB268" s="91"/>
      <c r="AC268" s="91"/>
      <c r="AD268" s="91"/>
      <c r="AE268" s="91"/>
      <c r="AF268" s="84"/>
      <c r="AG268" s="92"/>
      <c r="AH268" s="91"/>
      <c r="AI268" s="93"/>
      <c r="AJ268" s="116"/>
      <c r="AK268" s="79"/>
      <c r="AL268" s="79"/>
      <c r="AM268" s="57"/>
    </row>
    <row r="269" spans="1:39" ht="60" customHeight="1">
      <c r="A269" s="65" t="s">
        <v>458</v>
      </c>
      <c r="B269" s="54" t="s">
        <v>614</v>
      </c>
      <c r="D269" s="97" t="s">
        <v>1046</v>
      </c>
      <c r="E269" s="96" t="s">
        <v>11</v>
      </c>
      <c r="F269" s="98"/>
      <c r="G269" s="181" t="s">
        <v>1047</v>
      </c>
      <c r="H269" s="101" t="s">
        <v>41</v>
      </c>
      <c r="I269" s="101" t="s">
        <v>454</v>
      </c>
      <c r="W269" s="178"/>
      <c r="X269" s="178"/>
      <c r="Y269" s="122"/>
      <c r="Z269" s="180" t="s">
        <v>1048</v>
      </c>
      <c r="AA269" s="181"/>
      <c r="AB269" s="181"/>
      <c r="AC269" s="181"/>
      <c r="AD269" s="181"/>
      <c r="AE269" s="182"/>
      <c r="AF269" s="200"/>
      <c r="AG269" s="162"/>
      <c r="AI269" s="183" t="s">
        <v>465</v>
      </c>
      <c r="AJ269" s="114"/>
      <c r="AK269" s="85"/>
      <c r="AL269" s="85"/>
      <c r="AM269" s="54"/>
    </row>
    <row r="270" spans="1:39" s="56" customFormat="1" ht="69.599999999999994" customHeight="1">
      <c r="A270" s="65" t="s">
        <v>458</v>
      </c>
      <c r="B270" s="54"/>
      <c r="C270" s="80"/>
      <c r="D270" s="81" t="s">
        <v>1049</v>
      </c>
      <c r="E270" s="82"/>
      <c r="F270" s="83"/>
      <c r="G270" s="84" t="s">
        <v>1050</v>
      </c>
      <c r="H270" s="85" t="s">
        <v>41</v>
      </c>
      <c r="I270" s="86"/>
      <c r="J270" s="87"/>
      <c r="K270" s="87"/>
      <c r="L270" s="87"/>
      <c r="M270" s="87"/>
      <c r="N270" s="87"/>
      <c r="O270" s="87"/>
      <c r="P270" s="87"/>
      <c r="Q270" s="87"/>
      <c r="R270" s="87"/>
      <c r="S270" s="87"/>
      <c r="T270" s="87"/>
      <c r="U270" s="87"/>
      <c r="V270" s="87"/>
      <c r="W270" s="88"/>
      <c r="X270" s="88"/>
      <c r="Y270" s="89"/>
      <c r="Z270" s="90"/>
      <c r="AA270" s="91"/>
      <c r="AB270" s="91"/>
      <c r="AC270" s="91"/>
      <c r="AD270" s="91"/>
      <c r="AE270" s="91"/>
      <c r="AF270" s="84"/>
      <c r="AG270" s="92"/>
      <c r="AH270" s="91"/>
      <c r="AI270" s="93"/>
      <c r="AJ270" s="116"/>
      <c r="AK270" s="79"/>
      <c r="AL270" s="79"/>
      <c r="AM270" s="57"/>
    </row>
    <row r="271" spans="1:39" ht="57.6">
      <c r="A271" s="56" t="s">
        <v>458</v>
      </c>
      <c r="B271" s="54" t="s">
        <v>636</v>
      </c>
      <c r="D271" s="97" t="s">
        <v>150</v>
      </c>
      <c r="E271" s="96" t="s">
        <v>11</v>
      </c>
      <c r="F271" s="98"/>
      <c r="G271" s="99" t="s">
        <v>1051</v>
      </c>
      <c r="H271" s="101"/>
      <c r="I271" s="101" t="s">
        <v>14</v>
      </c>
      <c r="W271" s="178"/>
      <c r="X271" s="178"/>
      <c r="Y271" s="122"/>
      <c r="Z271" s="180" t="s">
        <v>1052</v>
      </c>
      <c r="AA271" s="181"/>
      <c r="AB271" s="181"/>
      <c r="AC271" s="181"/>
      <c r="AD271" s="181"/>
      <c r="AE271" s="181"/>
      <c r="AF271" s="200"/>
      <c r="AG271" s="162"/>
      <c r="AI271" s="183"/>
      <c r="AJ271" s="114"/>
      <c r="AK271" s="85"/>
      <c r="AL271" s="85"/>
    </row>
    <row r="272" spans="1:39" s="56" customFormat="1" ht="34.5" customHeight="1">
      <c r="A272" s="56" t="s">
        <v>458</v>
      </c>
      <c r="B272" s="54"/>
      <c r="C272" s="96"/>
      <c r="D272" s="97" t="s">
        <v>1053</v>
      </c>
      <c r="E272" s="97"/>
      <c r="F272" s="98" t="s">
        <v>64</v>
      </c>
      <c r="G272" s="109" t="s">
        <v>1054</v>
      </c>
      <c r="H272" s="100"/>
      <c r="I272" s="101"/>
      <c r="J272" s="87"/>
      <c r="K272" s="87"/>
      <c r="L272" s="87"/>
      <c r="M272" s="87"/>
      <c r="N272" s="87"/>
      <c r="O272" s="87"/>
      <c r="P272" s="87"/>
      <c r="Q272" s="87"/>
      <c r="R272" s="87"/>
      <c r="S272" s="87"/>
      <c r="T272" s="87"/>
      <c r="U272" s="87"/>
      <c r="V272" s="87"/>
      <c r="W272" s="102"/>
      <c r="X272" s="102"/>
      <c r="Y272" s="96"/>
      <c r="Z272" s="104"/>
      <c r="AA272" s="99"/>
      <c r="AB272" s="99"/>
      <c r="AC272" s="99"/>
      <c r="AD272" s="99"/>
      <c r="AE272" s="99"/>
      <c r="AF272" s="201"/>
      <c r="AG272" s="162"/>
      <c r="AH272" s="99"/>
      <c r="AI272" s="112"/>
      <c r="AJ272" s="116"/>
      <c r="AK272" s="79"/>
      <c r="AL272" s="79"/>
      <c r="AM272" s="57"/>
    </row>
    <row r="273" spans="1:39" ht="57.6">
      <c r="A273" s="56" t="s">
        <v>458</v>
      </c>
      <c r="C273" s="80"/>
      <c r="D273" s="81" t="s">
        <v>1055</v>
      </c>
      <c r="E273" s="82"/>
      <c r="F273" s="83"/>
      <c r="G273" s="84" t="s">
        <v>1056</v>
      </c>
      <c r="H273" s="85" t="s">
        <v>41</v>
      </c>
      <c r="I273" s="86"/>
      <c r="W273" s="186"/>
      <c r="X273" s="186"/>
      <c r="Y273" s="187"/>
      <c r="Z273" s="188"/>
      <c r="AA273" s="189"/>
      <c r="AB273" s="189"/>
      <c r="AC273" s="189"/>
      <c r="AD273" s="189"/>
      <c r="AE273" s="189"/>
      <c r="AF273" s="190"/>
      <c r="AG273" s="92"/>
      <c r="AH273" s="91"/>
      <c r="AI273" s="191"/>
      <c r="AJ273" s="114"/>
      <c r="AK273" s="85"/>
      <c r="AL273" s="85"/>
    </row>
    <row r="274" spans="1:39" s="56" customFormat="1" ht="34.5" customHeight="1">
      <c r="A274" s="56" t="s">
        <v>458</v>
      </c>
      <c r="B274" s="54" t="s">
        <v>636</v>
      </c>
      <c r="C274" s="96"/>
      <c r="D274" s="97" t="s">
        <v>154</v>
      </c>
      <c r="E274" s="96" t="s">
        <v>17</v>
      </c>
      <c r="F274" s="98"/>
      <c r="G274" s="99" t="s">
        <v>1057</v>
      </c>
      <c r="H274" s="100"/>
      <c r="I274" s="101" t="s">
        <v>14</v>
      </c>
      <c r="J274" s="87"/>
      <c r="K274" s="87"/>
      <c r="L274" s="87"/>
      <c r="M274" s="87"/>
      <c r="N274" s="87"/>
      <c r="O274" s="87"/>
      <c r="P274" s="87"/>
      <c r="Q274" s="87"/>
      <c r="R274" s="87"/>
      <c r="S274" s="87"/>
      <c r="T274" s="87"/>
      <c r="U274" s="87"/>
      <c r="V274" s="87"/>
      <c r="W274" s="102"/>
      <c r="X274" s="102"/>
      <c r="Y274" s="96"/>
      <c r="Z274" s="104" t="s">
        <v>1058</v>
      </c>
      <c r="AA274" s="99"/>
      <c r="AB274" s="99"/>
      <c r="AC274" s="99"/>
      <c r="AD274" s="99"/>
      <c r="AE274" s="99"/>
      <c r="AF274" s="105"/>
      <c r="AG274" s="162"/>
      <c r="AH274" s="99"/>
      <c r="AI274" s="112"/>
      <c r="AJ274" s="116"/>
      <c r="AK274" s="79"/>
      <c r="AL274" s="79"/>
      <c r="AM274" s="57"/>
    </row>
    <row r="275" spans="1:39" ht="57.6">
      <c r="A275" s="56" t="s">
        <v>458</v>
      </c>
      <c r="B275" s="54" t="s">
        <v>172</v>
      </c>
      <c r="D275" s="97" t="s">
        <v>157</v>
      </c>
      <c r="E275" s="122" t="s">
        <v>17</v>
      </c>
      <c r="F275" s="202"/>
      <c r="G275" s="109" t="s">
        <v>1059</v>
      </c>
      <c r="H275" s="101"/>
      <c r="I275" s="101" t="s">
        <v>14</v>
      </c>
      <c r="W275" s="178"/>
      <c r="X275" s="178"/>
      <c r="Y275" s="122"/>
      <c r="Z275" s="180" t="s">
        <v>1060</v>
      </c>
      <c r="AA275" s="181"/>
      <c r="AB275" s="181"/>
      <c r="AC275" s="181"/>
      <c r="AD275" s="181"/>
      <c r="AE275" s="181"/>
      <c r="AF275" s="182"/>
      <c r="AG275" s="162"/>
      <c r="AI275" s="183"/>
      <c r="AJ275" s="114"/>
      <c r="AK275" s="85"/>
      <c r="AL275" s="85"/>
    </row>
    <row r="276" spans="1:39" s="56" customFormat="1" ht="34.5" customHeight="1">
      <c r="A276" s="56" t="s">
        <v>458</v>
      </c>
      <c r="B276" s="54" t="s">
        <v>636</v>
      </c>
      <c r="C276" s="96"/>
      <c r="D276" s="97" t="s">
        <v>1061</v>
      </c>
      <c r="E276" s="96" t="s">
        <v>11</v>
      </c>
      <c r="F276" s="98"/>
      <c r="G276" s="99" t="s">
        <v>1062</v>
      </c>
      <c r="H276" s="100" t="s">
        <v>41</v>
      </c>
      <c r="I276" s="101" t="s">
        <v>454</v>
      </c>
      <c r="J276" s="87"/>
      <c r="K276" s="87"/>
      <c r="L276" s="87"/>
      <c r="M276" s="87"/>
      <c r="N276" s="87"/>
      <c r="O276" s="87"/>
      <c r="P276" s="87"/>
      <c r="Q276" s="87"/>
      <c r="R276" s="87"/>
      <c r="S276" s="87"/>
      <c r="T276" s="87"/>
      <c r="U276" s="87"/>
      <c r="V276" s="87"/>
      <c r="W276" s="102"/>
      <c r="X276" s="102"/>
      <c r="Y276" s="96"/>
      <c r="Z276" s="104" t="s">
        <v>1063</v>
      </c>
      <c r="AA276" s="99"/>
      <c r="AB276" s="99"/>
      <c r="AC276" s="99"/>
      <c r="AD276" s="99"/>
      <c r="AE276" s="99"/>
      <c r="AF276" s="105"/>
      <c r="AG276" s="162"/>
      <c r="AH276" s="99"/>
      <c r="AI276" s="112"/>
      <c r="AJ276" s="116"/>
      <c r="AK276" s="79"/>
      <c r="AL276" s="79"/>
      <c r="AM276" s="57"/>
    </row>
    <row r="277" spans="1:39" ht="57.75" customHeight="1">
      <c r="A277" s="65" t="s">
        <v>458</v>
      </c>
      <c r="C277" s="80"/>
      <c r="D277" s="81" t="s">
        <v>1064</v>
      </c>
      <c r="E277" s="82"/>
      <c r="F277" s="83"/>
      <c r="G277" s="84" t="s">
        <v>1065</v>
      </c>
      <c r="H277" s="85" t="s">
        <v>41</v>
      </c>
      <c r="I277" s="86"/>
      <c r="W277" s="186"/>
      <c r="X277" s="186"/>
      <c r="Y277" s="187"/>
      <c r="Z277" s="188"/>
      <c r="AA277" s="189"/>
      <c r="AB277" s="189"/>
      <c r="AC277" s="189"/>
      <c r="AD277" s="189"/>
      <c r="AE277" s="189"/>
      <c r="AF277" s="190"/>
      <c r="AG277" s="92"/>
      <c r="AH277" s="91"/>
      <c r="AI277" s="191"/>
      <c r="AJ277" s="116"/>
      <c r="AK277" s="79"/>
      <c r="AL277" s="79"/>
      <c r="AM277" s="54"/>
    </row>
    <row r="278" spans="1:39" ht="31.35" customHeight="1">
      <c r="A278" s="65" t="s">
        <v>458</v>
      </c>
      <c r="B278" s="54" t="s">
        <v>781</v>
      </c>
      <c r="D278" s="97" t="s">
        <v>161</v>
      </c>
      <c r="E278" s="96" t="s">
        <v>11</v>
      </c>
      <c r="F278" s="98"/>
      <c r="G278" s="99" t="s">
        <v>1066</v>
      </c>
      <c r="H278" s="157"/>
      <c r="I278" s="101" t="s">
        <v>1067</v>
      </c>
      <c r="W278" s="178"/>
      <c r="X278" s="178"/>
      <c r="Y278" s="122"/>
      <c r="Z278" s="180" t="s">
        <v>164</v>
      </c>
      <c r="AA278" s="181"/>
      <c r="AB278" s="181"/>
      <c r="AC278" s="181"/>
      <c r="AD278" s="181"/>
      <c r="AE278" s="181"/>
      <c r="AF278" s="181"/>
      <c r="AG278" s="162"/>
      <c r="AI278" s="183"/>
      <c r="AJ278" s="94"/>
      <c r="AK278" s="95"/>
      <c r="AL278" s="95"/>
      <c r="AM278" s="54"/>
    </row>
    <row r="279" spans="1:39" s="56" customFormat="1" ht="34.5" customHeight="1">
      <c r="A279" s="65" t="s">
        <v>458</v>
      </c>
      <c r="B279" s="54"/>
      <c r="C279" s="96"/>
      <c r="D279" s="97" t="s">
        <v>1068</v>
      </c>
      <c r="E279" s="97"/>
      <c r="F279" s="166" t="s">
        <v>64</v>
      </c>
      <c r="G279" s="167" t="s">
        <v>1069</v>
      </c>
      <c r="H279" s="153"/>
      <c r="I279" s="101"/>
      <c r="J279" s="87"/>
      <c r="K279" s="87"/>
      <c r="L279" s="87"/>
      <c r="M279" s="87"/>
      <c r="N279" s="87"/>
      <c r="O279" s="87"/>
      <c r="P279" s="87"/>
      <c r="Q279" s="87"/>
      <c r="R279" s="87"/>
      <c r="S279" s="87"/>
      <c r="T279" s="87"/>
      <c r="U279" s="87"/>
      <c r="V279" s="87"/>
      <c r="W279" s="102"/>
      <c r="X279" s="102"/>
      <c r="Y279" s="96"/>
      <c r="Z279" s="104"/>
      <c r="AA279" s="99"/>
      <c r="AB279" s="99"/>
      <c r="AC279" s="99"/>
      <c r="AD279" s="99"/>
      <c r="AE279" s="99"/>
      <c r="AF279" s="99"/>
      <c r="AG279" s="162"/>
      <c r="AH279" s="99"/>
      <c r="AI279" s="112"/>
      <c r="AJ279" s="116"/>
      <c r="AK279" s="79"/>
      <c r="AL279" s="79"/>
      <c r="AM279" s="57"/>
    </row>
    <row r="280" spans="1:39" ht="36" customHeight="1">
      <c r="A280" s="65" t="s">
        <v>458</v>
      </c>
      <c r="C280" s="80"/>
      <c r="D280" s="81" t="s">
        <v>1070</v>
      </c>
      <c r="E280" s="82"/>
      <c r="F280" s="83"/>
      <c r="G280" s="84" t="s">
        <v>1071</v>
      </c>
      <c r="H280" s="85" t="s">
        <v>41</v>
      </c>
      <c r="I280" s="86"/>
      <c r="W280" s="186"/>
      <c r="X280" s="186"/>
      <c r="Y280" s="187"/>
      <c r="Z280" s="188"/>
      <c r="AA280" s="189"/>
      <c r="AB280" s="189"/>
      <c r="AC280" s="189"/>
      <c r="AD280" s="189"/>
      <c r="AE280" s="189"/>
      <c r="AF280" s="190"/>
      <c r="AG280" s="92"/>
      <c r="AH280" s="91"/>
      <c r="AI280" s="191"/>
      <c r="AJ280" s="108"/>
      <c r="AK280" s="108"/>
      <c r="AL280" s="108"/>
      <c r="AM280" s="54"/>
    </row>
    <row r="281" spans="1:39" s="56" customFormat="1" ht="56.1" customHeight="1">
      <c r="A281" s="65" t="s">
        <v>458</v>
      </c>
      <c r="B281" s="54" t="s">
        <v>172</v>
      </c>
      <c r="C281" s="96"/>
      <c r="D281" s="97" t="s">
        <v>1072</v>
      </c>
      <c r="E281" s="96" t="s">
        <v>17</v>
      </c>
      <c r="F281" s="99"/>
      <c r="G281" s="99" t="s">
        <v>1073</v>
      </c>
      <c r="H281" s="100"/>
      <c r="I281" s="101" t="s">
        <v>14</v>
      </c>
      <c r="J281" s="87"/>
      <c r="K281" s="87"/>
      <c r="L281" s="87"/>
      <c r="M281" s="87"/>
      <c r="N281" s="87"/>
      <c r="O281" s="87"/>
      <c r="P281" s="87"/>
      <c r="Q281" s="87"/>
      <c r="R281" s="87"/>
      <c r="S281" s="87"/>
      <c r="T281" s="87"/>
      <c r="U281" s="87"/>
      <c r="V281" s="87"/>
      <c r="W281" s="102"/>
      <c r="X281" s="102"/>
      <c r="Y281" s="96"/>
      <c r="Z281" s="104" t="s">
        <v>1074</v>
      </c>
      <c r="AA281" s="99"/>
      <c r="AB281" s="99"/>
      <c r="AC281" s="99"/>
      <c r="AD281" s="99"/>
      <c r="AE281" s="99"/>
      <c r="AF281" s="201"/>
      <c r="AG281" s="162"/>
      <c r="AH281" s="109"/>
      <c r="AI281" s="112"/>
      <c r="AJ281" s="116"/>
      <c r="AK281" s="79"/>
      <c r="AL281" s="79"/>
      <c r="AM281" s="57"/>
    </row>
    <row r="282" spans="1:39" ht="43.2">
      <c r="A282" s="56"/>
      <c r="B282" s="56"/>
      <c r="C282" s="80"/>
      <c r="D282" s="81" t="s">
        <v>1075</v>
      </c>
      <c r="E282" s="203"/>
      <c r="F282" s="204" t="s">
        <v>1076</v>
      </c>
      <c r="G282" s="84" t="s">
        <v>1077</v>
      </c>
      <c r="H282" s="86" t="s">
        <v>758</v>
      </c>
      <c r="I282" s="86" t="s">
        <v>759</v>
      </c>
      <c r="W282" s="186"/>
      <c r="X282" s="186"/>
      <c r="Y282" s="187"/>
      <c r="Z282" s="90"/>
      <c r="AA282" s="189"/>
      <c r="AB282" s="189"/>
      <c r="AC282" s="189"/>
      <c r="AD282" s="189"/>
      <c r="AE282" s="189"/>
      <c r="AF282" s="190"/>
      <c r="AG282" s="92"/>
      <c r="AH282" s="91"/>
      <c r="AI282" s="191"/>
      <c r="AJ282" s="114"/>
      <c r="AK282" s="85"/>
      <c r="AL282" s="85"/>
    </row>
    <row r="283" spans="1:39" s="56" customFormat="1" ht="34.5" customHeight="1">
      <c r="C283" s="96"/>
      <c r="D283" s="97" t="s">
        <v>1078</v>
      </c>
      <c r="E283" s="97"/>
      <c r="F283" s="99"/>
      <c r="G283" s="105"/>
      <c r="H283" s="100"/>
      <c r="I283" s="101"/>
      <c r="J283" s="87"/>
      <c r="K283" s="87"/>
      <c r="L283" s="87"/>
      <c r="M283" s="87"/>
      <c r="N283" s="87"/>
      <c r="O283" s="87"/>
      <c r="P283" s="87"/>
      <c r="Q283" s="87"/>
      <c r="R283" s="87"/>
      <c r="S283" s="87"/>
      <c r="T283" s="87"/>
      <c r="U283" s="87"/>
      <c r="V283" s="87"/>
      <c r="W283" s="102"/>
      <c r="X283" s="102"/>
      <c r="Y283" s="103"/>
      <c r="Z283" s="104"/>
      <c r="AA283" s="99"/>
      <c r="AB283" s="99"/>
      <c r="AC283" s="99"/>
      <c r="AD283" s="99"/>
      <c r="AE283" s="105"/>
      <c r="AF283" s="105"/>
      <c r="AG283" s="162"/>
      <c r="AH283" s="99"/>
      <c r="AI283" s="112"/>
      <c r="AJ283" s="116"/>
      <c r="AK283" s="79"/>
      <c r="AL283" s="79"/>
      <c r="AM283" s="57"/>
    </row>
    <row r="284" spans="1:39" ht="29.85" customHeight="1">
      <c r="A284" s="56"/>
      <c r="B284" s="56"/>
      <c r="C284" s="80"/>
      <c r="D284" s="81" t="s">
        <v>1079</v>
      </c>
      <c r="E284" s="203"/>
      <c r="F284" s="204"/>
      <c r="G284" s="84" t="s">
        <v>1080</v>
      </c>
      <c r="H284" s="86" t="s">
        <v>758</v>
      </c>
      <c r="I284" s="86" t="s">
        <v>759</v>
      </c>
      <c r="W284" s="186"/>
      <c r="X284" s="186"/>
      <c r="Y284" s="187"/>
      <c r="Z284" s="188"/>
      <c r="AA284" s="189"/>
      <c r="AB284" s="189"/>
      <c r="AC284" s="189"/>
      <c r="AD284" s="189"/>
      <c r="AE284" s="189"/>
      <c r="AF284" s="190"/>
      <c r="AG284" s="92"/>
      <c r="AH284" s="91"/>
      <c r="AI284" s="191"/>
      <c r="AJ284" s="114"/>
      <c r="AK284" s="85"/>
      <c r="AL284" s="85"/>
      <c r="AM284" s="54"/>
    </row>
    <row r="285" spans="1:39" s="56" customFormat="1" ht="34.5" customHeight="1">
      <c r="C285" s="96"/>
      <c r="D285" s="97" t="s">
        <v>1081</v>
      </c>
      <c r="E285" s="97"/>
      <c r="F285" s="99"/>
      <c r="G285" s="105"/>
      <c r="H285" s="100"/>
      <c r="I285" s="101"/>
      <c r="J285" s="87"/>
      <c r="K285" s="87"/>
      <c r="L285" s="87"/>
      <c r="M285" s="87"/>
      <c r="N285" s="87"/>
      <c r="O285" s="87"/>
      <c r="P285" s="87"/>
      <c r="Q285" s="87"/>
      <c r="R285" s="87"/>
      <c r="S285" s="87"/>
      <c r="T285" s="87"/>
      <c r="U285" s="87"/>
      <c r="V285" s="87"/>
      <c r="W285" s="102"/>
      <c r="X285" s="102"/>
      <c r="Y285" s="96"/>
      <c r="Z285" s="104"/>
      <c r="AA285" s="99"/>
      <c r="AB285" s="99"/>
      <c r="AC285" s="99"/>
      <c r="AD285" s="99"/>
      <c r="AE285" s="99"/>
      <c r="AF285" s="105"/>
      <c r="AG285" s="162"/>
      <c r="AH285" s="99"/>
      <c r="AI285" s="112"/>
      <c r="AJ285" s="116"/>
      <c r="AK285" s="79"/>
      <c r="AL285" s="79"/>
      <c r="AM285" s="57"/>
    </row>
    <row r="286" spans="1:39" ht="28.8">
      <c r="A286" s="56"/>
      <c r="B286" s="56"/>
      <c r="C286" s="80"/>
      <c r="D286" s="81" t="s">
        <v>1082</v>
      </c>
      <c r="E286" s="203"/>
      <c r="F286" s="204"/>
      <c r="G286" s="84" t="s">
        <v>1083</v>
      </c>
      <c r="H286" s="86" t="s">
        <v>758</v>
      </c>
      <c r="I286" s="86" t="s">
        <v>759</v>
      </c>
      <c r="W286" s="186"/>
      <c r="X286" s="186"/>
      <c r="Y286" s="187"/>
      <c r="Z286" s="188"/>
      <c r="AA286" s="189"/>
      <c r="AB286" s="189"/>
      <c r="AC286" s="189"/>
      <c r="AD286" s="189"/>
      <c r="AE286" s="189"/>
      <c r="AF286" s="190"/>
      <c r="AG286" s="92"/>
      <c r="AH286" s="91"/>
      <c r="AI286" s="191"/>
      <c r="AJ286" s="114"/>
      <c r="AK286" s="85"/>
      <c r="AL286" s="85"/>
    </row>
    <row r="287" spans="1:39" s="56" customFormat="1" ht="34.5" customHeight="1">
      <c r="C287" s="96"/>
      <c r="D287" s="97" t="s">
        <v>1084</v>
      </c>
      <c r="E287" s="97"/>
      <c r="F287" s="98"/>
      <c r="G287" s="105"/>
      <c r="H287" s="100"/>
      <c r="I287" s="101"/>
      <c r="J287" s="87"/>
      <c r="K287" s="87"/>
      <c r="L287" s="87"/>
      <c r="M287" s="87"/>
      <c r="N287" s="87"/>
      <c r="O287" s="87"/>
      <c r="P287" s="87"/>
      <c r="Q287" s="87"/>
      <c r="R287" s="87"/>
      <c r="S287" s="87"/>
      <c r="T287" s="87"/>
      <c r="U287" s="87"/>
      <c r="V287" s="87"/>
      <c r="W287" s="102"/>
      <c r="X287" s="102"/>
      <c r="Y287" s="96"/>
      <c r="Z287" s="104"/>
      <c r="AA287" s="99"/>
      <c r="AB287" s="99"/>
      <c r="AC287" s="99"/>
      <c r="AD287" s="99"/>
      <c r="AE287" s="99"/>
      <c r="AF287" s="201"/>
      <c r="AG287" s="162"/>
      <c r="AH287" s="99"/>
      <c r="AI287" s="112"/>
      <c r="AJ287" s="94"/>
      <c r="AK287" s="95"/>
      <c r="AL287" s="95"/>
      <c r="AM287" s="57"/>
    </row>
    <row r="288" spans="1:39" ht="28.8">
      <c r="A288" s="56"/>
      <c r="B288" s="56"/>
      <c r="C288" s="80"/>
      <c r="D288" s="81" t="s">
        <v>1085</v>
      </c>
      <c r="E288" s="82"/>
      <c r="F288" s="204"/>
      <c r="G288" s="190" t="s">
        <v>1086</v>
      </c>
      <c r="H288" s="86" t="s">
        <v>758</v>
      </c>
      <c r="I288" s="86" t="s">
        <v>759</v>
      </c>
      <c r="W288" s="186"/>
      <c r="X288" s="186"/>
      <c r="Y288" s="187"/>
      <c r="Z288" s="188"/>
      <c r="AA288" s="189"/>
      <c r="AB288" s="189"/>
      <c r="AC288" s="189"/>
      <c r="AD288" s="189"/>
      <c r="AE288" s="189"/>
      <c r="AF288" s="190"/>
      <c r="AG288" s="92"/>
      <c r="AH288" s="91"/>
      <c r="AI288" s="191"/>
      <c r="AJ288" s="108"/>
      <c r="AK288" s="108"/>
      <c r="AL288" s="108"/>
      <c r="AM288" s="54"/>
    </row>
    <row r="289" spans="1:39" s="56" customFormat="1" ht="81" customHeight="1">
      <c r="C289" s="96"/>
      <c r="D289" s="97" t="s">
        <v>1087</v>
      </c>
      <c r="E289" s="97"/>
      <c r="F289" s="99"/>
      <c r="G289" s="105"/>
      <c r="H289" s="100"/>
      <c r="I289" s="101"/>
      <c r="J289" s="87"/>
      <c r="K289" s="87"/>
      <c r="L289" s="87"/>
      <c r="M289" s="87"/>
      <c r="N289" s="87"/>
      <c r="O289" s="87"/>
      <c r="P289" s="87"/>
      <c r="Q289" s="87"/>
      <c r="R289" s="87"/>
      <c r="S289" s="87"/>
      <c r="T289" s="87"/>
      <c r="U289" s="87"/>
      <c r="V289" s="87"/>
      <c r="W289" s="102"/>
      <c r="X289" s="102"/>
      <c r="Y289" s="96"/>
      <c r="Z289" s="104"/>
      <c r="AA289" s="99"/>
      <c r="AB289" s="99"/>
      <c r="AC289" s="99"/>
      <c r="AD289" s="99"/>
      <c r="AE289" s="99"/>
      <c r="AF289" s="105"/>
      <c r="AG289" s="162"/>
      <c r="AH289" s="99"/>
      <c r="AI289" s="112"/>
      <c r="AJ289" s="94"/>
      <c r="AK289" s="95"/>
      <c r="AL289" s="95"/>
      <c r="AM289" s="57"/>
    </row>
    <row r="290" spans="1:39" ht="19.350000000000001" customHeight="1">
      <c r="A290" s="56"/>
      <c r="B290" s="56"/>
      <c r="C290" s="80"/>
      <c r="D290" s="81" t="s">
        <v>1088</v>
      </c>
      <c r="E290" s="82"/>
      <c r="F290" s="204"/>
      <c r="G290" s="84" t="s">
        <v>1089</v>
      </c>
      <c r="H290" s="86" t="s">
        <v>758</v>
      </c>
      <c r="I290" s="86" t="s">
        <v>759</v>
      </c>
      <c r="W290" s="186"/>
      <c r="X290" s="186"/>
      <c r="Y290" s="187"/>
      <c r="Z290" s="188"/>
      <c r="AA290" s="189"/>
      <c r="AB290" s="189"/>
      <c r="AC290" s="189"/>
      <c r="AD290" s="189"/>
      <c r="AE290" s="189"/>
      <c r="AF290" s="190"/>
      <c r="AG290" s="92"/>
      <c r="AH290" s="91"/>
      <c r="AI290" s="191"/>
      <c r="AJ290" s="108"/>
      <c r="AK290" s="108"/>
      <c r="AL290" s="108"/>
      <c r="AM290" s="54"/>
    </row>
    <row r="291" spans="1:39" ht="18.600000000000001" customHeight="1">
      <c r="A291" s="56"/>
      <c r="B291" s="56"/>
      <c r="D291" s="97" t="s">
        <v>1090</v>
      </c>
      <c r="E291" s="123"/>
      <c r="F291" s="181"/>
      <c r="G291" s="105"/>
      <c r="H291" s="101"/>
      <c r="W291" s="178"/>
      <c r="X291" s="178"/>
      <c r="Y291" s="179"/>
      <c r="Z291" s="180"/>
      <c r="AA291" s="181"/>
      <c r="AB291" s="181"/>
      <c r="AC291" s="181"/>
      <c r="AD291" s="181"/>
      <c r="AE291" s="182"/>
      <c r="AF291" s="182"/>
      <c r="AG291" s="162"/>
      <c r="AI291" s="183"/>
      <c r="AJ291" s="94"/>
      <c r="AK291" s="95"/>
      <c r="AL291" s="95"/>
      <c r="AM291" s="54"/>
    </row>
    <row r="292" spans="1:39" s="56" customFormat="1" ht="34.5" customHeight="1">
      <c r="C292" s="80"/>
      <c r="D292" s="81" t="s">
        <v>1091</v>
      </c>
      <c r="E292" s="82"/>
      <c r="F292" s="83"/>
      <c r="G292" s="84" t="s">
        <v>1092</v>
      </c>
      <c r="H292" s="85" t="s">
        <v>758</v>
      </c>
      <c r="I292" s="86" t="s">
        <v>759</v>
      </c>
      <c r="J292" s="87"/>
      <c r="K292" s="87"/>
      <c r="L292" s="87"/>
      <c r="M292" s="87"/>
      <c r="N292" s="87"/>
      <c r="O292" s="87"/>
      <c r="P292" s="87"/>
      <c r="Q292" s="87"/>
      <c r="R292" s="87"/>
      <c r="S292" s="87"/>
      <c r="T292" s="87"/>
      <c r="U292" s="87"/>
      <c r="V292" s="87"/>
      <c r="W292" s="88"/>
      <c r="X292" s="88"/>
      <c r="Y292" s="89"/>
      <c r="Z292" s="90"/>
      <c r="AA292" s="91"/>
      <c r="AB292" s="91"/>
      <c r="AC292" s="91"/>
      <c r="AD292" s="91"/>
      <c r="AE292" s="91"/>
      <c r="AF292" s="84"/>
      <c r="AG292" s="92"/>
      <c r="AH292" s="91"/>
      <c r="AI292" s="93"/>
      <c r="AJ292" s="116"/>
      <c r="AK292" s="79"/>
      <c r="AL292" s="79"/>
      <c r="AM292" s="57"/>
    </row>
    <row r="293" spans="1:39" ht="19.350000000000001" customHeight="1">
      <c r="A293" s="56"/>
      <c r="B293" s="56"/>
      <c r="D293" s="97" t="s">
        <v>1093</v>
      </c>
      <c r="E293" s="123"/>
      <c r="F293" s="181"/>
      <c r="G293" s="105"/>
      <c r="H293" s="101"/>
      <c r="W293" s="178"/>
      <c r="X293" s="178"/>
      <c r="Y293" s="122"/>
      <c r="Z293" s="180"/>
      <c r="AA293" s="181"/>
      <c r="AB293" s="181"/>
      <c r="AC293" s="181"/>
      <c r="AD293" s="181"/>
      <c r="AE293" s="181"/>
      <c r="AF293" s="200"/>
      <c r="AG293" s="162"/>
      <c r="AI293" s="183"/>
      <c r="AJ293" s="114"/>
      <c r="AK293" s="85"/>
      <c r="AL293" s="85"/>
      <c r="AM293" s="54"/>
    </row>
    <row r="294" spans="1:39" s="56" customFormat="1" ht="46.5" customHeight="1">
      <c r="C294" s="80"/>
      <c r="D294" s="81" t="s">
        <v>1094</v>
      </c>
      <c r="E294" s="82"/>
      <c r="F294" s="83"/>
      <c r="G294" s="84" t="s">
        <v>1095</v>
      </c>
      <c r="H294" s="85" t="s">
        <v>758</v>
      </c>
      <c r="I294" s="86" t="s">
        <v>759</v>
      </c>
      <c r="J294" s="87"/>
      <c r="K294" s="87"/>
      <c r="L294" s="87"/>
      <c r="M294" s="87"/>
      <c r="N294" s="87"/>
      <c r="O294" s="87"/>
      <c r="P294" s="87"/>
      <c r="Q294" s="87"/>
      <c r="R294" s="87"/>
      <c r="S294" s="87"/>
      <c r="T294" s="87"/>
      <c r="U294" s="87"/>
      <c r="V294" s="87"/>
      <c r="W294" s="88"/>
      <c r="X294" s="88"/>
      <c r="Y294" s="89"/>
      <c r="Z294" s="90"/>
      <c r="AA294" s="91"/>
      <c r="AB294" s="91"/>
      <c r="AC294" s="91"/>
      <c r="AD294" s="91"/>
      <c r="AE294" s="91"/>
      <c r="AF294" s="84"/>
      <c r="AG294" s="92"/>
      <c r="AH294" s="91"/>
      <c r="AI294" s="93"/>
      <c r="AJ294" s="116"/>
      <c r="AK294" s="79"/>
      <c r="AL294" s="79"/>
      <c r="AM294" s="57"/>
    </row>
    <row r="295" spans="1:39" ht="48" customHeight="1">
      <c r="A295" s="56"/>
      <c r="B295" s="56"/>
      <c r="D295" s="97" t="s">
        <v>1096</v>
      </c>
      <c r="E295" s="123"/>
      <c r="F295" s="181"/>
      <c r="H295" s="101"/>
      <c r="W295" s="178"/>
      <c r="X295" s="178"/>
      <c r="Y295" s="122"/>
      <c r="Z295" s="180"/>
      <c r="AA295" s="181"/>
      <c r="AB295" s="181"/>
      <c r="AC295" s="181"/>
      <c r="AD295" s="181"/>
      <c r="AE295" s="181"/>
      <c r="AF295" s="182"/>
      <c r="AG295" s="162"/>
      <c r="AI295" s="183"/>
      <c r="AJ295" s="114"/>
      <c r="AK295" s="85"/>
      <c r="AL295" s="85"/>
      <c r="AM295" s="54"/>
    </row>
    <row r="296" spans="1:39" ht="57.6">
      <c r="A296" s="56" t="s">
        <v>458</v>
      </c>
      <c r="B296" s="56"/>
      <c r="C296" s="80"/>
      <c r="D296" s="81" t="s">
        <v>1097</v>
      </c>
      <c r="E296" s="82"/>
      <c r="F296" s="204" t="s">
        <v>168</v>
      </c>
      <c r="G296" s="84" t="s">
        <v>1098</v>
      </c>
      <c r="H296" s="85" t="s">
        <v>41</v>
      </c>
      <c r="I296" s="86"/>
      <c r="W296" s="186"/>
      <c r="X296" s="186"/>
      <c r="Y296" s="187"/>
      <c r="Z296" s="188"/>
      <c r="AA296" s="189"/>
      <c r="AB296" s="189"/>
      <c r="AC296" s="189"/>
      <c r="AD296" s="189"/>
      <c r="AE296" s="189"/>
      <c r="AF296" s="190"/>
      <c r="AG296" s="92"/>
      <c r="AH296" s="91"/>
      <c r="AI296" s="191"/>
      <c r="AJ296" s="116"/>
      <c r="AK296" s="79"/>
      <c r="AL296" s="79"/>
      <c r="AM296" s="54"/>
    </row>
    <row r="297" spans="1:39">
      <c r="A297" s="56" t="s">
        <v>458</v>
      </c>
      <c r="B297" s="54" t="s">
        <v>692</v>
      </c>
      <c r="D297" s="97" t="s">
        <v>1099</v>
      </c>
      <c r="E297" s="122" t="s">
        <v>11</v>
      </c>
      <c r="F297" s="181"/>
      <c r="G297" s="99" t="s">
        <v>170</v>
      </c>
      <c r="H297" s="101"/>
      <c r="I297" s="101" t="s">
        <v>172</v>
      </c>
      <c r="W297" s="178"/>
      <c r="X297" s="178"/>
      <c r="Y297" s="122"/>
      <c r="Z297" s="180"/>
      <c r="AA297" s="181"/>
      <c r="AB297" s="181"/>
      <c r="AC297" s="181"/>
      <c r="AD297" s="181"/>
      <c r="AE297" s="181"/>
      <c r="AF297" s="200"/>
      <c r="AG297" s="162"/>
      <c r="AI297" s="183"/>
      <c r="AJ297" s="94"/>
      <c r="AK297" s="119"/>
      <c r="AL297" s="119"/>
      <c r="AM297" s="54"/>
    </row>
    <row r="298" spans="1:39" s="56" customFormat="1" ht="57.75" customHeight="1">
      <c r="A298" s="56" t="s">
        <v>458</v>
      </c>
      <c r="B298" s="54" t="s">
        <v>692</v>
      </c>
      <c r="C298" s="96"/>
      <c r="D298" s="97" t="s">
        <v>173</v>
      </c>
      <c r="E298" s="122" t="s">
        <v>11</v>
      </c>
      <c r="F298" s="99"/>
      <c r="G298" s="99" t="s">
        <v>174</v>
      </c>
      <c r="H298" s="100"/>
      <c r="I298" s="101" t="s">
        <v>172</v>
      </c>
      <c r="J298" s="87"/>
      <c r="K298" s="87"/>
      <c r="L298" s="87"/>
      <c r="M298" s="87"/>
      <c r="N298" s="87"/>
      <c r="O298" s="87"/>
      <c r="P298" s="87"/>
      <c r="Q298" s="87"/>
      <c r="R298" s="87"/>
      <c r="S298" s="87"/>
      <c r="T298" s="87"/>
      <c r="U298" s="87"/>
      <c r="V298" s="87"/>
      <c r="W298" s="102"/>
      <c r="X298" s="102"/>
      <c r="Y298" s="96"/>
      <c r="Z298" s="104"/>
      <c r="AA298" s="99"/>
      <c r="AB298" s="99"/>
      <c r="AC298" s="99"/>
      <c r="AD298" s="99"/>
      <c r="AE298" s="99"/>
      <c r="AF298" s="201"/>
      <c r="AG298" s="162"/>
      <c r="AH298" s="99"/>
      <c r="AI298" s="112"/>
      <c r="AJ298" s="116"/>
      <c r="AK298" s="79"/>
      <c r="AL298" s="79"/>
      <c r="AM298" s="57"/>
    </row>
    <row r="299" spans="1:39">
      <c r="A299" s="54" t="s">
        <v>458</v>
      </c>
      <c r="C299" s="80"/>
      <c r="D299" s="81" t="s">
        <v>1100</v>
      </c>
      <c r="E299" s="203"/>
      <c r="F299" s="204"/>
      <c r="G299" s="84" t="s">
        <v>1101</v>
      </c>
      <c r="H299" s="85" t="s">
        <v>41</v>
      </c>
      <c r="I299" s="86"/>
      <c r="W299" s="186"/>
      <c r="X299" s="186"/>
      <c r="Y299" s="187"/>
      <c r="Z299" s="188"/>
      <c r="AA299" s="189"/>
      <c r="AB299" s="189"/>
      <c r="AC299" s="189"/>
      <c r="AD299" s="189"/>
      <c r="AE299" s="189"/>
      <c r="AF299" s="190"/>
      <c r="AG299" s="92"/>
      <c r="AH299" s="91"/>
      <c r="AI299" s="191"/>
      <c r="AJ299" s="114"/>
      <c r="AK299" s="85"/>
      <c r="AL299" s="85"/>
      <c r="AM299" s="54"/>
    </row>
    <row r="300" spans="1:39">
      <c r="A300" s="56" t="s">
        <v>458</v>
      </c>
      <c r="B300" s="54" t="s">
        <v>450</v>
      </c>
      <c r="D300" s="97" t="s">
        <v>1102</v>
      </c>
      <c r="E300" s="96" t="s">
        <v>11</v>
      </c>
      <c r="F300" s="181"/>
      <c r="G300" s="99" t="s">
        <v>1103</v>
      </c>
      <c r="H300" s="101"/>
      <c r="I300" s="101" t="s">
        <v>481</v>
      </c>
      <c r="W300" s="178"/>
      <c r="X300" s="178"/>
      <c r="Y300" s="122"/>
      <c r="Z300" s="180"/>
      <c r="AA300" s="181"/>
      <c r="AB300" s="181"/>
      <c r="AC300" s="181"/>
      <c r="AD300" s="181"/>
      <c r="AE300" s="181"/>
      <c r="AF300" s="182"/>
      <c r="AG300" s="162"/>
      <c r="AI300" s="183" t="s">
        <v>465</v>
      </c>
      <c r="AJ300" s="116"/>
      <c r="AK300" s="79"/>
      <c r="AL300" s="79"/>
      <c r="AM300" s="54"/>
    </row>
    <row r="301" spans="1:39" ht="28.8">
      <c r="A301" s="54" t="s">
        <v>458</v>
      </c>
      <c r="C301" s="80"/>
      <c r="D301" s="81" t="s">
        <v>1104</v>
      </c>
      <c r="E301" s="203"/>
      <c r="F301" s="204"/>
      <c r="G301" s="84" t="s">
        <v>1105</v>
      </c>
      <c r="H301" s="85" t="s">
        <v>41</v>
      </c>
      <c r="I301" s="86"/>
      <c r="W301" s="186"/>
      <c r="X301" s="186"/>
      <c r="Y301" s="187"/>
      <c r="Z301" s="188"/>
      <c r="AA301" s="189"/>
      <c r="AB301" s="189"/>
      <c r="AC301" s="189"/>
      <c r="AD301" s="189"/>
      <c r="AE301" s="189"/>
      <c r="AF301" s="190"/>
      <c r="AG301" s="92"/>
      <c r="AH301" s="91"/>
      <c r="AI301" s="191"/>
      <c r="AJ301" s="94"/>
      <c r="AK301" s="95"/>
      <c r="AL301" s="95"/>
      <c r="AM301" s="54"/>
    </row>
    <row r="302" spans="1:39" s="56" customFormat="1" ht="34.5" customHeight="1">
      <c r="A302" s="56" t="s">
        <v>458</v>
      </c>
      <c r="B302" s="54" t="s">
        <v>689</v>
      </c>
      <c r="C302" s="96"/>
      <c r="D302" s="97" t="s">
        <v>1106</v>
      </c>
      <c r="E302" s="96" t="s">
        <v>17</v>
      </c>
      <c r="F302" s="109"/>
      <c r="G302" s="109" t="s">
        <v>1107</v>
      </c>
      <c r="H302" s="100"/>
      <c r="I302" s="101" t="s">
        <v>481</v>
      </c>
      <c r="J302" s="87"/>
      <c r="K302" s="87"/>
      <c r="L302" s="87"/>
      <c r="M302" s="87"/>
      <c r="N302" s="87"/>
      <c r="O302" s="87"/>
      <c r="P302" s="87"/>
      <c r="Q302" s="87"/>
      <c r="R302" s="87"/>
      <c r="S302" s="87"/>
      <c r="T302" s="87"/>
      <c r="U302" s="87"/>
      <c r="V302" s="87"/>
      <c r="W302" s="102"/>
      <c r="X302" s="102"/>
      <c r="Y302" s="96"/>
      <c r="Z302" s="104"/>
      <c r="AA302" s="99"/>
      <c r="AB302" s="99"/>
      <c r="AC302" s="99"/>
      <c r="AD302" s="99"/>
      <c r="AE302" s="105"/>
      <c r="AF302" s="201"/>
      <c r="AG302" s="162"/>
      <c r="AH302" s="99"/>
      <c r="AI302" s="112" t="s">
        <v>465</v>
      </c>
      <c r="AJ302" s="116"/>
      <c r="AK302" s="79"/>
      <c r="AL302" s="79"/>
      <c r="AM302" s="57"/>
    </row>
    <row r="303" spans="1:39" ht="28.8">
      <c r="A303" s="54" t="s">
        <v>458</v>
      </c>
      <c r="B303" s="54" t="s">
        <v>692</v>
      </c>
      <c r="D303" s="97" t="s">
        <v>1108</v>
      </c>
      <c r="E303" s="96" t="s">
        <v>11</v>
      </c>
      <c r="F303" s="109"/>
      <c r="G303" s="109" t="s">
        <v>1109</v>
      </c>
      <c r="H303" s="101"/>
      <c r="I303" s="101" t="s">
        <v>454</v>
      </c>
      <c r="W303" s="178"/>
      <c r="X303" s="178"/>
      <c r="Y303" s="122"/>
      <c r="Z303" s="180"/>
      <c r="AA303" s="181"/>
      <c r="AB303" s="181"/>
      <c r="AC303" s="181"/>
      <c r="AD303" s="181"/>
      <c r="AE303" s="182"/>
      <c r="AF303" s="200"/>
      <c r="AG303" s="162"/>
      <c r="AI303" s="112" t="s">
        <v>465</v>
      </c>
      <c r="AJ303" s="114"/>
      <c r="AK303" s="85"/>
      <c r="AL303" s="85"/>
      <c r="AM303" s="54"/>
    </row>
    <row r="304" spans="1:39" s="56" customFormat="1" ht="44.25" customHeight="1">
      <c r="A304" s="56" t="s">
        <v>458</v>
      </c>
      <c r="B304" s="54" t="s">
        <v>689</v>
      </c>
      <c r="C304" s="96"/>
      <c r="D304" s="97" t="s">
        <v>1110</v>
      </c>
      <c r="E304" s="96" t="s">
        <v>17</v>
      </c>
      <c r="F304" s="99"/>
      <c r="G304" s="99" t="s">
        <v>1111</v>
      </c>
      <c r="H304" s="100"/>
      <c r="I304" s="101" t="s">
        <v>481</v>
      </c>
      <c r="J304" s="87"/>
      <c r="K304" s="87"/>
      <c r="L304" s="87"/>
      <c r="M304" s="87"/>
      <c r="N304" s="87"/>
      <c r="O304" s="87"/>
      <c r="P304" s="87"/>
      <c r="Q304" s="87"/>
      <c r="R304" s="87"/>
      <c r="S304" s="87"/>
      <c r="T304" s="87"/>
      <c r="U304" s="87"/>
      <c r="V304" s="87"/>
      <c r="W304" s="102"/>
      <c r="X304" s="102"/>
      <c r="Y304" s="96"/>
      <c r="Z304" s="104"/>
      <c r="AA304" s="99"/>
      <c r="AB304" s="99"/>
      <c r="AC304" s="99"/>
      <c r="AD304" s="99"/>
      <c r="AE304" s="105"/>
      <c r="AF304" s="201"/>
      <c r="AG304" s="162"/>
      <c r="AH304" s="99"/>
      <c r="AI304" s="112" t="s">
        <v>465</v>
      </c>
      <c r="AJ304" s="116"/>
      <c r="AK304" s="79"/>
      <c r="AL304" s="79"/>
      <c r="AM304" s="57"/>
    </row>
    <row r="305" spans="1:39" ht="51" customHeight="1">
      <c r="A305" s="54" t="s">
        <v>458</v>
      </c>
      <c r="C305" s="80"/>
      <c r="D305" s="81" t="s">
        <v>1112</v>
      </c>
      <c r="E305" s="82"/>
      <c r="F305" s="83"/>
      <c r="G305" s="190" t="s">
        <v>1113</v>
      </c>
      <c r="H305" s="85" t="s">
        <v>41</v>
      </c>
      <c r="I305" s="86"/>
      <c r="W305" s="186"/>
      <c r="X305" s="186"/>
      <c r="Y305" s="187"/>
      <c r="Z305" s="188"/>
      <c r="AA305" s="189"/>
      <c r="AB305" s="189"/>
      <c r="AC305" s="189"/>
      <c r="AD305" s="189"/>
      <c r="AE305" s="189"/>
      <c r="AF305" s="190"/>
      <c r="AG305" s="92"/>
      <c r="AH305" s="91"/>
      <c r="AI305" s="191"/>
      <c r="AJ305" s="114"/>
      <c r="AK305" s="85"/>
      <c r="AL305" s="85"/>
    </row>
    <row r="306" spans="1:39" s="56" customFormat="1" ht="40.5" customHeight="1">
      <c r="A306" s="56" t="s">
        <v>446</v>
      </c>
      <c r="B306" s="54"/>
      <c r="C306" s="96"/>
      <c r="D306" s="97" t="s">
        <v>1114</v>
      </c>
      <c r="E306" s="96" t="s">
        <v>17</v>
      </c>
      <c r="F306" s="109" t="s">
        <v>497</v>
      </c>
      <c r="G306" s="161" t="s">
        <v>1115</v>
      </c>
      <c r="H306" s="100"/>
      <c r="I306" s="101"/>
      <c r="J306" s="87"/>
      <c r="K306" s="87"/>
      <c r="L306" s="87"/>
      <c r="M306" s="87"/>
      <c r="N306" s="87"/>
      <c r="O306" s="87"/>
      <c r="P306" s="87"/>
      <c r="Q306" s="87"/>
      <c r="R306" s="87"/>
      <c r="S306" s="87"/>
      <c r="T306" s="87"/>
      <c r="U306" s="87"/>
      <c r="V306" s="87"/>
      <c r="W306" s="102"/>
      <c r="X306" s="102"/>
      <c r="Y306" s="96"/>
      <c r="Z306" s="104"/>
      <c r="AA306" s="99"/>
      <c r="AB306" s="99"/>
      <c r="AC306" s="99"/>
      <c r="AD306" s="99"/>
      <c r="AE306" s="99"/>
      <c r="AF306" s="99"/>
      <c r="AG306" s="162"/>
      <c r="AH306" s="99"/>
      <c r="AI306" s="112"/>
      <c r="AJ306" s="116"/>
      <c r="AK306" s="79"/>
      <c r="AL306" s="79"/>
      <c r="AM306" s="57"/>
    </row>
    <row r="307" spans="1:39" ht="29.1" customHeight="1">
      <c r="A307" s="54" t="s">
        <v>458</v>
      </c>
      <c r="B307" s="54" t="s">
        <v>689</v>
      </c>
      <c r="D307" s="97" t="s">
        <v>1116</v>
      </c>
      <c r="E307" s="96" t="s">
        <v>17</v>
      </c>
      <c r="F307" s="205"/>
      <c r="G307" s="205" t="s">
        <v>1117</v>
      </c>
      <c r="H307" s="101"/>
      <c r="I307" s="101" t="s">
        <v>454</v>
      </c>
      <c r="W307" s="178"/>
      <c r="X307" s="178"/>
      <c r="Y307" s="122"/>
      <c r="Z307" s="180"/>
      <c r="AA307" s="181"/>
      <c r="AB307" s="181"/>
      <c r="AC307" s="181"/>
      <c r="AD307" s="181"/>
      <c r="AE307" s="181"/>
      <c r="AF307" s="181"/>
      <c r="AG307" s="162"/>
      <c r="AI307" s="206" t="s">
        <v>465</v>
      </c>
      <c r="AJ307" s="207"/>
      <c r="AK307" s="95"/>
      <c r="AL307" s="95"/>
      <c r="AM307" s="54"/>
    </row>
    <row r="308" spans="1:39" ht="29.1" customHeight="1">
      <c r="A308" s="54" t="s">
        <v>458</v>
      </c>
      <c r="B308" s="54" t="s">
        <v>689</v>
      </c>
      <c r="D308" s="97" t="s">
        <v>1118</v>
      </c>
      <c r="E308" s="96" t="s">
        <v>17</v>
      </c>
      <c r="F308" s="205"/>
      <c r="G308" s="205" t="s">
        <v>1119</v>
      </c>
      <c r="H308" s="101"/>
      <c r="I308" s="101" t="s">
        <v>454</v>
      </c>
      <c r="W308" s="178"/>
      <c r="X308" s="178"/>
      <c r="Y308" s="122"/>
      <c r="Z308" s="180"/>
      <c r="AA308" s="181"/>
      <c r="AB308" s="181"/>
      <c r="AC308" s="181"/>
      <c r="AD308" s="181"/>
      <c r="AE308" s="181"/>
      <c r="AF308" s="181"/>
      <c r="AG308" s="162"/>
      <c r="AI308" s="206" t="s">
        <v>465</v>
      </c>
      <c r="AJ308" s="208"/>
      <c r="AK308" s="79"/>
      <c r="AL308" s="79"/>
      <c r="AM308" s="54"/>
    </row>
    <row r="309" spans="1:39" ht="114" customHeight="1">
      <c r="A309" s="54" t="s">
        <v>458</v>
      </c>
      <c r="C309" s="80"/>
      <c r="D309" s="81" t="s">
        <v>1120</v>
      </c>
      <c r="E309" s="82"/>
      <c r="F309" s="204"/>
      <c r="G309" s="190" t="s">
        <v>1121</v>
      </c>
      <c r="H309" s="85" t="s">
        <v>41</v>
      </c>
      <c r="I309" s="86"/>
      <c r="W309" s="186"/>
      <c r="X309" s="186"/>
      <c r="Y309" s="187"/>
      <c r="Z309" s="188"/>
      <c r="AA309" s="189"/>
      <c r="AB309" s="189"/>
      <c r="AC309" s="189"/>
      <c r="AD309" s="189"/>
      <c r="AE309" s="189"/>
      <c r="AF309" s="190"/>
      <c r="AG309" s="92"/>
      <c r="AH309" s="91"/>
      <c r="AI309" s="209"/>
      <c r="AJ309" s="207"/>
      <c r="AK309" s="95"/>
      <c r="AL309" s="95"/>
      <c r="AM309" s="54"/>
    </row>
    <row r="310" spans="1:39" ht="29.1" customHeight="1">
      <c r="A310" s="56" t="s">
        <v>458</v>
      </c>
      <c r="B310" s="54" t="s">
        <v>692</v>
      </c>
      <c r="D310" s="97" t="s">
        <v>1122</v>
      </c>
      <c r="E310" s="122" t="s">
        <v>11</v>
      </c>
      <c r="F310" s="101"/>
      <c r="G310" s="181" t="s">
        <v>1123</v>
      </c>
      <c r="H310" s="101"/>
      <c r="I310" s="101" t="s">
        <v>1124</v>
      </c>
      <c r="W310" s="178"/>
      <c r="X310" s="178"/>
      <c r="Y310" s="122"/>
      <c r="Z310" s="180"/>
      <c r="AA310" s="181"/>
      <c r="AB310" s="181"/>
      <c r="AC310" s="181"/>
      <c r="AD310" s="181"/>
      <c r="AE310" s="182"/>
      <c r="AF310" s="200"/>
      <c r="AG310" s="162"/>
      <c r="AI310" s="206" t="s">
        <v>465</v>
      </c>
      <c r="AJ310" s="208"/>
      <c r="AK310" s="79"/>
      <c r="AL310" s="79"/>
      <c r="AM310" s="54"/>
    </row>
    <row r="311" spans="1:39" ht="29.1" customHeight="1">
      <c r="A311" s="54" t="s">
        <v>458</v>
      </c>
      <c r="C311" s="80"/>
      <c r="D311" s="81" t="s">
        <v>1125</v>
      </c>
      <c r="E311" s="203"/>
      <c r="F311" s="204"/>
      <c r="G311" s="190" t="s">
        <v>1126</v>
      </c>
      <c r="H311" s="85" t="s">
        <v>41</v>
      </c>
      <c r="I311" s="86"/>
      <c r="W311" s="186"/>
      <c r="X311" s="186"/>
      <c r="Y311" s="187"/>
      <c r="Z311" s="188"/>
      <c r="AA311" s="189"/>
      <c r="AB311" s="189"/>
      <c r="AC311" s="189"/>
      <c r="AD311" s="189"/>
      <c r="AE311" s="189"/>
      <c r="AF311" s="190"/>
      <c r="AG311" s="92"/>
      <c r="AH311" s="91"/>
      <c r="AI311" s="209"/>
      <c r="AJ311" s="207"/>
      <c r="AK311" s="119"/>
      <c r="AL311" s="119"/>
      <c r="AM311" s="54"/>
    </row>
    <row r="312" spans="1:39" s="56" customFormat="1" ht="37.950000000000003" customHeight="1">
      <c r="A312" s="56" t="s">
        <v>458</v>
      </c>
      <c r="B312" s="54" t="s">
        <v>692</v>
      </c>
      <c r="C312" s="96"/>
      <c r="D312" s="97" t="s">
        <v>1127</v>
      </c>
      <c r="E312" s="96" t="s">
        <v>11</v>
      </c>
      <c r="F312" s="98"/>
      <c r="G312" s="99" t="s">
        <v>1128</v>
      </c>
      <c r="H312" s="100"/>
      <c r="I312" s="101" t="s">
        <v>1124</v>
      </c>
      <c r="J312" s="87"/>
      <c r="K312" s="87"/>
      <c r="L312" s="87"/>
      <c r="M312" s="87"/>
      <c r="N312" s="87"/>
      <c r="O312" s="87"/>
      <c r="P312" s="87"/>
      <c r="Q312" s="87"/>
      <c r="R312" s="87"/>
      <c r="S312" s="87"/>
      <c r="T312" s="87"/>
      <c r="U312" s="87"/>
      <c r="V312" s="87"/>
      <c r="W312" s="102"/>
      <c r="X312" s="102"/>
      <c r="Y312" s="96"/>
      <c r="Z312" s="104"/>
      <c r="AA312" s="99"/>
      <c r="AB312" s="99"/>
      <c r="AC312" s="99"/>
      <c r="AD312" s="99"/>
      <c r="AE312" s="99"/>
      <c r="AF312" s="105"/>
      <c r="AG312" s="162"/>
      <c r="AH312" s="99"/>
      <c r="AI312" s="112" t="s">
        <v>465</v>
      </c>
      <c r="AJ312" s="116"/>
      <c r="AK312" s="79"/>
      <c r="AL312" s="79"/>
      <c r="AM312" s="57"/>
    </row>
    <row r="313" spans="1:39" s="63" customFormat="1" ht="127.2" customHeight="1">
      <c r="A313" s="54" t="s">
        <v>458</v>
      </c>
      <c r="B313" s="54"/>
      <c r="C313" s="80"/>
      <c r="D313" s="81" t="s">
        <v>1129</v>
      </c>
      <c r="E313" s="203"/>
      <c r="F313" s="204" t="s">
        <v>176</v>
      </c>
      <c r="G313" s="190" t="s">
        <v>1130</v>
      </c>
      <c r="H313" s="85" t="s">
        <v>41</v>
      </c>
      <c r="I313" s="86"/>
      <c r="J313" s="87"/>
      <c r="K313" s="87"/>
      <c r="L313" s="87"/>
      <c r="M313" s="87"/>
      <c r="N313" s="87"/>
      <c r="O313" s="87"/>
      <c r="P313" s="87"/>
      <c r="Q313" s="87"/>
      <c r="R313" s="87"/>
      <c r="S313" s="87"/>
      <c r="T313" s="87"/>
      <c r="U313" s="87"/>
      <c r="V313" s="87"/>
      <c r="W313" s="186"/>
      <c r="X313" s="186"/>
      <c r="Y313" s="187"/>
      <c r="Z313" s="188"/>
      <c r="AA313" s="189"/>
      <c r="AB313" s="189"/>
      <c r="AC313" s="189"/>
      <c r="AD313" s="189"/>
      <c r="AE313" s="189"/>
      <c r="AF313" s="190"/>
      <c r="AG313" s="92"/>
      <c r="AH313" s="91"/>
      <c r="AI313" s="209"/>
      <c r="AJ313" s="210"/>
      <c r="AK313" s="85"/>
      <c r="AL313" s="85"/>
    </row>
    <row r="314" spans="1:39" s="56" customFormat="1" ht="34.5" customHeight="1">
      <c r="A314" s="56" t="s">
        <v>458</v>
      </c>
      <c r="B314" s="54" t="s">
        <v>781</v>
      </c>
      <c r="C314" s="96"/>
      <c r="D314" s="97" t="s">
        <v>1131</v>
      </c>
      <c r="E314" s="96" t="s">
        <v>11</v>
      </c>
      <c r="F314" s="121"/>
      <c r="G314" s="211" t="s">
        <v>1132</v>
      </c>
      <c r="H314" s="100"/>
      <c r="I314" s="101" t="s">
        <v>14</v>
      </c>
      <c r="J314" s="87"/>
      <c r="K314" s="87"/>
      <c r="L314" s="87"/>
      <c r="M314" s="87"/>
      <c r="N314" s="87"/>
      <c r="O314" s="87"/>
      <c r="P314" s="87"/>
      <c r="Q314" s="87"/>
      <c r="R314" s="87"/>
      <c r="S314" s="87"/>
      <c r="T314" s="87"/>
      <c r="U314" s="87"/>
      <c r="V314" s="87"/>
      <c r="W314" s="102"/>
      <c r="X314" s="102"/>
      <c r="Y314" s="96"/>
      <c r="Z314" s="104"/>
      <c r="AA314" s="99"/>
      <c r="AB314" s="99"/>
      <c r="AC314" s="99"/>
      <c r="AD314" s="99"/>
      <c r="AE314" s="99"/>
      <c r="AF314" s="99"/>
      <c r="AG314" s="162"/>
      <c r="AH314" s="99"/>
      <c r="AI314" s="112"/>
      <c r="AJ314" s="116"/>
      <c r="AK314" s="79"/>
      <c r="AL314" s="79"/>
      <c r="AM314" s="57"/>
    </row>
    <row r="315" spans="1:39">
      <c r="A315" s="54" t="s">
        <v>458</v>
      </c>
      <c r="B315" s="54" t="s">
        <v>450</v>
      </c>
      <c r="C315" s="122"/>
      <c r="D315" s="97" t="s">
        <v>1133</v>
      </c>
      <c r="E315" s="96" t="s">
        <v>11</v>
      </c>
      <c r="F315" s="121"/>
      <c r="G315" s="212" t="s">
        <v>1134</v>
      </c>
      <c r="I315" s="101" t="s">
        <v>454</v>
      </c>
      <c r="Z315" s="104"/>
      <c r="AG315" s="162"/>
      <c r="AI315" s="112">
        <v>3</v>
      </c>
      <c r="AJ315" s="108"/>
      <c r="AK315" s="108"/>
      <c r="AL315" s="79"/>
    </row>
    <row r="316" spans="1:39" ht="28.8">
      <c r="A316" s="54" t="s">
        <v>458</v>
      </c>
      <c r="B316" s="54" t="s">
        <v>450</v>
      </c>
      <c r="C316" s="122"/>
      <c r="D316" s="97" t="s">
        <v>1135</v>
      </c>
      <c r="E316" s="96" t="s">
        <v>11</v>
      </c>
      <c r="F316" s="121"/>
      <c r="G316" s="212" t="s">
        <v>1136</v>
      </c>
      <c r="I316" s="101" t="s">
        <v>14</v>
      </c>
      <c r="Z316" s="104"/>
      <c r="AG316" s="162"/>
      <c r="AI316" s="112"/>
      <c r="AJ316" s="116"/>
      <c r="AK316" s="79"/>
      <c r="AL316" s="79"/>
    </row>
    <row r="317" spans="1:39" s="125" customFormat="1" ht="34.5" customHeight="1">
      <c r="A317" s="125" t="s">
        <v>458</v>
      </c>
      <c r="B317" s="147" t="s">
        <v>689</v>
      </c>
      <c r="C317" s="126"/>
      <c r="D317" s="127" t="s">
        <v>1137</v>
      </c>
      <c r="E317" s="126" t="s">
        <v>17</v>
      </c>
      <c r="F317" s="129"/>
      <c r="G317" s="213" t="s">
        <v>1138</v>
      </c>
      <c r="H317" s="130"/>
      <c r="I317" s="131" t="s">
        <v>481</v>
      </c>
      <c r="J317" s="132"/>
      <c r="K317" s="132"/>
      <c r="L317" s="132"/>
      <c r="M317" s="132"/>
      <c r="N317" s="132"/>
      <c r="O317" s="132"/>
      <c r="P317" s="132"/>
      <c r="Q317" s="132"/>
      <c r="R317" s="132"/>
      <c r="S317" s="132"/>
      <c r="T317" s="132"/>
      <c r="U317" s="132"/>
      <c r="V317" s="132"/>
      <c r="W317" s="133"/>
      <c r="X317" s="133"/>
      <c r="Y317" s="126"/>
      <c r="Z317" s="135"/>
      <c r="AA317" s="129"/>
      <c r="AB317" s="129"/>
      <c r="AC317" s="129"/>
      <c r="AD317" s="129"/>
      <c r="AE317" s="129"/>
      <c r="AF317" s="129"/>
      <c r="AG317" s="137"/>
      <c r="AH317" s="129"/>
      <c r="AI317" s="149"/>
      <c r="AJ317" s="139"/>
      <c r="AK317" s="199"/>
      <c r="AL317" s="199"/>
      <c r="AM317" s="140"/>
    </row>
    <row r="318" spans="1:39">
      <c r="A318" s="54" t="s">
        <v>458</v>
      </c>
      <c r="B318" s="54" t="s">
        <v>781</v>
      </c>
      <c r="C318" s="122"/>
      <c r="D318" s="97" t="s">
        <v>1139</v>
      </c>
      <c r="E318" s="96" t="s">
        <v>11</v>
      </c>
      <c r="F318" s="121"/>
      <c r="G318" s="212" t="s">
        <v>1140</v>
      </c>
      <c r="I318" s="101" t="s">
        <v>14</v>
      </c>
      <c r="Z318" s="104"/>
      <c r="AG318" s="162"/>
      <c r="AI318" s="112"/>
      <c r="AJ318" s="108"/>
      <c r="AK318" s="108"/>
      <c r="AL318" s="79"/>
    </row>
    <row r="319" spans="1:39" ht="28.8">
      <c r="A319" s="54" t="s">
        <v>458</v>
      </c>
      <c r="B319" s="54" t="s">
        <v>781</v>
      </c>
      <c r="C319" s="122"/>
      <c r="D319" s="97" t="s">
        <v>181</v>
      </c>
      <c r="E319" s="96" t="s">
        <v>11</v>
      </c>
      <c r="F319" s="109"/>
      <c r="G319" s="214" t="s">
        <v>1141</v>
      </c>
      <c r="I319" s="101" t="s">
        <v>14</v>
      </c>
      <c r="Z319" s="104"/>
      <c r="AG319" s="162"/>
      <c r="AI319" s="112"/>
      <c r="AJ319" s="108"/>
      <c r="AK319" s="108"/>
      <c r="AL319" s="79"/>
    </row>
    <row r="320" spans="1:39" ht="144">
      <c r="A320" s="54" t="s">
        <v>458</v>
      </c>
      <c r="C320" s="80"/>
      <c r="D320" s="81" t="s">
        <v>1142</v>
      </c>
      <c r="E320" s="203"/>
      <c r="F320" s="204"/>
      <c r="G320" s="84" t="s">
        <v>1143</v>
      </c>
      <c r="H320" s="85" t="s">
        <v>41</v>
      </c>
      <c r="I320" s="86"/>
      <c r="W320" s="186"/>
      <c r="X320" s="186"/>
      <c r="Y320" s="187"/>
      <c r="Z320" s="188"/>
      <c r="AA320" s="189"/>
      <c r="AB320" s="189"/>
      <c r="AC320" s="189"/>
      <c r="AD320" s="189"/>
      <c r="AE320" s="189"/>
      <c r="AF320" s="190"/>
      <c r="AG320" s="92"/>
      <c r="AH320" s="91"/>
      <c r="AI320" s="209"/>
      <c r="AJ320" s="208"/>
      <c r="AK320" s="79"/>
      <c r="AL320" s="79"/>
      <c r="AM320" s="54"/>
    </row>
    <row r="321" spans="1:39" s="56" customFormat="1" ht="54" customHeight="1">
      <c r="A321" s="56" t="s">
        <v>458</v>
      </c>
      <c r="B321" s="54"/>
      <c r="C321" s="96"/>
      <c r="D321" s="97" t="s">
        <v>1144</v>
      </c>
      <c r="E321" s="96"/>
      <c r="F321" s="121" t="s">
        <v>1145</v>
      </c>
      <c r="G321" s="121" t="s">
        <v>1146</v>
      </c>
      <c r="H321" s="153"/>
      <c r="I321" s="101"/>
      <c r="J321" s="87"/>
      <c r="K321" s="87"/>
      <c r="L321" s="87"/>
      <c r="M321" s="87"/>
      <c r="N321" s="87"/>
      <c r="O321" s="87"/>
      <c r="P321" s="87"/>
      <c r="Q321" s="87"/>
      <c r="R321" s="87"/>
      <c r="S321" s="87"/>
      <c r="T321" s="87"/>
      <c r="U321" s="87"/>
      <c r="V321" s="87"/>
      <c r="W321" s="159"/>
      <c r="X321" s="159"/>
      <c r="Y321" s="155"/>
      <c r="Z321" s="104"/>
      <c r="AA321" s="109"/>
      <c r="AB321" s="109"/>
      <c r="AC321" s="109"/>
      <c r="AD321" s="109"/>
      <c r="AE321" s="109"/>
      <c r="AF321" s="161"/>
      <c r="AG321" s="162"/>
      <c r="AH321" s="109"/>
      <c r="AI321" s="176"/>
      <c r="AJ321" s="94"/>
      <c r="AK321" s="119"/>
      <c r="AL321" s="119"/>
      <c r="AM321" s="57"/>
    </row>
    <row r="322" spans="1:39" ht="28.8">
      <c r="A322" s="54" t="s">
        <v>458</v>
      </c>
      <c r="B322" s="54" t="s">
        <v>689</v>
      </c>
      <c r="D322" s="97" t="s">
        <v>1147</v>
      </c>
      <c r="E322" s="96" t="s">
        <v>17</v>
      </c>
      <c r="F322" s="109"/>
      <c r="G322" s="109" t="s">
        <v>1148</v>
      </c>
      <c r="H322" s="157"/>
      <c r="I322" s="101" t="s">
        <v>481</v>
      </c>
      <c r="W322" s="215"/>
      <c r="X322" s="215"/>
      <c r="Y322" s="216"/>
      <c r="Z322" s="180"/>
      <c r="AA322" s="205"/>
      <c r="AB322" s="205"/>
      <c r="AC322" s="205"/>
      <c r="AD322" s="205"/>
      <c r="AE322" s="205"/>
      <c r="AF322" s="217"/>
      <c r="AG322" s="162"/>
      <c r="AH322" s="109"/>
      <c r="AI322" s="218" t="s">
        <v>465</v>
      </c>
      <c r="AJ322" s="219"/>
      <c r="AK322" s="108"/>
      <c r="AL322" s="108"/>
    </row>
    <row r="323" spans="1:39" s="63" customFormat="1">
      <c r="A323" s="67" t="s">
        <v>458</v>
      </c>
      <c r="B323" s="63" t="s">
        <v>689</v>
      </c>
      <c r="C323" s="155"/>
      <c r="D323" s="173" t="s">
        <v>1149</v>
      </c>
      <c r="E323" s="155" t="s">
        <v>17</v>
      </c>
      <c r="F323" s="109"/>
      <c r="G323" s="109" t="s">
        <v>1150</v>
      </c>
      <c r="H323" s="157"/>
      <c r="I323" s="157" t="s">
        <v>454</v>
      </c>
      <c r="J323" s="158"/>
      <c r="K323" s="158"/>
      <c r="L323" s="158"/>
      <c r="M323" s="158"/>
      <c r="N323" s="158"/>
      <c r="O323" s="158"/>
      <c r="P323" s="158"/>
      <c r="Q323" s="158"/>
      <c r="R323" s="158"/>
      <c r="S323" s="158"/>
      <c r="T323" s="158"/>
      <c r="U323" s="158"/>
      <c r="V323" s="158"/>
      <c r="W323" s="215"/>
      <c r="X323" s="215"/>
      <c r="Y323" s="216"/>
      <c r="Z323" s="180"/>
      <c r="AA323" s="205"/>
      <c r="AB323" s="205"/>
      <c r="AC323" s="205"/>
      <c r="AD323" s="205"/>
      <c r="AE323" s="205"/>
      <c r="AF323" s="217"/>
      <c r="AG323" s="162"/>
      <c r="AH323" s="109"/>
      <c r="AI323" s="218" t="s">
        <v>465</v>
      </c>
      <c r="AJ323" s="220"/>
      <c r="AK323" s="67"/>
      <c r="AL323" s="67"/>
      <c r="AM323" s="221"/>
    </row>
    <row r="324" spans="1:39" s="56" customFormat="1" ht="34.5" customHeight="1">
      <c r="A324" s="54" t="s">
        <v>458</v>
      </c>
      <c r="B324" s="54" t="s">
        <v>689</v>
      </c>
      <c r="C324" s="96"/>
      <c r="D324" s="97" t="s">
        <v>1151</v>
      </c>
      <c r="E324" s="96" t="s">
        <v>17</v>
      </c>
      <c r="F324" s="109"/>
      <c r="G324" s="109" t="s">
        <v>1152</v>
      </c>
      <c r="H324" s="153"/>
      <c r="I324" s="101" t="s">
        <v>481</v>
      </c>
      <c r="J324" s="87"/>
      <c r="K324" s="87"/>
      <c r="L324" s="87"/>
      <c r="M324" s="87"/>
      <c r="N324" s="87"/>
      <c r="O324" s="87"/>
      <c r="P324" s="87"/>
      <c r="Q324" s="87"/>
      <c r="R324" s="87"/>
      <c r="S324" s="87"/>
      <c r="T324" s="87"/>
      <c r="U324" s="87"/>
      <c r="V324" s="87"/>
      <c r="W324" s="159"/>
      <c r="X324" s="159"/>
      <c r="Y324" s="155"/>
      <c r="Z324" s="104"/>
      <c r="AA324" s="109"/>
      <c r="AB324" s="109"/>
      <c r="AC324" s="109"/>
      <c r="AD324" s="109"/>
      <c r="AE324" s="109"/>
      <c r="AF324" s="161"/>
      <c r="AG324" s="162"/>
      <c r="AH324" s="109"/>
      <c r="AI324" s="218" t="s">
        <v>465</v>
      </c>
      <c r="AJ324" s="116"/>
      <c r="AK324" s="79"/>
      <c r="AL324" s="79"/>
      <c r="AM324" s="57"/>
    </row>
    <row r="325" spans="1:39">
      <c r="A325" s="54" t="s">
        <v>458</v>
      </c>
      <c r="B325" s="54" t="s">
        <v>689</v>
      </c>
      <c r="D325" s="97" t="s">
        <v>1153</v>
      </c>
      <c r="E325" s="96" t="s">
        <v>17</v>
      </c>
      <c r="F325" s="109"/>
      <c r="G325" s="109" t="s">
        <v>1154</v>
      </c>
      <c r="H325" s="157"/>
      <c r="I325" s="101" t="s">
        <v>454</v>
      </c>
      <c r="W325" s="215"/>
      <c r="X325" s="215"/>
      <c r="Y325" s="216"/>
      <c r="Z325" s="180"/>
      <c r="AA325" s="205"/>
      <c r="AB325" s="205"/>
      <c r="AC325" s="205"/>
      <c r="AD325" s="205"/>
      <c r="AE325" s="205"/>
      <c r="AF325" s="217"/>
      <c r="AG325" s="162"/>
      <c r="AH325" s="109"/>
      <c r="AI325" s="218" t="s">
        <v>465</v>
      </c>
      <c r="AJ325" s="219"/>
      <c r="AK325" s="108"/>
      <c r="AL325" s="108"/>
    </row>
    <row r="326" spans="1:39" ht="43.2">
      <c r="A326" s="54" t="s">
        <v>458</v>
      </c>
      <c r="C326" s="80"/>
      <c r="D326" s="81" t="s">
        <v>1155</v>
      </c>
      <c r="E326" s="82"/>
      <c r="F326" s="83"/>
      <c r="G326" s="84" t="s">
        <v>1156</v>
      </c>
      <c r="H326" s="85" t="s">
        <v>41</v>
      </c>
      <c r="I326" s="86"/>
      <c r="W326" s="186"/>
      <c r="X326" s="186"/>
      <c r="Y326" s="187"/>
      <c r="Z326" s="188"/>
      <c r="AA326" s="189"/>
      <c r="AB326" s="189"/>
      <c r="AC326" s="189"/>
      <c r="AD326" s="189"/>
      <c r="AE326" s="189"/>
      <c r="AF326" s="190"/>
      <c r="AG326" s="92"/>
      <c r="AH326" s="91"/>
      <c r="AI326" s="209"/>
      <c r="AJ326" s="207"/>
      <c r="AK326" s="95"/>
      <c r="AL326" s="95"/>
    </row>
    <row r="327" spans="1:39" s="56" customFormat="1" ht="34.5" customHeight="1">
      <c r="A327" s="56" t="s">
        <v>458</v>
      </c>
      <c r="B327" s="54" t="s">
        <v>689</v>
      </c>
      <c r="C327" s="96"/>
      <c r="D327" s="97" t="s">
        <v>1157</v>
      </c>
      <c r="E327" s="96" t="s">
        <v>17</v>
      </c>
      <c r="F327" s="222"/>
      <c r="G327" s="99" t="s">
        <v>1158</v>
      </c>
      <c r="H327" s="100"/>
      <c r="I327" s="101" t="s">
        <v>481</v>
      </c>
      <c r="J327" s="87"/>
      <c r="K327" s="87"/>
      <c r="L327" s="87"/>
      <c r="M327" s="87"/>
      <c r="N327" s="87"/>
      <c r="O327" s="87"/>
      <c r="P327" s="87"/>
      <c r="Q327" s="87"/>
      <c r="R327" s="87"/>
      <c r="S327" s="87"/>
      <c r="T327" s="87"/>
      <c r="U327" s="87"/>
      <c r="V327" s="87"/>
      <c r="W327" s="102"/>
      <c r="X327" s="102"/>
      <c r="Y327" s="96"/>
      <c r="Z327" s="104"/>
      <c r="AA327" s="99"/>
      <c r="AB327" s="99"/>
      <c r="AC327" s="99"/>
      <c r="AD327" s="99"/>
      <c r="AE327" s="99"/>
      <c r="AF327" s="201"/>
      <c r="AG327" s="162"/>
      <c r="AH327" s="99"/>
      <c r="AI327" s="112" t="s">
        <v>465</v>
      </c>
      <c r="AJ327" s="116"/>
      <c r="AK327" s="79"/>
      <c r="AL327" s="79"/>
      <c r="AM327" s="57"/>
    </row>
    <row r="328" spans="1:39">
      <c r="A328" s="54" t="s">
        <v>458</v>
      </c>
      <c r="B328" s="54" t="s">
        <v>689</v>
      </c>
      <c r="D328" s="97" t="s">
        <v>1159</v>
      </c>
      <c r="E328" s="96" t="s">
        <v>17</v>
      </c>
      <c r="F328" s="222"/>
      <c r="G328" s="109" t="s">
        <v>1160</v>
      </c>
      <c r="H328" s="101"/>
      <c r="I328" s="101" t="s">
        <v>481</v>
      </c>
      <c r="W328" s="178"/>
      <c r="X328" s="178"/>
      <c r="Y328" s="122"/>
      <c r="Z328" s="180"/>
      <c r="AA328" s="181"/>
      <c r="AB328" s="181"/>
      <c r="AC328" s="181"/>
      <c r="AD328" s="181"/>
      <c r="AE328" s="181"/>
      <c r="AF328" s="200"/>
      <c r="AG328" s="162"/>
      <c r="AI328" s="112" t="s">
        <v>465</v>
      </c>
      <c r="AJ328" s="210"/>
      <c r="AK328" s="85"/>
      <c r="AL328" s="85"/>
      <c r="AM328" s="54"/>
    </row>
    <row r="329" spans="1:39" s="56" customFormat="1" ht="34.5" customHeight="1">
      <c r="A329" s="54" t="s">
        <v>458</v>
      </c>
      <c r="B329" s="54"/>
      <c r="C329" s="80"/>
      <c r="D329" s="81" t="s">
        <v>1161</v>
      </c>
      <c r="E329" s="82"/>
      <c r="F329" s="83"/>
      <c r="G329" s="84" t="s">
        <v>1162</v>
      </c>
      <c r="H329" s="85" t="s">
        <v>41</v>
      </c>
      <c r="I329" s="86"/>
      <c r="J329" s="87"/>
      <c r="K329" s="87"/>
      <c r="L329" s="87"/>
      <c r="M329" s="87"/>
      <c r="N329" s="87"/>
      <c r="O329" s="87"/>
      <c r="P329" s="87"/>
      <c r="Q329" s="87"/>
      <c r="R329" s="87"/>
      <c r="S329" s="87"/>
      <c r="T329" s="87"/>
      <c r="U329" s="87"/>
      <c r="V329" s="87"/>
      <c r="W329" s="88"/>
      <c r="X329" s="88"/>
      <c r="Y329" s="89"/>
      <c r="Z329" s="90"/>
      <c r="AA329" s="91"/>
      <c r="AB329" s="91"/>
      <c r="AC329" s="91"/>
      <c r="AD329" s="91"/>
      <c r="AE329" s="91"/>
      <c r="AF329" s="84"/>
      <c r="AG329" s="92"/>
      <c r="AH329" s="91"/>
      <c r="AI329" s="93"/>
      <c r="AJ329" s="116"/>
      <c r="AK329" s="79"/>
      <c r="AL329" s="79"/>
      <c r="AM329" s="57"/>
    </row>
    <row r="330" spans="1:39">
      <c r="A330" s="54" t="s">
        <v>458</v>
      </c>
      <c r="B330" s="54" t="s">
        <v>689</v>
      </c>
      <c r="D330" s="97" t="s">
        <v>1163</v>
      </c>
      <c r="E330" s="96" t="s">
        <v>17</v>
      </c>
      <c r="F330" s="98"/>
      <c r="G330" s="99" t="s">
        <v>1164</v>
      </c>
      <c r="H330" s="101"/>
      <c r="I330" s="101" t="s">
        <v>454</v>
      </c>
      <c r="W330" s="178"/>
      <c r="X330" s="178"/>
      <c r="Y330" s="122"/>
      <c r="Z330" s="180"/>
      <c r="AA330" s="181"/>
      <c r="AB330" s="181"/>
      <c r="AC330" s="181"/>
      <c r="AD330" s="181"/>
      <c r="AE330" s="182"/>
      <c r="AF330" s="200"/>
      <c r="AG330" s="162"/>
      <c r="AI330" s="112" t="s">
        <v>465</v>
      </c>
      <c r="AJ330" s="210"/>
      <c r="AK330" s="85"/>
      <c r="AL330" s="85"/>
    </row>
    <row r="331" spans="1:39" s="56" customFormat="1" ht="34.5" customHeight="1">
      <c r="A331" s="54" t="s">
        <v>458</v>
      </c>
      <c r="B331" s="54"/>
      <c r="C331" s="96"/>
      <c r="D331" s="97" t="s">
        <v>1163</v>
      </c>
      <c r="E331" s="97"/>
      <c r="F331" s="120" t="s">
        <v>1165</v>
      </c>
      <c r="G331" s="121" t="s">
        <v>1166</v>
      </c>
      <c r="H331" s="100"/>
      <c r="I331" s="101"/>
      <c r="J331" s="87"/>
      <c r="K331" s="87"/>
      <c r="L331" s="87"/>
      <c r="M331" s="87"/>
      <c r="N331" s="87"/>
      <c r="O331" s="87"/>
      <c r="P331" s="87"/>
      <c r="Q331" s="87"/>
      <c r="R331" s="87"/>
      <c r="S331" s="87"/>
      <c r="T331" s="87"/>
      <c r="U331" s="87"/>
      <c r="V331" s="87"/>
      <c r="W331" s="102"/>
      <c r="X331" s="102"/>
      <c r="Y331" s="96"/>
      <c r="Z331" s="104"/>
      <c r="AA331" s="99"/>
      <c r="AB331" s="99"/>
      <c r="AC331" s="99"/>
      <c r="AD331" s="99"/>
      <c r="AE331" s="105"/>
      <c r="AF331" s="201"/>
      <c r="AG331" s="162"/>
      <c r="AH331" s="99"/>
      <c r="AI331" s="112"/>
      <c r="AJ331" s="116"/>
      <c r="AK331" s="79"/>
      <c r="AL331" s="79"/>
      <c r="AM331" s="57"/>
    </row>
    <row r="332" spans="1:39" ht="15.6" customHeight="1">
      <c r="A332" s="54" t="s">
        <v>458</v>
      </c>
      <c r="C332" s="80"/>
      <c r="D332" s="81" t="s">
        <v>1167</v>
      </c>
      <c r="E332" s="203"/>
      <c r="F332" s="204"/>
      <c r="G332" s="84" t="s">
        <v>1168</v>
      </c>
      <c r="H332" s="85" t="s">
        <v>41</v>
      </c>
      <c r="I332" s="86"/>
      <c r="W332" s="186"/>
      <c r="X332" s="186"/>
      <c r="Y332" s="187"/>
      <c r="Z332" s="188"/>
      <c r="AA332" s="189"/>
      <c r="AB332" s="189"/>
      <c r="AC332" s="189"/>
      <c r="AD332" s="189"/>
      <c r="AE332" s="189"/>
      <c r="AF332" s="190"/>
      <c r="AG332" s="92"/>
      <c r="AH332" s="91"/>
      <c r="AI332" s="209"/>
      <c r="AJ332" s="210"/>
      <c r="AK332" s="85"/>
      <c r="AL332" s="85"/>
    </row>
    <row r="333" spans="1:39" s="56" customFormat="1" ht="34.5" customHeight="1">
      <c r="A333" s="56" t="s">
        <v>458</v>
      </c>
      <c r="B333" s="54" t="s">
        <v>689</v>
      </c>
      <c r="C333" s="96"/>
      <c r="D333" s="97" t="s">
        <v>1169</v>
      </c>
      <c r="E333" s="96" t="s">
        <v>17</v>
      </c>
      <c r="F333" s="98"/>
      <c r="G333" s="223" t="s">
        <v>1170</v>
      </c>
      <c r="H333" s="100"/>
      <c r="I333" s="101" t="s">
        <v>481</v>
      </c>
      <c r="J333" s="87"/>
      <c r="K333" s="87"/>
      <c r="L333" s="87"/>
      <c r="M333" s="87"/>
      <c r="N333" s="87"/>
      <c r="O333" s="87"/>
      <c r="P333" s="87"/>
      <c r="Q333" s="87"/>
      <c r="R333" s="87"/>
      <c r="S333" s="87"/>
      <c r="T333" s="87"/>
      <c r="U333" s="87"/>
      <c r="V333" s="87"/>
      <c r="W333" s="102"/>
      <c r="X333" s="102"/>
      <c r="Y333" s="96"/>
      <c r="Z333" s="104"/>
      <c r="AA333" s="99"/>
      <c r="AB333" s="99"/>
      <c r="AC333" s="99"/>
      <c r="AD333" s="99"/>
      <c r="AE333" s="105"/>
      <c r="AF333" s="201"/>
      <c r="AG333" s="162"/>
      <c r="AH333" s="99"/>
      <c r="AI333" s="112" t="s">
        <v>465</v>
      </c>
      <c r="AJ333" s="116"/>
      <c r="AK333" s="79"/>
      <c r="AL333" s="79"/>
      <c r="AM333" s="57"/>
    </row>
    <row r="334" spans="1:39" s="56" customFormat="1" ht="34.5" customHeight="1">
      <c r="A334" s="56" t="s">
        <v>458</v>
      </c>
      <c r="B334" s="54"/>
      <c r="C334" s="96"/>
      <c r="D334" s="97" t="s">
        <v>1171</v>
      </c>
      <c r="E334" s="97"/>
      <c r="F334" s="120" t="s">
        <v>497</v>
      </c>
      <c r="G334" s="121" t="s">
        <v>1172</v>
      </c>
      <c r="H334" s="100"/>
      <c r="I334" s="101"/>
      <c r="J334" s="87"/>
      <c r="K334" s="87"/>
      <c r="L334" s="87"/>
      <c r="M334" s="87"/>
      <c r="N334" s="87"/>
      <c r="O334" s="87"/>
      <c r="P334" s="87"/>
      <c r="Q334" s="87"/>
      <c r="R334" s="87"/>
      <c r="S334" s="87"/>
      <c r="T334" s="87"/>
      <c r="U334" s="87"/>
      <c r="V334" s="87"/>
      <c r="W334" s="102"/>
      <c r="X334" s="102"/>
      <c r="Y334" s="96"/>
      <c r="Z334" s="104"/>
      <c r="AA334" s="99"/>
      <c r="AB334" s="99"/>
      <c r="AC334" s="99"/>
      <c r="AD334" s="99"/>
      <c r="AE334" s="105"/>
      <c r="AF334" s="201"/>
      <c r="AG334" s="162"/>
      <c r="AH334" s="99"/>
      <c r="AI334" s="112"/>
      <c r="AJ334" s="172"/>
      <c r="AK334" s="54"/>
      <c r="AL334" s="54"/>
      <c r="AM334" s="57"/>
    </row>
    <row r="335" spans="1:39">
      <c r="A335" s="54" t="s">
        <v>458</v>
      </c>
      <c r="C335" s="80"/>
      <c r="D335" s="81" t="s">
        <v>1173</v>
      </c>
      <c r="E335" s="203"/>
      <c r="F335" s="204"/>
      <c r="G335" s="84" t="s">
        <v>1174</v>
      </c>
      <c r="H335" s="85" t="s">
        <v>41</v>
      </c>
      <c r="I335" s="86"/>
      <c r="W335" s="186"/>
      <c r="X335" s="186"/>
      <c r="Y335" s="187"/>
      <c r="Z335" s="188"/>
      <c r="AA335" s="189"/>
      <c r="AB335" s="189"/>
      <c r="AC335" s="189"/>
      <c r="AD335" s="189"/>
      <c r="AE335" s="189"/>
      <c r="AF335" s="190"/>
      <c r="AG335" s="92"/>
      <c r="AH335" s="91"/>
      <c r="AI335" s="209"/>
      <c r="AJ335" s="210"/>
      <c r="AK335" s="85"/>
      <c r="AL335" s="85"/>
    </row>
    <row r="336" spans="1:39" s="63" customFormat="1">
      <c r="A336" s="54" t="s">
        <v>458</v>
      </c>
      <c r="B336" s="54" t="s">
        <v>689</v>
      </c>
      <c r="C336" s="96"/>
      <c r="D336" s="97" t="s">
        <v>1175</v>
      </c>
      <c r="E336" s="122" t="s">
        <v>17</v>
      </c>
      <c r="F336" s="202"/>
      <c r="G336" s="99" t="s">
        <v>1176</v>
      </c>
      <c r="H336" s="101"/>
      <c r="I336" s="101" t="s">
        <v>481</v>
      </c>
      <c r="J336" s="87"/>
      <c r="K336" s="87"/>
      <c r="L336" s="87"/>
      <c r="M336" s="87"/>
      <c r="N336" s="87"/>
      <c r="O336" s="87"/>
      <c r="P336" s="87"/>
      <c r="Q336" s="87"/>
      <c r="R336" s="87"/>
      <c r="S336" s="87"/>
      <c r="T336" s="87"/>
      <c r="U336" s="87"/>
      <c r="V336" s="87"/>
      <c r="W336" s="178"/>
      <c r="X336" s="178"/>
      <c r="Y336" s="122"/>
      <c r="Z336" s="180"/>
      <c r="AA336" s="181"/>
      <c r="AB336" s="181"/>
      <c r="AC336" s="181"/>
      <c r="AD336" s="181"/>
      <c r="AE336" s="181"/>
      <c r="AF336" s="200"/>
      <c r="AG336" s="162"/>
      <c r="AH336" s="99"/>
      <c r="AI336" s="112" t="s">
        <v>465</v>
      </c>
      <c r="AJ336" s="224"/>
      <c r="AK336" s="79"/>
      <c r="AL336" s="79"/>
      <c r="AM336" s="221"/>
    </row>
    <row r="337" spans="1:39" s="56" customFormat="1" ht="59.25" customHeight="1">
      <c r="A337" s="54" t="s">
        <v>458</v>
      </c>
      <c r="B337" s="54"/>
      <c r="C337" s="80"/>
      <c r="D337" s="81" t="s">
        <v>1177</v>
      </c>
      <c r="E337" s="82"/>
      <c r="F337" s="83"/>
      <c r="G337" s="84" t="s">
        <v>1178</v>
      </c>
      <c r="H337" s="85" t="s">
        <v>41</v>
      </c>
      <c r="I337" s="86"/>
      <c r="J337" s="87"/>
      <c r="K337" s="87"/>
      <c r="L337" s="87"/>
      <c r="M337" s="87"/>
      <c r="N337" s="87"/>
      <c r="O337" s="87"/>
      <c r="P337" s="87"/>
      <c r="Q337" s="87"/>
      <c r="R337" s="87"/>
      <c r="S337" s="87"/>
      <c r="T337" s="87"/>
      <c r="U337" s="87"/>
      <c r="V337" s="87"/>
      <c r="W337" s="88"/>
      <c r="X337" s="88"/>
      <c r="Y337" s="89"/>
      <c r="Z337" s="90"/>
      <c r="AA337" s="91"/>
      <c r="AB337" s="91"/>
      <c r="AC337" s="91"/>
      <c r="AD337" s="91"/>
      <c r="AE337" s="91"/>
      <c r="AF337" s="84"/>
      <c r="AG337" s="92"/>
      <c r="AH337" s="91"/>
      <c r="AI337" s="93"/>
      <c r="AJ337" s="94"/>
      <c r="AK337" s="95"/>
      <c r="AL337" s="95"/>
      <c r="AM337" s="57"/>
    </row>
    <row r="338" spans="1:39" s="147" customFormat="1" ht="28.95" customHeight="1">
      <c r="A338" s="125" t="s">
        <v>621</v>
      </c>
      <c r="B338" s="147" t="s">
        <v>689</v>
      </c>
      <c r="C338" s="126"/>
      <c r="D338" s="127" t="s">
        <v>1179</v>
      </c>
      <c r="E338" s="225" t="s">
        <v>17</v>
      </c>
      <c r="F338" s="226"/>
      <c r="G338" s="129" t="s">
        <v>1180</v>
      </c>
      <c r="H338" s="131"/>
      <c r="I338" s="131" t="s">
        <v>481</v>
      </c>
      <c r="J338" s="132"/>
      <c r="K338" s="132"/>
      <c r="L338" s="132"/>
      <c r="M338" s="132"/>
      <c r="N338" s="132"/>
      <c r="O338" s="132"/>
      <c r="P338" s="132"/>
      <c r="Q338" s="132"/>
      <c r="R338" s="132"/>
      <c r="S338" s="132"/>
      <c r="T338" s="132"/>
      <c r="U338" s="132"/>
      <c r="V338" s="132"/>
      <c r="W338" s="193"/>
      <c r="X338" s="193"/>
      <c r="Y338" s="225"/>
      <c r="Z338" s="195"/>
      <c r="AA338" s="196"/>
      <c r="AB338" s="196"/>
      <c r="AC338" s="196"/>
      <c r="AD338" s="196"/>
      <c r="AE338" s="196"/>
      <c r="AF338" s="197"/>
      <c r="AG338" s="137"/>
      <c r="AH338" s="129"/>
      <c r="AI338" s="112" t="s">
        <v>465</v>
      </c>
      <c r="AJ338" s="227"/>
      <c r="AK338" s="228"/>
      <c r="AL338" s="228"/>
      <c r="AM338" s="229"/>
    </row>
    <row r="339" spans="1:39" ht="28.8">
      <c r="A339" s="54" t="s">
        <v>458</v>
      </c>
      <c r="C339" s="80"/>
      <c r="D339" s="81" t="s">
        <v>1181</v>
      </c>
      <c r="E339" s="203"/>
      <c r="F339" s="204"/>
      <c r="G339" s="84" t="s">
        <v>1182</v>
      </c>
      <c r="H339" s="85" t="s">
        <v>41</v>
      </c>
      <c r="I339" s="86"/>
      <c r="W339" s="186"/>
      <c r="X339" s="186"/>
      <c r="Y339" s="187"/>
      <c r="Z339" s="188"/>
      <c r="AA339" s="189"/>
      <c r="AB339" s="189"/>
      <c r="AC339" s="189"/>
      <c r="AD339" s="189"/>
      <c r="AE339" s="189"/>
      <c r="AF339" s="190"/>
      <c r="AG339" s="92"/>
      <c r="AH339" s="91"/>
      <c r="AI339" s="209"/>
      <c r="AJ339" s="207"/>
      <c r="AK339" s="119"/>
      <c r="AL339" s="119"/>
    </row>
    <row r="340" spans="1:39" s="56" customFormat="1" ht="45.75" customHeight="1">
      <c r="A340" s="56" t="s">
        <v>458</v>
      </c>
      <c r="B340" s="54" t="s">
        <v>689</v>
      </c>
      <c r="C340" s="96"/>
      <c r="D340" s="97" t="s">
        <v>1183</v>
      </c>
      <c r="E340" s="96" t="s">
        <v>17</v>
      </c>
      <c r="F340" s="98"/>
      <c r="G340" s="99" t="s">
        <v>1184</v>
      </c>
      <c r="H340" s="100"/>
      <c r="I340" s="101" t="s">
        <v>481</v>
      </c>
      <c r="J340" s="87"/>
      <c r="K340" s="87"/>
      <c r="L340" s="87"/>
      <c r="M340" s="87"/>
      <c r="N340" s="87"/>
      <c r="O340" s="87"/>
      <c r="P340" s="87"/>
      <c r="Q340" s="87"/>
      <c r="R340" s="87"/>
      <c r="S340" s="87"/>
      <c r="T340" s="87"/>
      <c r="U340" s="87"/>
      <c r="V340" s="87"/>
      <c r="W340" s="102"/>
      <c r="X340" s="102"/>
      <c r="Y340" s="96"/>
      <c r="Z340" s="104"/>
      <c r="AA340" s="99"/>
      <c r="AB340" s="99"/>
      <c r="AC340" s="99"/>
      <c r="AD340" s="99"/>
      <c r="AE340" s="99"/>
      <c r="AF340" s="201"/>
      <c r="AG340" s="162"/>
      <c r="AH340" s="99"/>
      <c r="AI340" s="112" t="s">
        <v>465</v>
      </c>
      <c r="AJ340" s="116"/>
      <c r="AK340" s="79"/>
      <c r="AL340" s="79"/>
      <c r="AM340" s="57"/>
    </row>
    <row r="341" spans="1:39">
      <c r="A341" s="54" t="s">
        <v>458</v>
      </c>
      <c r="C341" s="80"/>
      <c r="D341" s="81" t="s">
        <v>1185</v>
      </c>
      <c r="E341" s="203"/>
      <c r="F341" s="204"/>
      <c r="G341" s="190" t="s">
        <v>1186</v>
      </c>
      <c r="H341" s="85" t="s">
        <v>41</v>
      </c>
      <c r="I341" s="86"/>
      <c r="W341" s="186"/>
      <c r="X341" s="186"/>
      <c r="Y341" s="187"/>
      <c r="Z341" s="188"/>
      <c r="AA341" s="189"/>
      <c r="AB341" s="189"/>
      <c r="AC341" s="189"/>
      <c r="AD341" s="189"/>
      <c r="AE341" s="189"/>
      <c r="AF341" s="190"/>
      <c r="AG341" s="92"/>
      <c r="AH341" s="91"/>
      <c r="AI341" s="209"/>
      <c r="AJ341" s="210"/>
      <c r="AK341" s="85"/>
      <c r="AL341" s="85"/>
      <c r="AM341" s="54"/>
    </row>
    <row r="342" spans="1:39">
      <c r="A342" s="56" t="s">
        <v>458</v>
      </c>
      <c r="B342" s="54" t="s">
        <v>689</v>
      </c>
      <c r="D342" s="97" t="s">
        <v>1187</v>
      </c>
      <c r="E342" s="96" t="s">
        <v>17</v>
      </c>
      <c r="F342" s="230" t="s">
        <v>497</v>
      </c>
      <c r="G342" s="230" t="s">
        <v>1188</v>
      </c>
      <c r="H342" s="101"/>
      <c r="I342" s="101" t="s">
        <v>454</v>
      </c>
      <c r="W342" s="178"/>
      <c r="X342" s="178"/>
      <c r="Y342" s="122"/>
      <c r="Z342" s="180"/>
      <c r="AA342" s="181"/>
      <c r="AB342" s="181"/>
      <c r="AC342" s="181"/>
      <c r="AD342" s="181"/>
      <c r="AE342" s="181"/>
      <c r="AF342" s="182"/>
      <c r="AG342" s="162"/>
      <c r="AI342" s="112" t="s">
        <v>465</v>
      </c>
      <c r="AJ342" s="208"/>
      <c r="AK342" s="79"/>
      <c r="AL342" s="79"/>
      <c r="AM342" s="54"/>
    </row>
    <row r="343" spans="1:39" s="56" customFormat="1" ht="40.35" customHeight="1">
      <c r="A343" s="54" t="s">
        <v>458</v>
      </c>
      <c r="B343" s="54" t="s">
        <v>689</v>
      </c>
      <c r="C343" s="155"/>
      <c r="D343" s="173" t="s">
        <v>1189</v>
      </c>
      <c r="E343" s="96" t="s">
        <v>17</v>
      </c>
      <c r="F343" s="109"/>
      <c r="G343" s="109" t="s">
        <v>1190</v>
      </c>
      <c r="H343" s="153"/>
      <c r="I343" s="157" t="s">
        <v>454</v>
      </c>
      <c r="J343" s="158"/>
      <c r="K343" s="158"/>
      <c r="L343" s="158"/>
      <c r="M343" s="158"/>
      <c r="N343" s="158"/>
      <c r="O343" s="158"/>
      <c r="P343" s="158"/>
      <c r="Q343" s="158"/>
      <c r="R343" s="158"/>
      <c r="S343" s="158"/>
      <c r="T343" s="158"/>
      <c r="U343" s="158"/>
      <c r="V343" s="158"/>
      <c r="W343" s="159"/>
      <c r="X343" s="159"/>
      <c r="Y343" s="155"/>
      <c r="Z343" s="104"/>
      <c r="AA343" s="109"/>
      <c r="AB343" s="109"/>
      <c r="AC343" s="109"/>
      <c r="AD343" s="109"/>
      <c r="AE343" s="109"/>
      <c r="AF343" s="161"/>
      <c r="AG343" s="162"/>
      <c r="AH343" s="109"/>
      <c r="AI343" s="112" t="s">
        <v>465</v>
      </c>
      <c r="AJ343" s="94"/>
      <c r="AK343" s="95"/>
      <c r="AL343" s="95"/>
      <c r="AM343" s="57"/>
    </row>
    <row r="344" spans="1:39" s="63" customFormat="1" ht="43.2">
      <c r="A344" s="56" t="s">
        <v>458</v>
      </c>
      <c r="B344" s="54"/>
      <c r="C344" s="80"/>
      <c r="D344" s="81" t="s">
        <v>1191</v>
      </c>
      <c r="E344" s="203"/>
      <c r="F344" s="204"/>
      <c r="G344" s="190" t="s">
        <v>1192</v>
      </c>
      <c r="H344" s="85" t="s">
        <v>41</v>
      </c>
      <c r="I344" s="86"/>
      <c r="J344" s="87"/>
      <c r="K344" s="87"/>
      <c r="L344" s="87"/>
      <c r="M344" s="87"/>
      <c r="N344" s="87"/>
      <c r="O344" s="87"/>
      <c r="P344" s="87"/>
      <c r="Q344" s="87"/>
      <c r="R344" s="87"/>
      <c r="S344" s="87"/>
      <c r="T344" s="87"/>
      <c r="U344" s="87"/>
      <c r="V344" s="87"/>
      <c r="W344" s="186"/>
      <c r="X344" s="186"/>
      <c r="Y344" s="187"/>
      <c r="Z344" s="188"/>
      <c r="AA344" s="189"/>
      <c r="AB344" s="189"/>
      <c r="AC344" s="189"/>
      <c r="AD344" s="189"/>
      <c r="AE344" s="189"/>
      <c r="AF344" s="190"/>
      <c r="AG344" s="92"/>
      <c r="AH344" s="91"/>
      <c r="AI344" s="209"/>
      <c r="AJ344" s="208"/>
      <c r="AK344" s="79"/>
      <c r="AL344" s="79"/>
    </row>
    <row r="345" spans="1:39" s="63" customFormat="1">
      <c r="A345" s="54" t="s">
        <v>458</v>
      </c>
      <c r="B345" s="54" t="s">
        <v>689</v>
      </c>
      <c r="C345" s="96"/>
      <c r="D345" s="97" t="s">
        <v>1193</v>
      </c>
      <c r="E345" s="96" t="s">
        <v>17</v>
      </c>
      <c r="F345" s="202"/>
      <c r="G345" s="205" t="s">
        <v>1194</v>
      </c>
      <c r="H345" s="101"/>
      <c r="I345" s="101" t="s">
        <v>481</v>
      </c>
      <c r="J345" s="87"/>
      <c r="K345" s="87"/>
      <c r="L345" s="87"/>
      <c r="M345" s="87"/>
      <c r="N345" s="87"/>
      <c r="O345" s="87"/>
      <c r="P345" s="87"/>
      <c r="Q345" s="87"/>
      <c r="R345" s="87"/>
      <c r="S345" s="87"/>
      <c r="T345" s="87"/>
      <c r="U345" s="87"/>
      <c r="V345" s="87"/>
      <c r="W345" s="178"/>
      <c r="X345" s="178"/>
      <c r="Y345" s="122"/>
      <c r="Z345" s="180"/>
      <c r="AA345" s="181"/>
      <c r="AB345" s="181"/>
      <c r="AC345" s="181"/>
      <c r="AD345" s="181"/>
      <c r="AE345" s="181"/>
      <c r="AF345" s="200"/>
      <c r="AG345" s="162"/>
      <c r="AH345" s="99"/>
      <c r="AI345" s="112" t="s">
        <v>465</v>
      </c>
      <c r="AJ345" s="207"/>
      <c r="AK345" s="95"/>
      <c r="AL345" s="95"/>
    </row>
    <row r="346" spans="1:39" s="63" customFormat="1">
      <c r="A346" s="54" t="s">
        <v>458</v>
      </c>
      <c r="B346" s="54" t="s">
        <v>689</v>
      </c>
      <c r="C346" s="96"/>
      <c r="D346" s="97" t="s">
        <v>1195</v>
      </c>
      <c r="E346" s="96" t="s">
        <v>17</v>
      </c>
      <c r="F346" s="202"/>
      <c r="G346" s="181" t="s">
        <v>1196</v>
      </c>
      <c r="H346" s="101"/>
      <c r="I346" s="101" t="s">
        <v>481</v>
      </c>
      <c r="J346" s="87"/>
      <c r="K346" s="87"/>
      <c r="L346" s="87"/>
      <c r="M346" s="87"/>
      <c r="N346" s="87"/>
      <c r="O346" s="87"/>
      <c r="P346" s="87"/>
      <c r="Q346" s="87"/>
      <c r="R346" s="87"/>
      <c r="S346" s="87"/>
      <c r="T346" s="87"/>
      <c r="U346" s="87"/>
      <c r="V346" s="87"/>
      <c r="W346" s="178"/>
      <c r="X346" s="178"/>
      <c r="Y346" s="122"/>
      <c r="Z346" s="180"/>
      <c r="AA346" s="181"/>
      <c r="AB346" s="181"/>
      <c r="AC346" s="181"/>
      <c r="AD346" s="181"/>
      <c r="AE346" s="181"/>
      <c r="AF346" s="200"/>
      <c r="AG346" s="162"/>
      <c r="AH346" s="99"/>
      <c r="AI346" s="112" t="s">
        <v>465</v>
      </c>
      <c r="AJ346" s="208"/>
      <c r="AK346" s="79"/>
      <c r="AL346" s="79"/>
    </row>
    <row r="347" spans="1:39" s="63" customFormat="1" ht="28.8">
      <c r="A347" s="56" t="s">
        <v>458</v>
      </c>
      <c r="B347" s="54"/>
      <c r="C347" s="80"/>
      <c r="D347" s="81" t="s">
        <v>1197</v>
      </c>
      <c r="E347" s="203"/>
      <c r="F347" s="204"/>
      <c r="G347" s="190" t="s">
        <v>1198</v>
      </c>
      <c r="H347" s="85" t="s">
        <v>41</v>
      </c>
      <c r="I347" s="86"/>
      <c r="J347" s="87"/>
      <c r="K347" s="87"/>
      <c r="L347" s="87"/>
      <c r="M347" s="87"/>
      <c r="N347" s="87"/>
      <c r="O347" s="87"/>
      <c r="P347" s="87"/>
      <c r="Q347" s="87"/>
      <c r="R347" s="87"/>
      <c r="S347" s="87"/>
      <c r="T347" s="87"/>
      <c r="U347" s="87"/>
      <c r="V347" s="87"/>
      <c r="W347" s="186"/>
      <c r="X347" s="186"/>
      <c r="Y347" s="187"/>
      <c r="Z347" s="188"/>
      <c r="AA347" s="189"/>
      <c r="AB347" s="189"/>
      <c r="AC347" s="189"/>
      <c r="AD347" s="189"/>
      <c r="AE347" s="189"/>
      <c r="AF347" s="190"/>
      <c r="AG347" s="92"/>
      <c r="AH347" s="91"/>
      <c r="AI347" s="209"/>
      <c r="AJ347" s="207"/>
      <c r="AK347" s="95"/>
      <c r="AL347" s="95"/>
    </row>
    <row r="348" spans="1:39" s="67" customFormat="1" ht="19.2" customHeight="1">
      <c r="A348" s="63" t="s">
        <v>458</v>
      </c>
      <c r="B348" s="63" t="s">
        <v>450</v>
      </c>
      <c r="C348" s="155"/>
      <c r="D348" s="173" t="s">
        <v>1199</v>
      </c>
      <c r="E348" s="155" t="s">
        <v>17</v>
      </c>
      <c r="F348" s="109"/>
      <c r="G348" s="109" t="s">
        <v>1200</v>
      </c>
      <c r="H348" s="153"/>
      <c r="I348" s="157" t="s">
        <v>454</v>
      </c>
      <c r="J348" s="158"/>
      <c r="K348" s="158"/>
      <c r="L348" s="158"/>
      <c r="M348" s="158"/>
      <c r="N348" s="158"/>
      <c r="O348" s="158"/>
      <c r="P348" s="158"/>
      <c r="Q348" s="158"/>
      <c r="R348" s="158"/>
      <c r="S348" s="158"/>
      <c r="T348" s="158"/>
      <c r="U348" s="158"/>
      <c r="V348" s="158"/>
      <c r="W348" s="159"/>
      <c r="X348" s="159"/>
      <c r="Y348" s="155"/>
      <c r="Z348" s="104"/>
      <c r="AA348" s="109"/>
      <c r="AB348" s="109"/>
      <c r="AC348" s="109"/>
      <c r="AD348" s="109"/>
      <c r="AE348" s="109"/>
      <c r="AF348" s="231"/>
      <c r="AG348" s="162"/>
      <c r="AH348" s="109"/>
      <c r="AI348" s="176">
        <v>2</v>
      </c>
      <c r="AJ348" s="164"/>
      <c r="AK348" s="185"/>
      <c r="AL348" s="185"/>
      <c r="AM348" s="165"/>
    </row>
    <row r="349" spans="1:39" s="63" customFormat="1" ht="23.7" customHeight="1">
      <c r="A349" s="67" t="s">
        <v>458</v>
      </c>
      <c r="B349" s="63" t="s">
        <v>450</v>
      </c>
      <c r="C349" s="155"/>
      <c r="D349" s="173" t="s">
        <v>1201</v>
      </c>
      <c r="E349" s="155" t="s">
        <v>17</v>
      </c>
      <c r="F349" s="205"/>
      <c r="G349" s="109" t="s">
        <v>1202</v>
      </c>
      <c r="H349" s="157"/>
      <c r="I349" s="157" t="s">
        <v>454</v>
      </c>
      <c r="J349" s="158"/>
      <c r="K349" s="158"/>
      <c r="L349" s="158"/>
      <c r="M349" s="158"/>
      <c r="N349" s="158"/>
      <c r="O349" s="158"/>
      <c r="P349" s="158"/>
      <c r="Q349" s="158"/>
      <c r="R349" s="158"/>
      <c r="S349" s="158"/>
      <c r="T349" s="158"/>
      <c r="U349" s="158"/>
      <c r="V349" s="158"/>
      <c r="W349" s="215"/>
      <c r="X349" s="215"/>
      <c r="Y349" s="216"/>
      <c r="Z349" s="180"/>
      <c r="AA349" s="205"/>
      <c r="AB349" s="205"/>
      <c r="AC349" s="205"/>
      <c r="AD349" s="205"/>
      <c r="AE349" s="205"/>
      <c r="AF349" s="232"/>
      <c r="AG349" s="162"/>
      <c r="AH349" s="109"/>
      <c r="AI349" s="218">
        <v>1</v>
      </c>
      <c r="AJ349" s="233"/>
      <c r="AK349" s="153"/>
      <c r="AL349" s="153"/>
    </row>
    <row r="350" spans="1:39" ht="129.6">
      <c r="A350" s="54" t="s">
        <v>458</v>
      </c>
      <c r="C350" s="80"/>
      <c r="D350" s="234" t="s">
        <v>1203</v>
      </c>
      <c r="E350" s="203"/>
      <c r="F350" s="204" t="s">
        <v>1204</v>
      </c>
      <c r="G350" s="235" t="s">
        <v>1205</v>
      </c>
      <c r="H350" s="85" t="s">
        <v>41</v>
      </c>
      <c r="I350" s="86"/>
      <c r="W350" s="186"/>
      <c r="X350" s="186"/>
      <c r="Y350" s="187"/>
      <c r="Z350" s="188"/>
      <c r="AA350" s="189"/>
      <c r="AB350" s="189"/>
      <c r="AC350" s="189"/>
      <c r="AD350" s="189"/>
      <c r="AE350" s="189"/>
      <c r="AF350" s="190"/>
      <c r="AG350" s="92"/>
      <c r="AH350" s="91"/>
      <c r="AI350" s="209"/>
      <c r="AJ350" s="219"/>
      <c r="AK350" s="108"/>
      <c r="AL350" s="108"/>
    </row>
    <row r="351" spans="1:39" s="125" customFormat="1" ht="68.25" customHeight="1">
      <c r="A351" s="125" t="s">
        <v>621</v>
      </c>
      <c r="B351" s="147" t="s">
        <v>172</v>
      </c>
      <c r="C351" s="126"/>
      <c r="D351" s="236" t="s">
        <v>1206</v>
      </c>
      <c r="E351" s="236"/>
      <c r="F351" s="128"/>
      <c r="G351" s="237" t="s">
        <v>1207</v>
      </c>
      <c r="H351" s="130"/>
      <c r="I351" s="131"/>
      <c r="J351" s="132"/>
      <c r="K351" s="132"/>
      <c r="L351" s="132"/>
      <c r="M351" s="132"/>
      <c r="N351" s="132"/>
      <c r="O351" s="132"/>
      <c r="P351" s="132"/>
      <c r="Q351" s="132"/>
      <c r="R351" s="132"/>
      <c r="S351" s="132"/>
      <c r="T351" s="132"/>
      <c r="U351" s="132"/>
      <c r="V351" s="132"/>
      <c r="W351" s="133"/>
      <c r="X351" s="133"/>
      <c r="Y351" s="126"/>
      <c r="Z351" s="135"/>
      <c r="AA351" s="129"/>
      <c r="AB351" s="129"/>
      <c r="AC351" s="129"/>
      <c r="AD351" s="129"/>
      <c r="AE351" s="129"/>
      <c r="AF351" s="237"/>
      <c r="AG351" s="137"/>
      <c r="AH351" s="129"/>
      <c r="AI351" s="149"/>
      <c r="AJ351" s="139"/>
      <c r="AK351" s="199"/>
      <c r="AL351" s="199"/>
      <c r="AM351" s="140"/>
    </row>
    <row r="352" spans="1:39" s="63" customFormat="1">
      <c r="A352" s="54" t="s">
        <v>458</v>
      </c>
      <c r="B352" s="54"/>
      <c r="C352" s="96"/>
      <c r="D352" s="238" t="s">
        <v>1208</v>
      </c>
      <c r="E352" s="239"/>
      <c r="F352" s="202" t="s">
        <v>102</v>
      </c>
      <c r="G352" s="205" t="s">
        <v>1209</v>
      </c>
      <c r="H352" s="101"/>
      <c r="I352" s="101"/>
      <c r="J352" s="87"/>
      <c r="K352" s="87"/>
      <c r="L352" s="87"/>
      <c r="M352" s="87"/>
      <c r="N352" s="87"/>
      <c r="O352" s="87"/>
      <c r="P352" s="87"/>
      <c r="Q352" s="87"/>
      <c r="R352" s="87"/>
      <c r="S352" s="87"/>
      <c r="T352" s="87"/>
      <c r="U352" s="87"/>
      <c r="V352" s="87"/>
      <c r="W352" s="178"/>
      <c r="X352" s="178"/>
      <c r="Y352" s="122"/>
      <c r="Z352" s="180"/>
      <c r="AA352" s="181"/>
      <c r="AB352" s="181"/>
      <c r="AC352" s="181"/>
      <c r="AD352" s="181"/>
      <c r="AE352" s="181"/>
      <c r="AF352" s="200"/>
      <c r="AG352" s="162"/>
      <c r="AH352" s="99"/>
      <c r="AI352" s="206"/>
      <c r="AJ352" s="207"/>
      <c r="AK352" s="95"/>
      <c r="AL352" s="95"/>
      <c r="AM352" s="221"/>
    </row>
    <row r="353" spans="1:39" s="63" customFormat="1" ht="86.4">
      <c r="A353" s="54" t="s">
        <v>458</v>
      </c>
      <c r="B353" s="54"/>
      <c r="C353" s="80"/>
      <c r="D353" s="234" t="s">
        <v>1210</v>
      </c>
      <c r="E353" s="203"/>
      <c r="F353" s="204" t="s">
        <v>184</v>
      </c>
      <c r="G353" s="190" t="s">
        <v>1211</v>
      </c>
      <c r="H353" s="85" t="s">
        <v>41</v>
      </c>
      <c r="I353" s="86"/>
      <c r="J353" s="87"/>
      <c r="K353" s="87"/>
      <c r="L353" s="87"/>
      <c r="M353" s="87"/>
      <c r="N353" s="87"/>
      <c r="O353" s="87"/>
      <c r="P353" s="87"/>
      <c r="Q353" s="87"/>
      <c r="R353" s="87"/>
      <c r="S353" s="87"/>
      <c r="T353" s="87"/>
      <c r="U353" s="87"/>
      <c r="V353" s="87"/>
      <c r="W353" s="186"/>
      <c r="X353" s="186"/>
      <c r="Y353" s="187"/>
      <c r="Z353" s="188"/>
      <c r="AA353" s="189"/>
      <c r="AB353" s="189"/>
      <c r="AC353" s="189"/>
      <c r="AD353" s="189"/>
      <c r="AE353" s="189"/>
      <c r="AF353" s="190"/>
      <c r="AG353" s="92"/>
      <c r="AH353" s="91"/>
      <c r="AI353" s="209"/>
      <c r="AJ353" s="208"/>
      <c r="AK353" s="79"/>
      <c r="AL353" s="79"/>
      <c r="AM353" s="221"/>
    </row>
    <row r="354" spans="1:39" s="63" customFormat="1">
      <c r="A354" s="54" t="s">
        <v>458</v>
      </c>
      <c r="B354" s="54" t="s">
        <v>172</v>
      </c>
      <c r="C354" s="96"/>
      <c r="D354" s="239" t="s">
        <v>185</v>
      </c>
      <c r="E354" s="240" t="s">
        <v>11</v>
      </c>
      <c r="F354" s="181"/>
      <c r="G354" s="181" t="s">
        <v>1212</v>
      </c>
      <c r="H354" s="101"/>
      <c r="I354" s="101" t="s">
        <v>172</v>
      </c>
      <c r="J354" s="87"/>
      <c r="K354" s="87"/>
      <c r="L354" s="87"/>
      <c r="M354" s="87"/>
      <c r="N354" s="87"/>
      <c r="O354" s="87"/>
      <c r="P354" s="87"/>
      <c r="Q354" s="87"/>
      <c r="R354" s="87"/>
      <c r="S354" s="87"/>
      <c r="T354" s="87"/>
      <c r="U354" s="87"/>
      <c r="V354" s="87"/>
      <c r="W354" s="178"/>
      <c r="X354" s="178"/>
      <c r="Y354" s="122"/>
      <c r="Z354" s="180"/>
      <c r="AA354" s="241"/>
      <c r="AB354" s="241"/>
      <c r="AC354" s="241"/>
      <c r="AD354" s="241"/>
      <c r="AE354" s="181"/>
      <c r="AF354" s="200"/>
      <c r="AG354" s="162"/>
      <c r="AH354" s="99"/>
      <c r="AI354" s="206"/>
      <c r="AJ354" s="207"/>
      <c r="AK354" s="119"/>
      <c r="AL354" s="119"/>
      <c r="AM354" s="221"/>
    </row>
    <row r="355" spans="1:39" s="63" customFormat="1">
      <c r="A355" s="54" t="s">
        <v>458</v>
      </c>
      <c r="B355" s="54" t="s">
        <v>172</v>
      </c>
      <c r="C355" s="96"/>
      <c r="D355" s="239" t="s">
        <v>189</v>
      </c>
      <c r="E355" s="240" t="s">
        <v>11</v>
      </c>
      <c r="F355" s="242" t="s">
        <v>102</v>
      </c>
      <c r="G355" s="242" t="s">
        <v>1213</v>
      </c>
      <c r="H355" s="101"/>
      <c r="I355" s="101" t="s">
        <v>172</v>
      </c>
      <c r="J355" s="87"/>
      <c r="K355" s="87"/>
      <c r="L355" s="87"/>
      <c r="M355" s="87"/>
      <c r="N355" s="87"/>
      <c r="O355" s="87"/>
      <c r="P355" s="87"/>
      <c r="Q355" s="87"/>
      <c r="R355" s="87"/>
      <c r="S355" s="87"/>
      <c r="T355" s="87"/>
      <c r="U355" s="87"/>
      <c r="V355" s="87"/>
      <c r="W355" s="178"/>
      <c r="X355" s="178"/>
      <c r="Y355" s="122"/>
      <c r="Z355" s="180"/>
      <c r="AA355" s="241"/>
      <c r="AB355" s="241"/>
      <c r="AC355" s="241"/>
      <c r="AD355" s="241"/>
      <c r="AE355" s="181"/>
      <c r="AF355" s="200"/>
      <c r="AG355" s="162"/>
      <c r="AH355" s="99"/>
      <c r="AI355" s="206"/>
      <c r="AJ355" s="207"/>
      <c r="AK355" s="119"/>
      <c r="AL355" s="119"/>
      <c r="AM355" s="221"/>
    </row>
    <row r="356" spans="1:39" s="63" customFormat="1">
      <c r="A356" s="54" t="s">
        <v>458</v>
      </c>
      <c r="B356" s="54" t="s">
        <v>172</v>
      </c>
      <c r="C356" s="96"/>
      <c r="D356" s="239" t="s">
        <v>193</v>
      </c>
      <c r="E356" s="240" t="s">
        <v>11</v>
      </c>
      <c r="F356" s="242"/>
      <c r="G356" s="242" t="s">
        <v>1214</v>
      </c>
      <c r="H356" s="101"/>
      <c r="I356" s="101" t="s">
        <v>172</v>
      </c>
      <c r="J356" s="87"/>
      <c r="K356" s="87"/>
      <c r="L356" s="87"/>
      <c r="M356" s="87"/>
      <c r="N356" s="87"/>
      <c r="O356" s="87"/>
      <c r="P356" s="87"/>
      <c r="Q356" s="87"/>
      <c r="R356" s="87"/>
      <c r="S356" s="87"/>
      <c r="T356" s="87"/>
      <c r="U356" s="87"/>
      <c r="V356" s="87"/>
      <c r="W356" s="178"/>
      <c r="X356" s="178"/>
      <c r="Y356" s="122"/>
      <c r="Z356" s="180"/>
      <c r="AA356" s="241"/>
      <c r="AB356" s="241"/>
      <c r="AC356" s="241"/>
      <c r="AD356" s="241"/>
      <c r="AE356" s="181"/>
      <c r="AF356" s="200"/>
      <c r="AG356" s="162"/>
      <c r="AH356" s="99"/>
      <c r="AI356" s="206"/>
      <c r="AJ356" s="207"/>
      <c r="AK356" s="119"/>
      <c r="AL356" s="119"/>
      <c r="AM356" s="221"/>
    </row>
    <row r="357" spans="1:39" s="63" customFormat="1">
      <c r="A357" s="54" t="s">
        <v>458</v>
      </c>
      <c r="B357" s="54" t="s">
        <v>172</v>
      </c>
      <c r="C357" s="96"/>
      <c r="D357" s="239" t="s">
        <v>196</v>
      </c>
      <c r="E357" s="240" t="s">
        <v>11</v>
      </c>
      <c r="F357" s="242"/>
      <c r="G357" s="242" t="s">
        <v>1215</v>
      </c>
      <c r="H357" s="101"/>
      <c r="I357" s="101" t="s">
        <v>172</v>
      </c>
      <c r="J357" s="87"/>
      <c r="K357" s="87"/>
      <c r="L357" s="87"/>
      <c r="M357" s="87"/>
      <c r="N357" s="87"/>
      <c r="O357" s="87"/>
      <c r="P357" s="87"/>
      <c r="Q357" s="87"/>
      <c r="R357" s="87"/>
      <c r="S357" s="87"/>
      <c r="T357" s="87"/>
      <c r="U357" s="87"/>
      <c r="V357" s="87"/>
      <c r="W357" s="178"/>
      <c r="X357" s="178"/>
      <c r="Y357" s="122"/>
      <c r="Z357" s="180"/>
      <c r="AA357" s="241"/>
      <c r="AB357" s="241"/>
      <c r="AC357" s="241"/>
      <c r="AD357" s="241"/>
      <c r="AE357" s="181"/>
      <c r="AF357" s="200"/>
      <c r="AG357" s="162"/>
      <c r="AH357" s="99"/>
      <c r="AI357" s="206"/>
      <c r="AJ357" s="207"/>
      <c r="AK357" s="119"/>
      <c r="AL357" s="119"/>
      <c r="AM357" s="221"/>
    </row>
    <row r="358" spans="1:39" s="63" customFormat="1" ht="28.8">
      <c r="A358" s="54" t="s">
        <v>458</v>
      </c>
      <c r="B358" s="54" t="s">
        <v>172</v>
      </c>
      <c r="C358" s="96"/>
      <c r="D358" s="239" t="s">
        <v>199</v>
      </c>
      <c r="E358" s="240" t="s">
        <v>11</v>
      </c>
      <c r="F358" s="242"/>
      <c r="G358" s="242" t="s">
        <v>1216</v>
      </c>
      <c r="H358" s="101"/>
      <c r="I358" s="101" t="s">
        <v>172</v>
      </c>
      <c r="J358" s="87"/>
      <c r="K358" s="87"/>
      <c r="L358" s="87"/>
      <c r="M358" s="87"/>
      <c r="N358" s="87"/>
      <c r="O358" s="87"/>
      <c r="P358" s="87"/>
      <c r="Q358" s="87"/>
      <c r="R358" s="87"/>
      <c r="S358" s="87"/>
      <c r="T358" s="87"/>
      <c r="U358" s="87"/>
      <c r="V358" s="87"/>
      <c r="W358" s="178"/>
      <c r="X358" s="178"/>
      <c r="Y358" s="122"/>
      <c r="Z358" s="180"/>
      <c r="AA358" s="241"/>
      <c r="AB358" s="241"/>
      <c r="AC358" s="241"/>
      <c r="AD358" s="241"/>
      <c r="AE358" s="181"/>
      <c r="AF358" s="200"/>
      <c r="AG358" s="162"/>
      <c r="AH358" s="99"/>
      <c r="AI358" s="206"/>
      <c r="AJ358" s="207"/>
      <c r="AK358" s="119"/>
      <c r="AL358" s="119"/>
      <c r="AM358" s="221"/>
    </row>
    <row r="359" spans="1:39" s="63" customFormat="1">
      <c r="A359" s="54" t="s">
        <v>458</v>
      </c>
      <c r="B359" s="54" t="s">
        <v>172</v>
      </c>
      <c r="C359" s="96"/>
      <c r="D359" s="239" t="s">
        <v>201</v>
      </c>
      <c r="E359" s="240" t="s">
        <v>11</v>
      </c>
      <c r="F359" s="242"/>
      <c r="G359" s="242" t="s">
        <v>1217</v>
      </c>
      <c r="H359" s="101"/>
      <c r="I359" s="101" t="s">
        <v>172</v>
      </c>
      <c r="J359" s="87"/>
      <c r="K359" s="87"/>
      <c r="L359" s="87"/>
      <c r="M359" s="87"/>
      <c r="N359" s="87"/>
      <c r="O359" s="87"/>
      <c r="P359" s="87"/>
      <c r="Q359" s="87"/>
      <c r="R359" s="87"/>
      <c r="S359" s="87"/>
      <c r="T359" s="87"/>
      <c r="U359" s="87"/>
      <c r="V359" s="87"/>
      <c r="W359" s="178"/>
      <c r="X359" s="178"/>
      <c r="Y359" s="122"/>
      <c r="Z359" s="180"/>
      <c r="AA359" s="241"/>
      <c r="AB359" s="241"/>
      <c r="AC359" s="241"/>
      <c r="AD359" s="241"/>
      <c r="AE359" s="181"/>
      <c r="AF359" s="200"/>
      <c r="AG359" s="162"/>
      <c r="AH359" s="99"/>
      <c r="AI359" s="206"/>
      <c r="AJ359" s="207"/>
      <c r="AK359" s="119"/>
      <c r="AL359" s="119"/>
      <c r="AM359" s="221"/>
    </row>
    <row r="360" spans="1:39" s="63" customFormat="1">
      <c r="A360" s="54" t="s">
        <v>458</v>
      </c>
      <c r="B360" s="54" t="s">
        <v>172</v>
      </c>
      <c r="C360" s="96"/>
      <c r="D360" s="239" t="s">
        <v>204</v>
      </c>
      <c r="E360" s="240" t="s">
        <v>11</v>
      </c>
      <c r="F360" s="181"/>
      <c r="G360" s="181" t="s">
        <v>205</v>
      </c>
      <c r="H360" s="101"/>
      <c r="I360" s="101" t="s">
        <v>172</v>
      </c>
      <c r="J360" s="87"/>
      <c r="K360" s="87"/>
      <c r="L360" s="87"/>
      <c r="M360" s="87"/>
      <c r="N360" s="87"/>
      <c r="O360" s="87"/>
      <c r="P360" s="87"/>
      <c r="Q360" s="87"/>
      <c r="R360" s="87"/>
      <c r="S360" s="87"/>
      <c r="T360" s="87"/>
      <c r="U360" s="87"/>
      <c r="V360" s="87"/>
      <c r="W360" s="178"/>
      <c r="X360" s="178"/>
      <c r="Y360" s="122"/>
      <c r="Z360" s="180"/>
      <c r="AA360" s="241"/>
      <c r="AB360" s="241"/>
      <c r="AC360" s="241"/>
      <c r="AD360" s="241"/>
      <c r="AE360" s="181"/>
      <c r="AF360" s="200"/>
      <c r="AG360" s="162"/>
      <c r="AH360" s="99"/>
      <c r="AI360" s="206"/>
      <c r="AJ360" s="207"/>
      <c r="AK360" s="119"/>
      <c r="AL360" s="119"/>
      <c r="AM360" s="221"/>
    </row>
    <row r="361" spans="1:39" s="63" customFormat="1">
      <c r="A361" s="54" t="s">
        <v>458</v>
      </c>
      <c r="B361" s="54" t="s">
        <v>172</v>
      </c>
      <c r="C361" s="96"/>
      <c r="D361" s="239" t="s">
        <v>208</v>
      </c>
      <c r="E361" s="240" t="s">
        <v>11</v>
      </c>
      <c r="F361" s="242" t="s">
        <v>102</v>
      </c>
      <c r="G361" s="242" t="s">
        <v>209</v>
      </c>
      <c r="H361" s="101"/>
      <c r="I361" s="101" t="s">
        <v>172</v>
      </c>
      <c r="J361" s="87"/>
      <c r="K361" s="87"/>
      <c r="L361" s="87"/>
      <c r="M361" s="87"/>
      <c r="N361" s="87"/>
      <c r="O361" s="87"/>
      <c r="P361" s="87"/>
      <c r="Q361" s="87"/>
      <c r="R361" s="87"/>
      <c r="S361" s="87"/>
      <c r="T361" s="87"/>
      <c r="U361" s="87"/>
      <c r="V361" s="87"/>
      <c r="W361" s="178"/>
      <c r="X361" s="178"/>
      <c r="Y361" s="122"/>
      <c r="Z361" s="180"/>
      <c r="AA361" s="241"/>
      <c r="AB361" s="241"/>
      <c r="AC361" s="241"/>
      <c r="AD361" s="241"/>
      <c r="AE361" s="181"/>
      <c r="AF361" s="200"/>
      <c r="AG361" s="162"/>
      <c r="AH361" s="99"/>
      <c r="AI361" s="206"/>
      <c r="AJ361" s="207"/>
      <c r="AK361" s="119"/>
      <c r="AL361" s="119"/>
      <c r="AM361" s="221"/>
    </row>
    <row r="362" spans="1:39" s="63" customFormat="1" ht="28.8">
      <c r="A362" s="54" t="s">
        <v>458</v>
      </c>
      <c r="B362" s="54" t="s">
        <v>172</v>
      </c>
      <c r="C362" s="96"/>
      <c r="D362" s="239" t="s">
        <v>212</v>
      </c>
      <c r="E362" s="155" t="s">
        <v>17</v>
      </c>
      <c r="F362" s="181"/>
      <c r="G362" s="181" t="s">
        <v>213</v>
      </c>
      <c r="H362" s="101"/>
      <c r="I362" s="101" t="s">
        <v>172</v>
      </c>
      <c r="J362" s="87"/>
      <c r="K362" s="87"/>
      <c r="L362" s="87"/>
      <c r="M362" s="87"/>
      <c r="N362" s="87"/>
      <c r="O362" s="87"/>
      <c r="P362" s="87"/>
      <c r="Q362" s="87"/>
      <c r="R362" s="87"/>
      <c r="S362" s="87"/>
      <c r="T362" s="87"/>
      <c r="U362" s="87"/>
      <c r="V362" s="87"/>
      <c r="W362" s="178"/>
      <c r="X362" s="178"/>
      <c r="Y362" s="122"/>
      <c r="Z362" s="180"/>
      <c r="AA362" s="241"/>
      <c r="AB362" s="241"/>
      <c r="AC362" s="241"/>
      <c r="AD362" s="241"/>
      <c r="AE362" s="181"/>
      <c r="AF362" s="200"/>
      <c r="AG362" s="162"/>
      <c r="AH362" s="99"/>
      <c r="AI362" s="206"/>
      <c r="AJ362" s="207"/>
      <c r="AK362" s="119"/>
      <c r="AL362" s="119"/>
      <c r="AM362" s="221"/>
    </row>
    <row r="363" spans="1:39" s="63" customFormat="1">
      <c r="A363" s="54" t="s">
        <v>458</v>
      </c>
      <c r="B363" s="54" t="s">
        <v>172</v>
      </c>
      <c r="C363" s="96"/>
      <c r="D363" s="239" t="s">
        <v>215</v>
      </c>
      <c r="E363" s="155" t="s">
        <v>17</v>
      </c>
      <c r="F363" s="181"/>
      <c r="G363" s="181" t="s">
        <v>216</v>
      </c>
      <c r="H363" s="101"/>
      <c r="I363" s="101" t="s">
        <v>172</v>
      </c>
      <c r="J363" s="87"/>
      <c r="K363" s="87"/>
      <c r="L363" s="87"/>
      <c r="M363" s="87"/>
      <c r="N363" s="87"/>
      <c r="O363" s="87"/>
      <c r="P363" s="87"/>
      <c r="Q363" s="87"/>
      <c r="R363" s="87"/>
      <c r="S363" s="87"/>
      <c r="T363" s="87"/>
      <c r="U363" s="87"/>
      <c r="V363" s="87"/>
      <c r="W363" s="178"/>
      <c r="X363" s="178"/>
      <c r="Y363" s="122"/>
      <c r="Z363" s="180"/>
      <c r="AA363" s="241"/>
      <c r="AB363" s="241"/>
      <c r="AC363" s="241"/>
      <c r="AD363" s="241"/>
      <c r="AE363" s="181"/>
      <c r="AF363" s="200"/>
      <c r="AG363" s="162"/>
      <c r="AH363" s="99"/>
      <c r="AI363" s="206"/>
      <c r="AJ363" s="207"/>
      <c r="AK363" s="119"/>
      <c r="AL363" s="119"/>
      <c r="AM363" s="221"/>
    </row>
    <row r="364" spans="1:39" s="63" customFormat="1">
      <c r="A364" s="54" t="s">
        <v>458</v>
      </c>
      <c r="B364" s="54" t="s">
        <v>172</v>
      </c>
      <c r="C364" s="96"/>
      <c r="D364" s="239" t="s">
        <v>218</v>
      </c>
      <c r="E364" s="155" t="s">
        <v>17</v>
      </c>
      <c r="F364" s="181"/>
      <c r="G364" s="181" t="s">
        <v>219</v>
      </c>
      <c r="H364" s="101"/>
      <c r="I364" s="101" t="s">
        <v>172</v>
      </c>
      <c r="J364" s="87"/>
      <c r="K364" s="87"/>
      <c r="L364" s="87"/>
      <c r="M364" s="87"/>
      <c r="N364" s="87"/>
      <c r="O364" s="87"/>
      <c r="P364" s="87"/>
      <c r="Q364" s="87"/>
      <c r="R364" s="87"/>
      <c r="S364" s="87"/>
      <c r="T364" s="87"/>
      <c r="U364" s="87"/>
      <c r="V364" s="87"/>
      <c r="W364" s="178"/>
      <c r="X364" s="178"/>
      <c r="Y364" s="122"/>
      <c r="Z364" s="180"/>
      <c r="AA364" s="241"/>
      <c r="AB364" s="241"/>
      <c r="AC364" s="241"/>
      <c r="AD364" s="241"/>
      <c r="AE364" s="181"/>
      <c r="AF364" s="200"/>
      <c r="AG364" s="162"/>
      <c r="AH364" s="99"/>
      <c r="AI364" s="206"/>
      <c r="AJ364" s="207"/>
      <c r="AK364" s="119"/>
      <c r="AL364" s="119"/>
      <c r="AM364" s="221"/>
    </row>
    <row r="365" spans="1:39" s="63" customFormat="1">
      <c r="A365" s="54" t="s">
        <v>458</v>
      </c>
      <c r="B365" s="54" t="s">
        <v>172</v>
      </c>
      <c r="C365" s="96"/>
      <c r="D365" s="239" t="s">
        <v>221</v>
      </c>
      <c r="E365" s="155" t="s">
        <v>17</v>
      </c>
      <c r="F365" s="181"/>
      <c r="G365" s="181" t="s">
        <v>222</v>
      </c>
      <c r="H365" s="101"/>
      <c r="I365" s="101" t="s">
        <v>172</v>
      </c>
      <c r="J365" s="87"/>
      <c r="K365" s="87"/>
      <c r="L365" s="87"/>
      <c r="M365" s="87"/>
      <c r="N365" s="87"/>
      <c r="O365" s="87"/>
      <c r="P365" s="87"/>
      <c r="Q365" s="87"/>
      <c r="R365" s="87"/>
      <c r="S365" s="87"/>
      <c r="T365" s="87"/>
      <c r="U365" s="87"/>
      <c r="V365" s="87"/>
      <c r="W365" s="178"/>
      <c r="X365" s="178"/>
      <c r="Y365" s="122"/>
      <c r="Z365" s="180"/>
      <c r="AA365" s="241"/>
      <c r="AB365" s="241"/>
      <c r="AC365" s="241"/>
      <c r="AD365" s="241"/>
      <c r="AE365" s="181"/>
      <c r="AF365" s="200"/>
      <c r="AG365" s="162"/>
      <c r="AH365" s="99"/>
      <c r="AI365" s="206"/>
      <c r="AJ365" s="207"/>
      <c r="AK365" s="119"/>
      <c r="AL365" s="119"/>
      <c r="AM365" s="221"/>
    </row>
    <row r="366" spans="1:39" s="63" customFormat="1" ht="28.8">
      <c r="A366" s="54" t="s">
        <v>458</v>
      </c>
      <c r="B366" s="54" t="s">
        <v>172</v>
      </c>
      <c r="C366" s="96"/>
      <c r="D366" s="239" t="s">
        <v>224</v>
      </c>
      <c r="E366" s="155" t="s">
        <v>17</v>
      </c>
      <c r="F366" s="181"/>
      <c r="G366" s="181" t="s">
        <v>225</v>
      </c>
      <c r="H366" s="101"/>
      <c r="I366" s="101" t="s">
        <v>172</v>
      </c>
      <c r="J366" s="87"/>
      <c r="K366" s="87"/>
      <c r="L366" s="87"/>
      <c r="M366" s="87"/>
      <c r="N366" s="87"/>
      <c r="O366" s="87"/>
      <c r="P366" s="87"/>
      <c r="Q366" s="87"/>
      <c r="R366" s="87"/>
      <c r="S366" s="87"/>
      <c r="T366" s="87"/>
      <c r="U366" s="87"/>
      <c r="V366" s="87"/>
      <c r="W366" s="178"/>
      <c r="X366" s="178"/>
      <c r="Y366" s="122"/>
      <c r="Z366" s="180"/>
      <c r="AA366" s="241"/>
      <c r="AB366" s="241"/>
      <c r="AC366" s="241"/>
      <c r="AD366" s="241"/>
      <c r="AE366" s="181"/>
      <c r="AF366" s="200"/>
      <c r="AG366" s="162"/>
      <c r="AH366" s="99"/>
      <c r="AI366" s="206"/>
      <c r="AJ366" s="207"/>
      <c r="AK366" s="119"/>
      <c r="AL366" s="119"/>
      <c r="AM366" s="221"/>
    </row>
    <row r="367" spans="1:39" s="63" customFormat="1">
      <c r="A367" s="54" t="s">
        <v>458</v>
      </c>
      <c r="B367" s="54" t="s">
        <v>172</v>
      </c>
      <c r="C367" s="96"/>
      <c r="D367" s="239" t="s">
        <v>227</v>
      </c>
      <c r="E367" s="155" t="s">
        <v>17</v>
      </c>
      <c r="F367" s="181"/>
      <c r="G367" s="181" t="s">
        <v>228</v>
      </c>
      <c r="H367" s="101"/>
      <c r="I367" s="101" t="s">
        <v>172</v>
      </c>
      <c r="J367" s="87"/>
      <c r="K367" s="87"/>
      <c r="L367" s="87"/>
      <c r="M367" s="87"/>
      <c r="N367" s="87"/>
      <c r="O367" s="87"/>
      <c r="P367" s="87"/>
      <c r="Q367" s="87"/>
      <c r="R367" s="87"/>
      <c r="S367" s="87"/>
      <c r="T367" s="87"/>
      <c r="U367" s="87"/>
      <c r="V367" s="87"/>
      <c r="W367" s="178"/>
      <c r="X367" s="178"/>
      <c r="Y367" s="122"/>
      <c r="Z367" s="180"/>
      <c r="AA367" s="241"/>
      <c r="AB367" s="241"/>
      <c r="AC367" s="241"/>
      <c r="AD367" s="241"/>
      <c r="AE367" s="181"/>
      <c r="AF367" s="200"/>
      <c r="AG367" s="162"/>
      <c r="AH367" s="99"/>
      <c r="AI367" s="206"/>
      <c r="AJ367" s="207"/>
      <c r="AK367" s="119"/>
      <c r="AL367" s="119"/>
      <c r="AM367" s="221"/>
    </row>
    <row r="368" spans="1:39" s="56" customFormat="1" ht="83.1" customHeight="1">
      <c r="A368" s="54" t="s">
        <v>458</v>
      </c>
      <c r="B368" s="54"/>
      <c r="C368" s="80"/>
      <c r="D368" s="81" t="s">
        <v>1218</v>
      </c>
      <c r="E368" s="82"/>
      <c r="F368" s="83" t="s">
        <v>1219</v>
      </c>
      <c r="G368" s="84" t="s">
        <v>1220</v>
      </c>
      <c r="H368" s="85" t="s">
        <v>41</v>
      </c>
      <c r="I368" s="86"/>
      <c r="J368" s="87"/>
      <c r="K368" s="87"/>
      <c r="L368" s="87"/>
      <c r="M368" s="87"/>
      <c r="N368" s="87"/>
      <c r="O368" s="87"/>
      <c r="P368" s="87"/>
      <c r="Q368" s="87"/>
      <c r="R368" s="87"/>
      <c r="S368" s="87"/>
      <c r="T368" s="87"/>
      <c r="U368" s="87"/>
      <c r="V368" s="87"/>
      <c r="W368" s="88"/>
      <c r="X368" s="88"/>
      <c r="Y368" s="89"/>
      <c r="Z368" s="90"/>
      <c r="AA368" s="91"/>
      <c r="AB368" s="91"/>
      <c r="AC368" s="91"/>
      <c r="AD368" s="91"/>
      <c r="AE368" s="91"/>
      <c r="AF368" s="84"/>
      <c r="AG368" s="92"/>
      <c r="AH368" s="91"/>
      <c r="AI368" s="93"/>
      <c r="AJ368" s="116"/>
      <c r="AK368" s="79"/>
      <c r="AL368" s="79"/>
      <c r="AM368" s="57"/>
    </row>
    <row r="369" spans="1:39" ht="26.1" customHeight="1">
      <c r="A369" s="54" t="s">
        <v>458</v>
      </c>
      <c r="B369" s="54" t="s">
        <v>172</v>
      </c>
      <c r="D369" s="239" t="s">
        <v>1221</v>
      </c>
      <c r="E369" s="239" t="s">
        <v>11</v>
      </c>
      <c r="F369" s="181"/>
      <c r="G369" s="181" t="s">
        <v>231</v>
      </c>
      <c r="H369" s="101"/>
      <c r="I369" s="101" t="s">
        <v>172</v>
      </c>
      <c r="W369" s="178"/>
      <c r="X369" s="178"/>
      <c r="Y369" s="122"/>
      <c r="Z369" s="180"/>
      <c r="AA369" s="181"/>
      <c r="AB369" s="181"/>
      <c r="AC369" s="181"/>
      <c r="AD369" s="181"/>
      <c r="AE369" s="181"/>
      <c r="AF369" s="200"/>
      <c r="AG369" s="162"/>
      <c r="AI369" s="206"/>
      <c r="AJ369" s="210"/>
      <c r="AK369" s="85"/>
      <c r="AL369" s="85"/>
      <c r="AM369" s="54"/>
    </row>
    <row r="370" spans="1:39" s="56" customFormat="1" ht="78.599999999999994" customHeight="1">
      <c r="A370" s="63" t="s">
        <v>458</v>
      </c>
      <c r="B370" s="54"/>
      <c r="C370" s="80"/>
      <c r="D370" s="81" t="s">
        <v>1222</v>
      </c>
      <c r="E370" s="82"/>
      <c r="F370" s="83" t="s">
        <v>1223</v>
      </c>
      <c r="G370" s="84" t="s">
        <v>1224</v>
      </c>
      <c r="H370" s="85" t="s">
        <v>41</v>
      </c>
      <c r="I370" s="86"/>
      <c r="J370" s="87"/>
      <c r="K370" s="87"/>
      <c r="L370" s="87"/>
      <c r="M370" s="87"/>
      <c r="N370" s="87"/>
      <c r="O370" s="87"/>
      <c r="P370" s="87"/>
      <c r="Q370" s="87"/>
      <c r="R370" s="87"/>
      <c r="S370" s="87"/>
      <c r="T370" s="87"/>
      <c r="U370" s="87"/>
      <c r="V370" s="87"/>
      <c r="W370" s="88"/>
      <c r="X370" s="88"/>
      <c r="Y370" s="89"/>
      <c r="Z370" s="90"/>
      <c r="AA370" s="91"/>
      <c r="AB370" s="91"/>
      <c r="AC370" s="91"/>
      <c r="AD370" s="91"/>
      <c r="AE370" s="91"/>
      <c r="AF370" s="84"/>
      <c r="AG370" s="92"/>
      <c r="AH370" s="91"/>
      <c r="AI370" s="93"/>
      <c r="AJ370" s="116"/>
      <c r="AK370" s="79"/>
      <c r="AL370" s="79"/>
      <c r="AM370" s="57"/>
    </row>
    <row r="371" spans="1:39">
      <c r="A371" s="63" t="s">
        <v>458</v>
      </c>
      <c r="B371" s="54" t="s">
        <v>172</v>
      </c>
      <c r="D371" s="239" t="s">
        <v>1225</v>
      </c>
      <c r="E371" s="239"/>
      <c r="F371" s="202"/>
      <c r="G371" s="181" t="s">
        <v>231</v>
      </c>
      <c r="H371" s="101"/>
      <c r="I371" s="101" t="s">
        <v>172</v>
      </c>
      <c r="W371" s="178"/>
      <c r="X371" s="178"/>
      <c r="Y371" s="122"/>
      <c r="Z371" s="180"/>
      <c r="AA371" s="181"/>
      <c r="AB371" s="181"/>
      <c r="AC371" s="181"/>
      <c r="AD371" s="181"/>
      <c r="AE371" s="181"/>
      <c r="AF371" s="200"/>
      <c r="AG371" s="162"/>
      <c r="AI371" s="206"/>
      <c r="AJ371" s="210"/>
      <c r="AK371" s="85"/>
      <c r="AL371" s="85"/>
      <c r="AM371" s="54"/>
    </row>
    <row r="372" spans="1:39" s="56" customFormat="1" ht="109.35" customHeight="1">
      <c r="A372" s="63" t="s">
        <v>458</v>
      </c>
      <c r="B372" s="54"/>
      <c r="C372" s="80"/>
      <c r="D372" s="81" t="s">
        <v>1226</v>
      </c>
      <c r="E372" s="82"/>
      <c r="F372" s="83" t="s">
        <v>1227</v>
      </c>
      <c r="G372" s="84" t="s">
        <v>1228</v>
      </c>
      <c r="H372" s="85" t="s">
        <v>41</v>
      </c>
      <c r="I372" s="86"/>
      <c r="J372" s="87"/>
      <c r="K372" s="87"/>
      <c r="L372" s="87"/>
      <c r="M372" s="87"/>
      <c r="N372" s="87"/>
      <c r="O372" s="87"/>
      <c r="P372" s="87"/>
      <c r="Q372" s="87"/>
      <c r="R372" s="87"/>
      <c r="S372" s="87"/>
      <c r="T372" s="87"/>
      <c r="U372" s="87"/>
      <c r="V372" s="87"/>
      <c r="W372" s="88"/>
      <c r="X372" s="88"/>
      <c r="Y372" s="89"/>
      <c r="Z372" s="90"/>
      <c r="AA372" s="91"/>
      <c r="AB372" s="91"/>
      <c r="AC372" s="91"/>
      <c r="AD372" s="91"/>
      <c r="AE372" s="91"/>
      <c r="AF372" s="84"/>
      <c r="AG372" s="92"/>
      <c r="AH372" s="91"/>
      <c r="AI372" s="93"/>
      <c r="AJ372" s="116"/>
      <c r="AK372" s="79"/>
      <c r="AL372" s="79"/>
      <c r="AM372" s="57"/>
    </row>
    <row r="373" spans="1:39" ht="28.8">
      <c r="A373" s="63" t="s">
        <v>458</v>
      </c>
      <c r="B373" s="54" t="s">
        <v>450</v>
      </c>
      <c r="D373" s="239" t="s">
        <v>1229</v>
      </c>
      <c r="E373" s="239"/>
      <c r="F373" s="181"/>
      <c r="G373" s="181" t="s">
        <v>1230</v>
      </c>
      <c r="H373" s="101"/>
      <c r="I373" s="101" t="s">
        <v>481</v>
      </c>
      <c r="W373" s="178"/>
      <c r="X373" s="178"/>
      <c r="Y373" s="179"/>
      <c r="Z373" s="180"/>
      <c r="AA373" s="181"/>
      <c r="AB373" s="181"/>
      <c r="AC373" s="181"/>
      <c r="AD373" s="181"/>
      <c r="AE373" s="182"/>
      <c r="AF373" s="182"/>
      <c r="AG373" s="162"/>
      <c r="AI373" s="206" t="s">
        <v>465</v>
      </c>
      <c r="AJ373" s="210"/>
      <c r="AK373" s="85"/>
      <c r="AL373" s="85"/>
      <c r="AM373" s="54"/>
    </row>
    <row r="374" spans="1:39" ht="28.8">
      <c r="A374" s="63" t="s">
        <v>458</v>
      </c>
      <c r="B374" s="54" t="s">
        <v>450</v>
      </c>
      <c r="D374" s="239" t="s">
        <v>1231</v>
      </c>
      <c r="E374" s="239"/>
      <c r="F374" s="181"/>
      <c r="G374" s="181" t="s">
        <v>1232</v>
      </c>
      <c r="H374" s="101"/>
      <c r="I374" s="101" t="s">
        <v>481</v>
      </c>
      <c r="W374" s="178"/>
      <c r="X374" s="178"/>
      <c r="Y374" s="179"/>
      <c r="Z374" s="180"/>
      <c r="AA374" s="181"/>
      <c r="AB374" s="181"/>
      <c r="AC374" s="181"/>
      <c r="AD374" s="181"/>
      <c r="AE374" s="182"/>
      <c r="AF374" s="182"/>
      <c r="AG374" s="162"/>
      <c r="AI374" s="206" t="s">
        <v>465</v>
      </c>
      <c r="AJ374" s="207"/>
      <c r="AK374" s="95"/>
      <c r="AL374" s="95"/>
      <c r="AM374" s="54"/>
    </row>
    <row r="375" spans="1:39" s="56" customFormat="1" ht="118.35" customHeight="1">
      <c r="A375" s="63" t="s">
        <v>458</v>
      </c>
      <c r="B375" s="54"/>
      <c r="C375" s="80"/>
      <c r="D375" s="81" t="s">
        <v>1233</v>
      </c>
      <c r="E375" s="82"/>
      <c r="F375" s="83" t="s">
        <v>233</v>
      </c>
      <c r="G375" s="84" t="s">
        <v>1234</v>
      </c>
      <c r="H375" s="85" t="s">
        <v>41</v>
      </c>
      <c r="I375" s="86"/>
      <c r="J375" s="87"/>
      <c r="K375" s="87"/>
      <c r="L375" s="87"/>
      <c r="M375" s="87"/>
      <c r="N375" s="87"/>
      <c r="O375" s="87"/>
      <c r="P375" s="87"/>
      <c r="Q375" s="87"/>
      <c r="R375" s="87"/>
      <c r="S375" s="87"/>
      <c r="T375" s="87"/>
      <c r="U375" s="87"/>
      <c r="V375" s="87"/>
      <c r="W375" s="88"/>
      <c r="X375" s="88"/>
      <c r="Y375" s="89"/>
      <c r="Z375" s="90"/>
      <c r="AA375" s="91"/>
      <c r="AB375" s="91"/>
      <c r="AC375" s="91"/>
      <c r="AD375" s="91"/>
      <c r="AE375" s="91"/>
      <c r="AF375" s="84"/>
      <c r="AG375" s="92"/>
      <c r="AH375" s="91"/>
      <c r="AI375" s="93"/>
      <c r="AJ375" s="116"/>
      <c r="AK375" s="79"/>
      <c r="AL375" s="79"/>
      <c r="AM375" s="57"/>
    </row>
    <row r="376" spans="1:39" ht="28.8">
      <c r="A376" s="54" t="s">
        <v>458</v>
      </c>
      <c r="B376" s="54" t="s">
        <v>781</v>
      </c>
      <c r="D376" s="239" t="s">
        <v>1235</v>
      </c>
      <c r="E376" s="239" t="s">
        <v>11</v>
      </c>
      <c r="F376" s="181"/>
      <c r="G376" s="205" t="s">
        <v>235</v>
      </c>
      <c r="H376" s="101"/>
      <c r="I376" s="101" t="s">
        <v>14</v>
      </c>
      <c r="W376" s="178"/>
      <c r="X376" s="178"/>
      <c r="Y376" s="179"/>
      <c r="Z376" s="180"/>
      <c r="AA376" s="181"/>
      <c r="AB376" s="181"/>
      <c r="AC376" s="181"/>
      <c r="AD376" s="181"/>
      <c r="AE376" s="182"/>
      <c r="AF376" s="182"/>
      <c r="AG376" s="162"/>
      <c r="AI376" s="206"/>
      <c r="AJ376" s="210"/>
      <c r="AK376" s="85"/>
      <c r="AL376" s="85"/>
      <c r="AM376" s="54"/>
    </row>
    <row r="377" spans="1:39" ht="28.8">
      <c r="A377" s="54" t="s">
        <v>458</v>
      </c>
      <c r="B377" s="54" t="s">
        <v>781</v>
      </c>
      <c r="D377" s="239" t="s">
        <v>237</v>
      </c>
      <c r="E377" s="239" t="s">
        <v>11</v>
      </c>
      <c r="F377" s="181"/>
      <c r="G377" s="205" t="s">
        <v>238</v>
      </c>
      <c r="H377" s="101"/>
      <c r="I377" s="101" t="s">
        <v>14</v>
      </c>
      <c r="W377" s="178"/>
      <c r="X377" s="178"/>
      <c r="Y377" s="179"/>
      <c r="Z377" s="180"/>
      <c r="AA377" s="181"/>
      <c r="AB377" s="181"/>
      <c r="AC377" s="181"/>
      <c r="AD377" s="181"/>
      <c r="AE377" s="182"/>
      <c r="AF377" s="182"/>
      <c r="AG377" s="162"/>
      <c r="AI377" s="206"/>
      <c r="AJ377" s="207"/>
      <c r="AK377" s="95"/>
      <c r="AL377" s="95"/>
      <c r="AM377" s="54"/>
    </row>
    <row r="378" spans="1:39" ht="28.8">
      <c r="A378" s="54" t="s">
        <v>458</v>
      </c>
      <c r="B378" s="54" t="s">
        <v>781</v>
      </c>
      <c r="D378" s="239" t="s">
        <v>240</v>
      </c>
      <c r="E378" s="239" t="s">
        <v>11</v>
      </c>
      <c r="F378" s="181"/>
      <c r="G378" s="205" t="s">
        <v>1236</v>
      </c>
      <c r="H378" s="101"/>
      <c r="I378" s="101" t="s">
        <v>14</v>
      </c>
      <c r="W378" s="178"/>
      <c r="X378" s="178"/>
      <c r="Y378" s="179"/>
      <c r="Z378" s="180"/>
      <c r="AA378" s="181"/>
      <c r="AB378" s="181"/>
      <c r="AC378" s="181"/>
      <c r="AD378" s="181"/>
      <c r="AE378" s="182"/>
      <c r="AF378" s="182"/>
      <c r="AG378" s="162"/>
      <c r="AI378" s="206"/>
      <c r="AJ378" s="207"/>
      <c r="AK378" s="95"/>
      <c r="AL378" s="95"/>
      <c r="AM378" s="54"/>
    </row>
    <row r="379" spans="1:39" ht="28.8">
      <c r="A379" s="54" t="s">
        <v>458</v>
      </c>
      <c r="B379" s="54" t="s">
        <v>781</v>
      </c>
      <c r="D379" s="239" t="s">
        <v>243</v>
      </c>
      <c r="E379" s="239" t="s">
        <v>11</v>
      </c>
      <c r="F379" s="181"/>
      <c r="G379" s="205" t="s">
        <v>1237</v>
      </c>
      <c r="H379" s="101"/>
      <c r="I379" s="101" t="s">
        <v>14</v>
      </c>
      <c r="W379" s="178"/>
      <c r="X379" s="178"/>
      <c r="Y379" s="179"/>
      <c r="Z379" s="180"/>
      <c r="AA379" s="181"/>
      <c r="AB379" s="181"/>
      <c r="AC379" s="181"/>
      <c r="AD379" s="181"/>
      <c r="AE379" s="182"/>
      <c r="AF379" s="182"/>
      <c r="AG379" s="162"/>
      <c r="AI379" s="206"/>
      <c r="AJ379" s="207"/>
      <c r="AK379" s="95"/>
      <c r="AL379" s="95"/>
      <c r="AM379" s="54"/>
    </row>
    <row r="380" spans="1:39" s="147" customFormat="1" ht="28.8">
      <c r="A380" s="147" t="s">
        <v>458</v>
      </c>
      <c r="B380" s="147" t="s">
        <v>450</v>
      </c>
      <c r="C380" s="126"/>
      <c r="D380" s="243" t="s">
        <v>245</v>
      </c>
      <c r="E380" s="243" t="s">
        <v>11</v>
      </c>
      <c r="F380" s="196"/>
      <c r="G380" s="196" t="s">
        <v>1238</v>
      </c>
      <c r="H380" s="131"/>
      <c r="I380" s="131" t="s">
        <v>454</v>
      </c>
      <c r="J380" s="132"/>
      <c r="K380" s="132"/>
      <c r="L380" s="132"/>
      <c r="M380" s="132"/>
      <c r="N380" s="132"/>
      <c r="O380" s="132"/>
      <c r="P380" s="132"/>
      <c r="Q380" s="132"/>
      <c r="R380" s="132"/>
      <c r="S380" s="132"/>
      <c r="T380" s="132"/>
      <c r="U380" s="132"/>
      <c r="V380" s="132"/>
      <c r="W380" s="193"/>
      <c r="X380" s="193"/>
      <c r="Y380" s="194"/>
      <c r="Z380" s="195"/>
      <c r="AA380" s="196"/>
      <c r="AB380" s="196"/>
      <c r="AC380" s="196"/>
      <c r="AD380" s="196"/>
      <c r="AE380" s="197"/>
      <c r="AF380" s="197"/>
      <c r="AG380" s="137"/>
      <c r="AH380" s="129"/>
      <c r="AI380" s="244">
        <v>1</v>
      </c>
      <c r="AJ380" s="245"/>
      <c r="AK380" s="125"/>
      <c r="AL380" s="125"/>
    </row>
    <row r="381" spans="1:39" ht="21.6" customHeight="1">
      <c r="A381" s="54" t="s">
        <v>458</v>
      </c>
      <c r="D381" s="239"/>
      <c r="E381" s="239"/>
      <c r="F381" s="205" t="s">
        <v>102</v>
      </c>
      <c r="G381" s="205" t="s">
        <v>1239</v>
      </c>
      <c r="H381" s="101"/>
      <c r="W381" s="178"/>
      <c r="X381" s="178"/>
      <c r="Y381" s="179"/>
      <c r="Z381" s="180"/>
      <c r="AA381" s="181"/>
      <c r="AB381" s="181"/>
      <c r="AC381" s="181"/>
      <c r="AD381" s="181"/>
      <c r="AE381" s="182"/>
      <c r="AF381" s="182"/>
      <c r="AG381" s="162"/>
      <c r="AI381" s="206"/>
      <c r="AJ381" s="207"/>
      <c r="AK381" s="95"/>
      <c r="AL381" s="95"/>
      <c r="AM381" s="54"/>
    </row>
    <row r="382" spans="1:39" s="56" customFormat="1" ht="34.5" customHeight="1">
      <c r="A382" s="54" t="s">
        <v>458</v>
      </c>
      <c r="B382" s="54"/>
      <c r="C382" s="80"/>
      <c r="D382" s="81" t="s">
        <v>1240</v>
      </c>
      <c r="E382" s="82"/>
      <c r="F382" s="83"/>
      <c r="G382" s="84" t="s">
        <v>1241</v>
      </c>
      <c r="H382" s="85" t="s">
        <v>41</v>
      </c>
      <c r="I382" s="86"/>
      <c r="J382" s="87"/>
      <c r="K382" s="87"/>
      <c r="L382" s="87"/>
      <c r="M382" s="87"/>
      <c r="N382" s="87"/>
      <c r="O382" s="87"/>
      <c r="P382" s="87"/>
      <c r="Q382" s="87"/>
      <c r="R382" s="87"/>
      <c r="S382" s="87"/>
      <c r="T382" s="87"/>
      <c r="U382" s="87"/>
      <c r="V382" s="87"/>
      <c r="W382" s="88"/>
      <c r="X382" s="88"/>
      <c r="Y382" s="89"/>
      <c r="Z382" s="188"/>
      <c r="AA382" s="91"/>
      <c r="AB382" s="91"/>
      <c r="AC382" s="91"/>
      <c r="AD382" s="91"/>
      <c r="AE382" s="91"/>
      <c r="AF382" s="84"/>
      <c r="AG382" s="92"/>
      <c r="AH382" s="91"/>
      <c r="AI382" s="93"/>
      <c r="AJ382" s="116"/>
      <c r="AK382" s="79"/>
      <c r="AL382" s="79"/>
      <c r="AM382" s="57"/>
    </row>
    <row r="383" spans="1:39">
      <c r="A383" s="54" t="s">
        <v>458</v>
      </c>
      <c r="B383" s="54" t="s">
        <v>781</v>
      </c>
      <c r="D383" s="239" t="s">
        <v>1242</v>
      </c>
      <c r="E383" s="239" t="s">
        <v>11</v>
      </c>
      <c r="F383" s="202"/>
      <c r="G383" s="99" t="s">
        <v>247</v>
      </c>
      <c r="H383" s="101"/>
      <c r="I383" s="101" t="s">
        <v>14</v>
      </c>
      <c r="W383" s="178"/>
      <c r="X383" s="178"/>
      <c r="Y383" s="182"/>
      <c r="Z383" s="180"/>
      <c r="AA383" s="219"/>
      <c r="AB383" s="101"/>
      <c r="AC383" s="101"/>
      <c r="AD383" s="101"/>
      <c r="AE383" s="101"/>
      <c r="AF383" s="101"/>
      <c r="AG383" s="100"/>
      <c r="AH383" s="100"/>
      <c r="AI383" s="179"/>
      <c r="AJ383" s="210"/>
      <c r="AK383" s="85"/>
      <c r="AL383" s="85"/>
      <c r="AM383" s="54"/>
    </row>
    <row r="384" spans="1:39" s="56" customFormat="1" ht="49.95" customHeight="1">
      <c r="A384" s="54" t="s">
        <v>458</v>
      </c>
      <c r="B384" s="54"/>
      <c r="C384" s="80"/>
      <c r="D384" s="81" t="s">
        <v>1243</v>
      </c>
      <c r="E384" s="82"/>
      <c r="F384" s="83"/>
      <c r="G384" s="84" t="s">
        <v>1244</v>
      </c>
      <c r="H384" s="85" t="s">
        <v>41</v>
      </c>
      <c r="I384" s="86"/>
      <c r="J384" s="87"/>
      <c r="K384" s="87"/>
      <c r="L384" s="87"/>
      <c r="M384" s="87"/>
      <c r="N384" s="87"/>
      <c r="O384" s="87"/>
      <c r="P384" s="87"/>
      <c r="Q384" s="87"/>
      <c r="R384" s="87"/>
      <c r="S384" s="87"/>
      <c r="T384" s="87"/>
      <c r="U384" s="87"/>
      <c r="V384" s="87"/>
      <c r="W384" s="88"/>
      <c r="X384" s="88"/>
      <c r="Y384" s="89"/>
      <c r="Z384" s="188"/>
      <c r="AA384" s="91"/>
      <c r="AB384" s="91"/>
      <c r="AC384" s="91"/>
      <c r="AD384" s="91"/>
      <c r="AE384" s="91"/>
      <c r="AF384" s="84"/>
      <c r="AG384" s="92"/>
      <c r="AH384" s="91"/>
      <c r="AI384" s="93"/>
      <c r="AJ384" s="116"/>
      <c r="AK384" s="79"/>
      <c r="AL384" s="79"/>
      <c r="AM384" s="57"/>
    </row>
    <row r="385" spans="1:39">
      <c r="A385" s="54" t="s">
        <v>458</v>
      </c>
      <c r="B385" s="54" t="s">
        <v>781</v>
      </c>
      <c r="D385" s="239" t="s">
        <v>1245</v>
      </c>
      <c r="E385" s="239" t="s">
        <v>11</v>
      </c>
      <c r="F385" s="98"/>
      <c r="G385" s="181" t="s">
        <v>251</v>
      </c>
      <c r="H385" s="101"/>
      <c r="I385" s="101" t="s">
        <v>14</v>
      </c>
      <c r="W385" s="178"/>
      <c r="X385" s="178"/>
      <c r="Y385" s="179"/>
      <c r="Z385" s="180"/>
      <c r="AA385" s="181"/>
      <c r="AB385" s="181"/>
      <c r="AC385" s="181"/>
      <c r="AD385" s="181"/>
      <c r="AE385" s="182"/>
      <c r="AF385" s="182"/>
      <c r="AG385" s="162"/>
      <c r="AI385" s="206"/>
      <c r="AJ385" s="210"/>
      <c r="AK385" s="85"/>
      <c r="AL385" s="85"/>
    </row>
    <row r="386" spans="1:39">
      <c r="A386" s="54" t="s">
        <v>458</v>
      </c>
      <c r="B386" s="54" t="s">
        <v>781</v>
      </c>
      <c r="D386" s="239" t="s">
        <v>253</v>
      </c>
      <c r="E386" s="239" t="s">
        <v>11</v>
      </c>
      <c r="F386" s="98"/>
      <c r="G386" s="181" t="s">
        <v>254</v>
      </c>
      <c r="H386" s="101"/>
      <c r="I386" s="101" t="s">
        <v>14</v>
      </c>
      <c r="W386" s="178"/>
      <c r="X386" s="178"/>
      <c r="Y386" s="179"/>
      <c r="Z386" s="180"/>
      <c r="AA386" s="181"/>
      <c r="AB386" s="181"/>
      <c r="AC386" s="181"/>
      <c r="AD386" s="181"/>
      <c r="AE386" s="182"/>
      <c r="AF386" s="182"/>
      <c r="AG386" s="162"/>
      <c r="AI386" s="206"/>
      <c r="AJ386" s="207"/>
      <c r="AK386" s="95"/>
      <c r="AL386" s="95"/>
    </row>
    <row r="387" spans="1:39">
      <c r="A387" s="54" t="s">
        <v>458</v>
      </c>
      <c r="B387" s="54" t="s">
        <v>781</v>
      </c>
      <c r="D387" s="239" t="s">
        <v>256</v>
      </c>
      <c r="E387" s="239" t="s">
        <v>11</v>
      </c>
      <c r="F387" s="98"/>
      <c r="G387" s="181" t="s">
        <v>1246</v>
      </c>
      <c r="H387" s="101"/>
      <c r="I387" s="101" t="s">
        <v>14</v>
      </c>
      <c r="W387" s="178"/>
      <c r="X387" s="178"/>
      <c r="Y387" s="179"/>
      <c r="Z387" s="180"/>
      <c r="AA387" s="181"/>
      <c r="AB387" s="181"/>
      <c r="AC387" s="181"/>
      <c r="AD387" s="181"/>
      <c r="AE387" s="182"/>
      <c r="AF387" s="182"/>
      <c r="AG387" s="162"/>
      <c r="AI387" s="206"/>
      <c r="AJ387" s="207"/>
      <c r="AK387" s="95"/>
      <c r="AL387" s="95"/>
    </row>
    <row r="388" spans="1:39" s="56" customFormat="1" ht="34.5" customHeight="1">
      <c r="A388" s="54" t="s">
        <v>458</v>
      </c>
      <c r="B388" s="54"/>
      <c r="C388" s="80"/>
      <c r="D388" s="81" t="s">
        <v>1247</v>
      </c>
      <c r="E388" s="82"/>
      <c r="F388" s="83"/>
      <c r="G388" s="84" t="s">
        <v>1248</v>
      </c>
      <c r="H388" s="85" t="s">
        <v>41</v>
      </c>
      <c r="I388" s="86"/>
      <c r="J388" s="87"/>
      <c r="K388" s="87"/>
      <c r="L388" s="87"/>
      <c r="M388" s="87"/>
      <c r="N388" s="87"/>
      <c r="O388" s="87"/>
      <c r="P388" s="87"/>
      <c r="Q388" s="87"/>
      <c r="R388" s="87"/>
      <c r="S388" s="87"/>
      <c r="T388" s="87"/>
      <c r="U388" s="87"/>
      <c r="V388" s="87"/>
      <c r="W388" s="88"/>
      <c r="X388" s="88"/>
      <c r="Y388" s="89"/>
      <c r="Z388" s="188"/>
      <c r="AA388" s="91"/>
      <c r="AB388" s="91"/>
      <c r="AC388" s="91"/>
      <c r="AD388" s="91"/>
      <c r="AE388" s="91"/>
      <c r="AF388" s="84"/>
      <c r="AG388" s="92"/>
      <c r="AH388" s="91"/>
      <c r="AI388" s="93"/>
      <c r="AJ388" s="116"/>
      <c r="AK388" s="79"/>
      <c r="AL388" s="79"/>
      <c r="AM388" s="57"/>
    </row>
    <row r="389" spans="1:39">
      <c r="A389" s="54" t="s">
        <v>458</v>
      </c>
      <c r="B389" s="54" t="s">
        <v>781</v>
      </c>
      <c r="D389" s="239" t="s">
        <v>1249</v>
      </c>
      <c r="E389" s="239" t="s">
        <v>11</v>
      </c>
      <c r="F389" s="202"/>
      <c r="G389" s="181" t="s">
        <v>1250</v>
      </c>
      <c r="H389" s="101"/>
      <c r="I389" s="101" t="s">
        <v>14</v>
      </c>
      <c r="W389" s="178"/>
      <c r="X389" s="178"/>
      <c r="Y389" s="179"/>
      <c r="Z389" s="180"/>
      <c r="AA389" s="181"/>
      <c r="AB389" s="181"/>
      <c r="AC389" s="181"/>
      <c r="AD389" s="181"/>
      <c r="AE389" s="182"/>
      <c r="AF389" s="182"/>
      <c r="AG389" s="162"/>
      <c r="AI389" s="206"/>
      <c r="AJ389" s="210"/>
      <c r="AK389" s="85"/>
      <c r="AL389" s="85"/>
      <c r="AM389" s="54"/>
    </row>
    <row r="390" spans="1:39" s="56" customFormat="1" ht="50.7" customHeight="1">
      <c r="A390" s="54" t="s">
        <v>458</v>
      </c>
      <c r="B390" s="54"/>
      <c r="C390" s="80"/>
      <c r="D390" s="81" t="s">
        <v>1251</v>
      </c>
      <c r="E390" s="82"/>
      <c r="F390" s="83"/>
      <c r="G390" s="84" t="s">
        <v>1252</v>
      </c>
      <c r="H390" s="85" t="s">
        <v>41</v>
      </c>
      <c r="I390" s="86"/>
      <c r="J390" s="87"/>
      <c r="K390" s="87"/>
      <c r="L390" s="87"/>
      <c r="M390" s="87"/>
      <c r="N390" s="87"/>
      <c r="O390" s="87"/>
      <c r="P390" s="87"/>
      <c r="Q390" s="87"/>
      <c r="R390" s="87"/>
      <c r="S390" s="87"/>
      <c r="T390" s="87"/>
      <c r="U390" s="87"/>
      <c r="V390" s="87"/>
      <c r="W390" s="88"/>
      <c r="X390" s="88"/>
      <c r="Y390" s="89"/>
      <c r="Z390" s="90"/>
      <c r="AA390" s="91"/>
      <c r="AB390" s="91"/>
      <c r="AC390" s="91"/>
      <c r="AD390" s="91"/>
      <c r="AE390" s="91"/>
      <c r="AF390" s="84"/>
      <c r="AG390" s="92"/>
      <c r="AH390" s="91"/>
      <c r="AI390" s="93"/>
      <c r="AJ390" s="116"/>
      <c r="AK390" s="79"/>
      <c r="AL390" s="79"/>
      <c r="AM390" s="57"/>
    </row>
    <row r="391" spans="1:39" ht="48" customHeight="1">
      <c r="A391" s="54" t="s">
        <v>458</v>
      </c>
      <c r="B391" s="54" t="s">
        <v>781</v>
      </c>
      <c r="D391" s="239" t="s">
        <v>1253</v>
      </c>
      <c r="E391" s="239" t="s">
        <v>11</v>
      </c>
      <c r="F391" s="99"/>
      <c r="G391" s="181" t="s">
        <v>262</v>
      </c>
      <c r="H391" s="101"/>
      <c r="I391" s="101" t="s">
        <v>481</v>
      </c>
      <c r="W391" s="178"/>
      <c r="X391" s="178"/>
      <c r="Y391" s="122"/>
      <c r="Z391" s="180"/>
      <c r="AA391" s="181"/>
      <c r="AB391" s="181"/>
      <c r="AC391" s="181"/>
      <c r="AD391" s="181"/>
      <c r="AE391" s="181"/>
      <c r="AF391" s="200"/>
      <c r="AG391" s="162"/>
      <c r="AI391" s="206" t="s">
        <v>465</v>
      </c>
      <c r="AJ391" s="210"/>
      <c r="AK391" s="85"/>
      <c r="AL391" s="85"/>
    </row>
    <row r="392" spans="1:39" ht="48" customHeight="1">
      <c r="A392" s="54" t="s">
        <v>458</v>
      </c>
      <c r="B392" s="54" t="s">
        <v>781</v>
      </c>
      <c r="D392" s="239" t="s">
        <v>263</v>
      </c>
      <c r="E392" s="239" t="s">
        <v>11</v>
      </c>
      <c r="F392" s="99"/>
      <c r="G392" s="181" t="s">
        <v>1254</v>
      </c>
      <c r="H392" s="101"/>
      <c r="I392" s="101" t="s">
        <v>14</v>
      </c>
      <c r="W392" s="178"/>
      <c r="X392" s="178"/>
      <c r="Y392" s="122"/>
      <c r="Z392" s="180"/>
      <c r="AA392" s="181"/>
      <c r="AB392" s="181"/>
      <c r="AC392" s="181"/>
      <c r="AD392" s="181"/>
      <c r="AE392" s="181"/>
      <c r="AF392" s="200"/>
      <c r="AG392" s="162"/>
      <c r="AI392" s="206"/>
      <c r="AJ392" s="207"/>
      <c r="AK392" s="95"/>
      <c r="AL392" s="95"/>
    </row>
    <row r="393" spans="1:39" ht="48" customHeight="1">
      <c r="A393" s="54" t="s">
        <v>621</v>
      </c>
      <c r="D393" s="239" t="s">
        <v>1255</v>
      </c>
      <c r="E393" s="239"/>
      <c r="F393" s="175" t="s">
        <v>102</v>
      </c>
      <c r="G393" s="242" t="s">
        <v>1256</v>
      </c>
      <c r="H393" s="101"/>
      <c r="W393" s="178"/>
      <c r="X393" s="178"/>
      <c r="Y393" s="122"/>
      <c r="Z393" s="180"/>
      <c r="AA393" s="181"/>
      <c r="AB393" s="181"/>
      <c r="AC393" s="181"/>
      <c r="AD393" s="181"/>
      <c r="AE393" s="181"/>
      <c r="AF393" s="200"/>
      <c r="AG393" s="162"/>
      <c r="AI393" s="206"/>
      <c r="AJ393" s="207"/>
      <c r="AK393" s="95"/>
      <c r="AL393" s="95"/>
    </row>
    <row r="394" spans="1:39" s="56" customFormat="1" ht="66.599999999999994" customHeight="1">
      <c r="A394" s="54" t="s">
        <v>458</v>
      </c>
      <c r="B394" s="54"/>
      <c r="C394" s="80"/>
      <c r="D394" s="81" t="s">
        <v>1257</v>
      </c>
      <c r="E394" s="82"/>
      <c r="F394" s="83"/>
      <c r="G394" s="84" t="s">
        <v>1258</v>
      </c>
      <c r="H394" s="85" t="s">
        <v>41</v>
      </c>
      <c r="I394" s="86"/>
      <c r="J394" s="87"/>
      <c r="K394" s="87"/>
      <c r="L394" s="87"/>
      <c r="M394" s="87"/>
      <c r="N394" s="87"/>
      <c r="O394" s="87"/>
      <c r="P394" s="87"/>
      <c r="Q394" s="87"/>
      <c r="R394" s="87"/>
      <c r="S394" s="87"/>
      <c r="T394" s="87"/>
      <c r="U394" s="87"/>
      <c r="V394" s="87"/>
      <c r="W394" s="88"/>
      <c r="X394" s="88"/>
      <c r="Y394" s="89"/>
      <c r="Z394" s="188"/>
      <c r="AA394" s="91"/>
      <c r="AB394" s="91"/>
      <c r="AC394" s="91"/>
      <c r="AD394" s="91"/>
      <c r="AE394" s="91"/>
      <c r="AF394" s="84"/>
      <c r="AG394" s="92"/>
      <c r="AH394" s="91"/>
      <c r="AI394" s="93"/>
      <c r="AJ394" s="116"/>
      <c r="AK394" s="79"/>
      <c r="AL394" s="79"/>
      <c r="AM394" s="57"/>
    </row>
    <row r="395" spans="1:39" ht="28.8">
      <c r="A395" s="54" t="s">
        <v>458</v>
      </c>
      <c r="B395" s="54" t="s">
        <v>781</v>
      </c>
      <c r="C395" s="155"/>
      <c r="D395" s="239" t="s">
        <v>1259</v>
      </c>
      <c r="E395" s="239" t="s">
        <v>11</v>
      </c>
      <c r="F395" s="181"/>
      <c r="G395" s="246" t="s">
        <v>267</v>
      </c>
      <c r="H395" s="101"/>
      <c r="I395" s="101" t="s">
        <v>14</v>
      </c>
      <c r="W395" s="215"/>
      <c r="X395" s="215"/>
      <c r="Y395" s="216"/>
      <c r="Z395" s="180"/>
      <c r="AA395" s="205"/>
      <c r="AB395" s="205"/>
      <c r="AC395" s="205"/>
      <c r="AD395" s="205"/>
      <c r="AE395" s="217"/>
      <c r="AF395" s="232"/>
      <c r="AG395" s="162"/>
      <c r="AH395" s="109"/>
      <c r="AI395" s="218"/>
      <c r="AJ395" s="210"/>
      <c r="AK395" s="85"/>
      <c r="AL395" s="85"/>
    </row>
    <row r="396" spans="1:39" ht="28.8">
      <c r="A396" s="54" t="s">
        <v>458</v>
      </c>
      <c r="B396" s="54" t="s">
        <v>781</v>
      </c>
      <c r="C396" s="155"/>
      <c r="D396" s="239" t="s">
        <v>269</v>
      </c>
      <c r="E396" s="239" t="s">
        <v>11</v>
      </c>
      <c r="F396" s="181"/>
      <c r="G396" s="246" t="s">
        <v>270</v>
      </c>
      <c r="H396" s="101"/>
      <c r="I396" s="101" t="s">
        <v>14</v>
      </c>
      <c r="W396" s="215"/>
      <c r="X396" s="215"/>
      <c r="Y396" s="216"/>
      <c r="Z396" s="180"/>
      <c r="AA396" s="205"/>
      <c r="AB396" s="205"/>
      <c r="AC396" s="205"/>
      <c r="AD396" s="205"/>
      <c r="AE396" s="217"/>
      <c r="AF396" s="232"/>
      <c r="AG396" s="162"/>
      <c r="AH396" s="109"/>
      <c r="AI396" s="218"/>
      <c r="AJ396" s="210"/>
      <c r="AK396" s="85"/>
      <c r="AL396" s="85"/>
    </row>
    <row r="397" spans="1:39" ht="28.8">
      <c r="A397" s="54" t="s">
        <v>458</v>
      </c>
      <c r="B397" s="54" t="s">
        <v>781</v>
      </c>
      <c r="C397" s="155"/>
      <c r="D397" s="239" t="s">
        <v>272</v>
      </c>
      <c r="E397" s="239" t="s">
        <v>11</v>
      </c>
      <c r="F397" s="181"/>
      <c r="G397" s="246" t="s">
        <v>273</v>
      </c>
      <c r="H397" s="101"/>
      <c r="I397" s="101" t="s">
        <v>14</v>
      </c>
      <c r="W397" s="215"/>
      <c r="X397" s="215"/>
      <c r="Y397" s="216"/>
      <c r="Z397" s="180"/>
      <c r="AA397" s="205"/>
      <c r="AB397" s="205"/>
      <c r="AC397" s="205"/>
      <c r="AD397" s="205"/>
      <c r="AE397" s="217"/>
      <c r="AF397" s="232"/>
      <c r="AG397" s="162"/>
      <c r="AH397" s="109"/>
      <c r="AI397" s="218"/>
      <c r="AJ397" s="210"/>
      <c r="AK397" s="85"/>
      <c r="AL397" s="85"/>
    </row>
    <row r="398" spans="1:39" ht="28.8">
      <c r="A398" s="54" t="s">
        <v>458</v>
      </c>
      <c r="C398" s="80"/>
      <c r="D398" s="234" t="s">
        <v>1260</v>
      </c>
      <c r="E398" s="82"/>
      <c r="F398" s="204"/>
      <c r="G398" s="84" t="s">
        <v>1261</v>
      </c>
      <c r="H398" s="85" t="s">
        <v>41</v>
      </c>
      <c r="I398" s="86"/>
      <c r="W398" s="186"/>
      <c r="X398" s="186"/>
      <c r="Y398" s="187"/>
      <c r="Z398" s="188"/>
      <c r="AA398" s="189"/>
      <c r="AB398" s="189"/>
      <c r="AC398" s="189"/>
      <c r="AD398" s="189"/>
      <c r="AE398" s="189"/>
      <c r="AF398" s="190"/>
      <c r="AG398" s="92"/>
      <c r="AH398" s="91"/>
      <c r="AI398" s="209"/>
      <c r="AJ398" s="219"/>
      <c r="AK398" s="108"/>
      <c r="AL398" s="108"/>
    </row>
    <row r="399" spans="1:39" s="56" customFormat="1" ht="34.5" customHeight="1">
      <c r="A399" s="54" t="s">
        <v>458</v>
      </c>
      <c r="B399" s="54" t="s">
        <v>781</v>
      </c>
      <c r="C399" s="96"/>
      <c r="D399" s="247" t="s">
        <v>1262</v>
      </c>
      <c r="E399" s="239" t="s">
        <v>11</v>
      </c>
      <c r="F399" s="98"/>
      <c r="G399" s="99" t="s">
        <v>276</v>
      </c>
      <c r="H399" s="100"/>
      <c r="I399" s="101" t="s">
        <v>14</v>
      </c>
      <c r="J399" s="87"/>
      <c r="K399" s="87"/>
      <c r="L399" s="87"/>
      <c r="M399" s="87"/>
      <c r="N399" s="87"/>
      <c r="O399" s="87"/>
      <c r="P399" s="87"/>
      <c r="Q399" s="87"/>
      <c r="R399" s="87"/>
      <c r="S399" s="87"/>
      <c r="T399" s="87"/>
      <c r="U399" s="87"/>
      <c r="V399" s="87"/>
      <c r="W399" s="102"/>
      <c r="X399" s="102"/>
      <c r="Y399" s="96"/>
      <c r="Z399" s="104"/>
      <c r="AA399" s="99"/>
      <c r="AB399" s="99"/>
      <c r="AC399" s="99"/>
      <c r="AD399" s="99"/>
      <c r="AE399" s="99"/>
      <c r="AF399" s="201"/>
      <c r="AG399" s="162"/>
      <c r="AH399" s="99"/>
      <c r="AI399" s="112"/>
      <c r="AJ399" s="94"/>
      <c r="AK399" s="119"/>
      <c r="AL399" s="119"/>
      <c r="AM399" s="57"/>
    </row>
    <row r="400" spans="1:39" ht="28.8">
      <c r="A400" s="54" t="s">
        <v>458</v>
      </c>
      <c r="C400" s="80"/>
      <c r="D400" s="234" t="s">
        <v>1263</v>
      </c>
      <c r="E400" s="203"/>
      <c r="F400" s="204"/>
      <c r="G400" s="84" t="s">
        <v>1264</v>
      </c>
      <c r="H400" s="85" t="s">
        <v>41</v>
      </c>
      <c r="I400" s="86"/>
      <c r="W400" s="186"/>
      <c r="X400" s="186"/>
      <c r="Y400" s="187"/>
      <c r="Z400" s="188"/>
      <c r="AA400" s="189"/>
      <c r="AB400" s="189"/>
      <c r="AC400" s="189"/>
      <c r="AD400" s="189"/>
      <c r="AE400" s="189"/>
      <c r="AF400" s="190"/>
      <c r="AG400" s="92"/>
      <c r="AH400" s="91"/>
      <c r="AI400" s="209"/>
      <c r="AJ400" s="219"/>
      <c r="AK400" s="108"/>
      <c r="AL400" s="108"/>
    </row>
    <row r="401" spans="1:39" s="56" customFormat="1" ht="34.5" customHeight="1">
      <c r="A401" s="54" t="s">
        <v>458</v>
      </c>
      <c r="B401" s="54" t="s">
        <v>781</v>
      </c>
      <c r="C401" s="155"/>
      <c r="D401" s="247" t="s">
        <v>1265</v>
      </c>
      <c r="E401" s="239" t="s">
        <v>11</v>
      </c>
      <c r="F401" s="99"/>
      <c r="G401" s="99" t="s">
        <v>279</v>
      </c>
      <c r="H401" s="100"/>
      <c r="I401" s="101" t="s">
        <v>14</v>
      </c>
      <c r="J401" s="87"/>
      <c r="K401" s="87"/>
      <c r="L401" s="87"/>
      <c r="M401" s="87"/>
      <c r="N401" s="87"/>
      <c r="O401" s="87"/>
      <c r="P401" s="87"/>
      <c r="Q401" s="87"/>
      <c r="R401" s="87"/>
      <c r="S401" s="87"/>
      <c r="T401" s="87"/>
      <c r="U401" s="87"/>
      <c r="V401" s="87"/>
      <c r="W401" s="102"/>
      <c r="X401" s="102"/>
      <c r="Y401" s="96"/>
      <c r="Z401" s="104"/>
      <c r="AA401" s="99"/>
      <c r="AB401" s="99"/>
      <c r="AC401" s="99"/>
      <c r="AD401" s="99"/>
      <c r="AE401" s="99"/>
      <c r="AF401" s="99"/>
      <c r="AG401" s="162"/>
      <c r="AH401" s="99"/>
      <c r="AI401" s="112"/>
      <c r="AJ401" s="94"/>
      <c r="AK401" s="95"/>
      <c r="AL401" s="95"/>
      <c r="AM401" s="57"/>
    </row>
    <row r="402" spans="1:39" ht="28.8">
      <c r="A402" s="54" t="s">
        <v>458</v>
      </c>
      <c r="C402" s="80"/>
      <c r="D402" s="234" t="s">
        <v>1266</v>
      </c>
      <c r="E402" s="82"/>
      <c r="F402" s="204"/>
      <c r="G402" s="84" t="s">
        <v>1267</v>
      </c>
      <c r="H402" s="85" t="s">
        <v>41</v>
      </c>
      <c r="I402" s="86"/>
      <c r="W402" s="186"/>
      <c r="X402" s="186"/>
      <c r="Y402" s="187"/>
      <c r="Z402" s="188"/>
      <c r="AA402" s="189"/>
      <c r="AB402" s="189"/>
      <c r="AC402" s="189"/>
      <c r="AD402" s="189"/>
      <c r="AE402" s="189"/>
      <c r="AF402" s="190"/>
      <c r="AG402" s="92"/>
      <c r="AH402" s="91"/>
      <c r="AI402" s="209"/>
      <c r="AJ402" s="219"/>
      <c r="AK402" s="108"/>
      <c r="AL402" s="108"/>
      <c r="AM402" s="54"/>
    </row>
    <row r="403" spans="1:39" s="56" customFormat="1" ht="34.5" customHeight="1">
      <c r="A403" s="54" t="s">
        <v>458</v>
      </c>
      <c r="B403" s="54" t="s">
        <v>450</v>
      </c>
      <c r="C403" s="96"/>
      <c r="D403" s="247" t="s">
        <v>1268</v>
      </c>
      <c r="E403" s="239" t="s">
        <v>11</v>
      </c>
      <c r="F403" s="98"/>
      <c r="G403" s="222" t="s">
        <v>1269</v>
      </c>
      <c r="H403" s="100"/>
      <c r="I403" s="101" t="s">
        <v>481</v>
      </c>
      <c r="J403" s="87"/>
      <c r="K403" s="87"/>
      <c r="L403" s="87"/>
      <c r="M403" s="87"/>
      <c r="N403" s="87"/>
      <c r="O403" s="87"/>
      <c r="P403" s="87"/>
      <c r="Q403" s="87"/>
      <c r="R403" s="87"/>
      <c r="S403" s="87"/>
      <c r="T403" s="87"/>
      <c r="U403" s="87"/>
      <c r="V403" s="87"/>
      <c r="W403" s="102"/>
      <c r="X403" s="102"/>
      <c r="Y403" s="96"/>
      <c r="Z403" s="104"/>
      <c r="AA403" s="99"/>
      <c r="AB403" s="99"/>
      <c r="AC403" s="99"/>
      <c r="AD403" s="99"/>
      <c r="AE403" s="99"/>
      <c r="AF403" s="201"/>
      <c r="AG403" s="162"/>
      <c r="AH403" s="99"/>
      <c r="AI403" s="112" t="s">
        <v>465</v>
      </c>
      <c r="AJ403" s="94"/>
      <c r="AK403" s="95"/>
      <c r="AL403" s="95"/>
      <c r="AM403" s="57"/>
    </row>
    <row r="404" spans="1:39" s="56" customFormat="1" ht="34.5" customHeight="1">
      <c r="A404" s="54" t="s">
        <v>458</v>
      </c>
      <c r="B404" s="54"/>
      <c r="C404" s="96"/>
      <c r="D404" s="247" t="s">
        <v>1270</v>
      </c>
      <c r="E404" s="247"/>
      <c r="F404" s="98" t="s">
        <v>102</v>
      </c>
      <c r="G404" s="246" t="s">
        <v>1271</v>
      </c>
      <c r="H404" s="100"/>
      <c r="I404" s="101"/>
      <c r="J404" s="87"/>
      <c r="K404" s="87"/>
      <c r="L404" s="87"/>
      <c r="M404" s="87"/>
      <c r="N404" s="87"/>
      <c r="O404" s="87"/>
      <c r="P404" s="87"/>
      <c r="Q404" s="87"/>
      <c r="R404" s="87"/>
      <c r="S404" s="87"/>
      <c r="T404" s="87"/>
      <c r="U404" s="87"/>
      <c r="V404" s="87"/>
      <c r="W404" s="102"/>
      <c r="X404" s="102"/>
      <c r="Y404" s="96"/>
      <c r="Z404" s="104"/>
      <c r="AA404" s="99"/>
      <c r="AB404" s="99"/>
      <c r="AC404" s="99"/>
      <c r="AD404" s="99"/>
      <c r="AE404" s="99"/>
      <c r="AF404" s="201"/>
      <c r="AG404" s="162"/>
      <c r="AH404" s="99"/>
      <c r="AI404" s="112"/>
      <c r="AJ404" s="94"/>
      <c r="AK404" s="95"/>
      <c r="AL404" s="95"/>
      <c r="AM404" s="57"/>
    </row>
    <row r="405" spans="1:39" s="56" customFormat="1" ht="94.35" customHeight="1">
      <c r="A405" s="54" t="s">
        <v>458</v>
      </c>
      <c r="B405" s="54"/>
      <c r="C405" s="80"/>
      <c r="D405" s="81" t="s">
        <v>1272</v>
      </c>
      <c r="E405" s="82"/>
      <c r="F405" s="83"/>
      <c r="G405" s="84" t="s">
        <v>1273</v>
      </c>
      <c r="H405" s="85" t="s">
        <v>41</v>
      </c>
      <c r="I405" s="86"/>
      <c r="J405" s="87"/>
      <c r="K405" s="87"/>
      <c r="L405" s="87"/>
      <c r="M405" s="87"/>
      <c r="N405" s="87"/>
      <c r="O405" s="87"/>
      <c r="P405" s="87"/>
      <c r="Q405" s="87"/>
      <c r="R405" s="87"/>
      <c r="S405" s="87"/>
      <c r="T405" s="87"/>
      <c r="U405" s="87"/>
      <c r="V405" s="87"/>
      <c r="W405" s="88"/>
      <c r="X405" s="88"/>
      <c r="Y405" s="89"/>
      <c r="Z405" s="90"/>
      <c r="AA405" s="91"/>
      <c r="AB405" s="91"/>
      <c r="AC405" s="91"/>
      <c r="AD405" s="91"/>
      <c r="AE405" s="91"/>
      <c r="AF405" s="84"/>
      <c r="AG405" s="92"/>
      <c r="AH405" s="91"/>
      <c r="AI405" s="93"/>
      <c r="AJ405" s="116"/>
      <c r="AK405" s="79"/>
      <c r="AL405" s="79"/>
      <c r="AM405" s="57"/>
    </row>
    <row r="406" spans="1:39" ht="28.8">
      <c r="A406" s="54" t="s">
        <v>458</v>
      </c>
      <c r="B406" s="54" t="s">
        <v>781</v>
      </c>
      <c r="D406" s="239" t="s">
        <v>1274</v>
      </c>
      <c r="E406" s="239" t="s">
        <v>11</v>
      </c>
      <c r="F406" s="181"/>
      <c r="G406" s="248" t="s">
        <v>282</v>
      </c>
      <c r="H406" s="101"/>
      <c r="I406" s="101" t="s">
        <v>14</v>
      </c>
      <c r="W406" s="178"/>
      <c r="X406" s="178"/>
      <c r="Y406" s="122"/>
      <c r="Z406" s="180"/>
      <c r="AA406" s="181"/>
      <c r="AB406" s="181"/>
      <c r="AC406" s="181"/>
      <c r="AD406" s="181"/>
      <c r="AE406" s="181"/>
      <c r="AF406" s="200"/>
      <c r="AG406" s="162"/>
      <c r="AI406" s="206"/>
      <c r="AJ406" s="210"/>
      <c r="AK406" s="85"/>
      <c r="AL406" s="85"/>
      <c r="AM406" s="54"/>
    </row>
    <row r="407" spans="1:39">
      <c r="A407" s="54" t="s">
        <v>458</v>
      </c>
      <c r="B407" s="54" t="s">
        <v>781</v>
      </c>
      <c r="D407" s="239" t="s">
        <v>284</v>
      </c>
      <c r="E407" s="239" t="s">
        <v>11</v>
      </c>
      <c r="F407" s="181"/>
      <c r="G407" s="248" t="s">
        <v>1275</v>
      </c>
      <c r="H407" s="101"/>
      <c r="I407" s="101" t="s">
        <v>14</v>
      </c>
      <c r="W407" s="178"/>
      <c r="X407" s="178"/>
      <c r="Y407" s="122"/>
      <c r="Z407" s="180"/>
      <c r="AA407" s="181"/>
      <c r="AB407" s="181"/>
      <c r="AC407" s="181"/>
      <c r="AD407" s="181"/>
      <c r="AE407" s="181"/>
      <c r="AF407" s="200"/>
      <c r="AG407" s="162"/>
      <c r="AI407" s="206"/>
      <c r="AJ407" s="207"/>
      <c r="AK407" s="95"/>
      <c r="AL407" s="95"/>
      <c r="AM407" s="54"/>
    </row>
    <row r="408" spans="1:39">
      <c r="A408" s="54" t="s">
        <v>458</v>
      </c>
      <c r="D408" s="239" t="s">
        <v>1276</v>
      </c>
      <c r="E408" s="239"/>
      <c r="F408" s="205" t="s">
        <v>102</v>
      </c>
      <c r="G408" s="249" t="s">
        <v>1277</v>
      </c>
      <c r="H408" s="101"/>
      <c r="W408" s="178"/>
      <c r="X408" s="178"/>
      <c r="Y408" s="122"/>
      <c r="Z408" s="180"/>
      <c r="AA408" s="181"/>
      <c r="AB408" s="181"/>
      <c r="AC408" s="181"/>
      <c r="AD408" s="181"/>
      <c r="AE408" s="181"/>
      <c r="AF408" s="200"/>
      <c r="AG408" s="162"/>
      <c r="AI408" s="206"/>
      <c r="AJ408" s="207"/>
      <c r="AK408" s="95"/>
      <c r="AL408" s="95"/>
      <c r="AM408" s="54"/>
    </row>
    <row r="409" spans="1:39">
      <c r="A409" s="54" t="s">
        <v>458</v>
      </c>
      <c r="D409" s="239" t="s">
        <v>1278</v>
      </c>
      <c r="E409" s="239"/>
      <c r="F409" s="205" t="s">
        <v>102</v>
      </c>
      <c r="G409" s="249" t="s">
        <v>1279</v>
      </c>
      <c r="H409" s="101"/>
      <c r="W409" s="178"/>
      <c r="X409" s="178"/>
      <c r="Y409" s="122"/>
      <c r="Z409" s="180"/>
      <c r="AA409" s="181"/>
      <c r="AB409" s="181"/>
      <c r="AC409" s="181"/>
      <c r="AD409" s="181"/>
      <c r="AE409" s="181"/>
      <c r="AF409" s="200"/>
      <c r="AG409" s="162"/>
      <c r="AI409" s="206"/>
      <c r="AJ409" s="207"/>
      <c r="AK409" s="95"/>
      <c r="AL409" s="95"/>
      <c r="AM409" s="54"/>
    </row>
    <row r="410" spans="1:39">
      <c r="A410" s="54" t="s">
        <v>458</v>
      </c>
      <c r="B410" s="54" t="s">
        <v>781</v>
      </c>
      <c r="D410" s="239" t="s">
        <v>287</v>
      </c>
      <c r="E410" s="239" t="s">
        <v>11</v>
      </c>
      <c r="F410" s="181"/>
      <c r="G410" s="248" t="s">
        <v>288</v>
      </c>
      <c r="H410" s="101"/>
      <c r="I410" s="101" t="s">
        <v>14</v>
      </c>
      <c r="W410" s="178"/>
      <c r="X410" s="178"/>
      <c r="Y410" s="122"/>
      <c r="Z410" s="180"/>
      <c r="AA410" s="181"/>
      <c r="AB410" s="181"/>
      <c r="AC410" s="181"/>
      <c r="AD410" s="181"/>
      <c r="AE410" s="181"/>
      <c r="AF410" s="200"/>
      <c r="AG410" s="162"/>
      <c r="AI410" s="206"/>
      <c r="AJ410" s="207"/>
      <c r="AK410" s="95"/>
      <c r="AL410" s="95"/>
      <c r="AM410" s="54"/>
    </row>
    <row r="411" spans="1:39" s="56" customFormat="1" ht="70.95" customHeight="1">
      <c r="A411" s="54"/>
      <c r="B411" s="54"/>
      <c r="C411" s="80"/>
      <c r="D411" s="81" t="s">
        <v>1280</v>
      </c>
      <c r="E411" s="82"/>
      <c r="F411" s="83"/>
      <c r="G411" s="84" t="s">
        <v>1281</v>
      </c>
      <c r="H411" s="85" t="s">
        <v>41</v>
      </c>
      <c r="I411" s="86"/>
      <c r="J411" s="87"/>
      <c r="K411" s="87"/>
      <c r="L411" s="87"/>
      <c r="M411" s="87"/>
      <c r="N411" s="87"/>
      <c r="O411" s="87"/>
      <c r="P411" s="87"/>
      <c r="Q411" s="87"/>
      <c r="R411" s="87"/>
      <c r="S411" s="87"/>
      <c r="T411" s="87"/>
      <c r="U411" s="87"/>
      <c r="V411" s="87"/>
      <c r="W411" s="88"/>
      <c r="X411" s="88"/>
      <c r="Y411" s="89"/>
      <c r="Z411" s="90"/>
      <c r="AA411" s="91"/>
      <c r="AB411" s="91"/>
      <c r="AC411" s="91"/>
      <c r="AD411" s="91"/>
      <c r="AE411" s="91"/>
      <c r="AF411" s="84"/>
      <c r="AG411" s="92"/>
      <c r="AH411" s="91"/>
      <c r="AI411" s="93"/>
      <c r="AJ411" s="116"/>
      <c r="AK411" s="79"/>
      <c r="AL411" s="79"/>
      <c r="AM411" s="57"/>
    </row>
    <row r="412" spans="1:39" s="56" customFormat="1" ht="158.4" customHeight="1">
      <c r="A412" s="54" t="s">
        <v>621</v>
      </c>
      <c r="B412" s="54" t="s">
        <v>781</v>
      </c>
      <c r="C412" s="155"/>
      <c r="D412" s="239" t="s">
        <v>1282</v>
      </c>
      <c r="E412" s="247"/>
      <c r="F412" s="174" t="s">
        <v>102</v>
      </c>
      <c r="G412" s="250" t="s">
        <v>1283</v>
      </c>
      <c r="H412" s="101"/>
      <c r="I412" s="101" t="s">
        <v>14</v>
      </c>
      <c r="J412" s="87"/>
      <c r="K412" s="87"/>
      <c r="L412" s="87"/>
      <c r="M412" s="87"/>
      <c r="N412" s="87"/>
      <c r="O412" s="87"/>
      <c r="P412" s="87"/>
      <c r="Q412" s="87"/>
      <c r="R412" s="87"/>
      <c r="S412" s="87"/>
      <c r="T412" s="87"/>
      <c r="U412" s="87"/>
      <c r="V412" s="87"/>
      <c r="W412" s="178"/>
      <c r="X412" s="178"/>
      <c r="Y412" s="122"/>
      <c r="Z412" s="180"/>
      <c r="AA412" s="181"/>
      <c r="AB412" s="57"/>
      <c r="AC412" s="57"/>
      <c r="AD412" s="57"/>
      <c r="AE412" s="57"/>
      <c r="AF412" s="78"/>
      <c r="AG412" s="251"/>
      <c r="AH412" s="57"/>
      <c r="AI412" s="252"/>
      <c r="AJ412" s="79"/>
      <c r="AK412" s="79"/>
      <c r="AL412" s="79"/>
      <c r="AM412" s="57"/>
    </row>
    <row r="413" spans="1:39" ht="39" customHeight="1">
      <c r="A413" s="54" t="s">
        <v>458</v>
      </c>
      <c r="C413" s="80"/>
      <c r="D413" s="234" t="s">
        <v>1284</v>
      </c>
      <c r="E413" s="203"/>
      <c r="F413" s="83"/>
      <c r="G413" s="190" t="s">
        <v>1285</v>
      </c>
      <c r="H413" s="85" t="s">
        <v>41</v>
      </c>
      <c r="I413" s="86"/>
      <c r="W413" s="186"/>
      <c r="X413" s="186"/>
      <c r="Y413" s="187"/>
      <c r="Z413" s="188"/>
      <c r="AA413" s="189"/>
      <c r="AB413" s="253"/>
      <c r="AC413" s="253"/>
      <c r="AD413" s="253"/>
      <c r="AE413" s="253"/>
      <c r="AF413" s="143"/>
      <c r="AG413" s="254"/>
      <c r="AH413" s="253"/>
      <c r="AI413" s="255"/>
      <c r="AJ413" s="256"/>
      <c r="AK413" s="85"/>
      <c r="AL413" s="85"/>
      <c r="AM413" s="54"/>
    </row>
    <row r="414" spans="1:39" s="56" customFormat="1" ht="34.5" customHeight="1">
      <c r="A414" s="56" t="s">
        <v>458</v>
      </c>
      <c r="B414" s="54" t="s">
        <v>999</v>
      </c>
      <c r="C414" s="96"/>
      <c r="D414" s="247" t="s">
        <v>1286</v>
      </c>
      <c r="E414" s="239" t="s">
        <v>11</v>
      </c>
      <c r="F414" s="99"/>
      <c r="G414" s="99" t="s">
        <v>1287</v>
      </c>
      <c r="H414" s="100"/>
      <c r="I414" s="101" t="s">
        <v>454</v>
      </c>
      <c r="J414" s="87"/>
      <c r="K414" s="87"/>
      <c r="L414" s="87"/>
      <c r="M414" s="87"/>
      <c r="N414" s="87"/>
      <c r="O414" s="87"/>
      <c r="P414" s="87"/>
      <c r="Q414" s="87"/>
      <c r="R414" s="87"/>
      <c r="S414" s="87"/>
      <c r="T414" s="87"/>
      <c r="U414" s="87"/>
      <c r="V414" s="87"/>
      <c r="W414" s="102"/>
      <c r="X414" s="102"/>
      <c r="Y414" s="96"/>
      <c r="Z414" s="104" t="s">
        <v>1288</v>
      </c>
      <c r="AA414" s="99"/>
      <c r="AB414" s="99"/>
      <c r="AC414" s="99"/>
      <c r="AD414" s="99"/>
      <c r="AE414" s="99"/>
      <c r="AF414" s="105"/>
      <c r="AG414" s="162"/>
      <c r="AH414" s="99"/>
      <c r="AI414" s="112">
        <v>1</v>
      </c>
      <c r="AJ414" s="116"/>
      <c r="AK414" s="79"/>
      <c r="AL414" s="79"/>
      <c r="AM414" s="57"/>
    </row>
    <row r="415" spans="1:39">
      <c r="A415" s="54" t="s">
        <v>458</v>
      </c>
      <c r="B415" s="54" t="s">
        <v>781</v>
      </c>
      <c r="D415" s="239" t="s">
        <v>1289</v>
      </c>
      <c r="E415" s="239" t="s">
        <v>11</v>
      </c>
      <c r="F415" s="99"/>
      <c r="G415" s="181" t="s">
        <v>291</v>
      </c>
      <c r="H415" s="101"/>
      <c r="I415" s="101" t="s">
        <v>14</v>
      </c>
      <c r="W415" s="178"/>
      <c r="X415" s="178"/>
      <c r="Y415" s="122"/>
      <c r="Z415" s="104"/>
      <c r="AA415" s="181"/>
      <c r="AB415" s="181"/>
      <c r="AC415" s="181"/>
      <c r="AD415" s="181"/>
      <c r="AE415" s="181"/>
      <c r="AF415" s="182"/>
      <c r="AG415" s="162"/>
      <c r="AI415" s="206"/>
      <c r="AJ415" s="210"/>
      <c r="AK415" s="85"/>
      <c r="AL415" s="85"/>
      <c r="AM415" s="54"/>
    </row>
    <row r="416" spans="1:39" s="56" customFormat="1" ht="34.5" customHeight="1">
      <c r="A416" s="54" t="s">
        <v>458</v>
      </c>
      <c r="B416" s="54"/>
      <c r="C416" s="80"/>
      <c r="D416" s="81" t="s">
        <v>1290</v>
      </c>
      <c r="E416" s="82"/>
      <c r="F416" s="83"/>
      <c r="G416" s="84" t="s">
        <v>1291</v>
      </c>
      <c r="H416" s="85" t="s">
        <v>41</v>
      </c>
      <c r="I416" s="86"/>
      <c r="J416" s="87"/>
      <c r="K416" s="87"/>
      <c r="L416" s="87"/>
      <c r="M416" s="87"/>
      <c r="N416" s="87"/>
      <c r="O416" s="87"/>
      <c r="P416" s="87"/>
      <c r="Q416" s="87"/>
      <c r="R416" s="87"/>
      <c r="S416" s="87"/>
      <c r="T416" s="87"/>
      <c r="U416" s="87"/>
      <c r="V416" s="87"/>
      <c r="W416" s="88"/>
      <c r="X416" s="88"/>
      <c r="Y416" s="89"/>
      <c r="Z416" s="90"/>
      <c r="AA416" s="91"/>
      <c r="AB416" s="91"/>
      <c r="AC416" s="91"/>
      <c r="AD416" s="91"/>
      <c r="AE416" s="91"/>
      <c r="AF416" s="84"/>
      <c r="AG416" s="92"/>
      <c r="AH416" s="91"/>
      <c r="AI416" s="93"/>
      <c r="AJ416" s="116"/>
      <c r="AK416" s="79"/>
      <c r="AL416" s="79"/>
      <c r="AM416" s="57"/>
    </row>
    <row r="417" spans="1:39" ht="28.8">
      <c r="A417" s="56" t="s">
        <v>458</v>
      </c>
      <c r="B417" s="54" t="s">
        <v>781</v>
      </c>
      <c r="C417" s="155"/>
      <c r="D417" s="239" t="s">
        <v>1292</v>
      </c>
      <c r="E417" s="239" t="s">
        <v>11</v>
      </c>
      <c r="F417" s="99"/>
      <c r="G417" s="99" t="s">
        <v>1293</v>
      </c>
      <c r="H417" s="101"/>
      <c r="I417" s="101" t="s">
        <v>14</v>
      </c>
      <c r="W417" s="178"/>
      <c r="X417" s="178"/>
      <c r="Y417" s="122"/>
      <c r="Z417" s="180"/>
      <c r="AA417" s="181"/>
      <c r="AB417" s="181"/>
      <c r="AC417" s="181"/>
      <c r="AD417" s="181"/>
      <c r="AE417" s="182"/>
      <c r="AF417" s="200"/>
      <c r="AG417" s="162"/>
      <c r="AI417" s="206"/>
      <c r="AJ417" s="210"/>
      <c r="AK417" s="85"/>
      <c r="AL417" s="85"/>
      <c r="AM417" s="54"/>
    </row>
    <row r="418" spans="1:39" s="56" customFormat="1" ht="34.5" customHeight="1">
      <c r="A418" s="54" t="s">
        <v>458</v>
      </c>
      <c r="B418" s="54"/>
      <c r="C418" s="80"/>
      <c r="D418" s="81" t="s">
        <v>1294</v>
      </c>
      <c r="E418" s="82"/>
      <c r="F418" s="83"/>
      <c r="G418" s="84" t="s">
        <v>1295</v>
      </c>
      <c r="H418" s="85" t="s">
        <v>41</v>
      </c>
      <c r="I418" s="86"/>
      <c r="J418" s="87"/>
      <c r="K418" s="87"/>
      <c r="L418" s="87"/>
      <c r="M418" s="87"/>
      <c r="N418" s="87"/>
      <c r="O418" s="87"/>
      <c r="P418" s="87"/>
      <c r="Q418" s="87"/>
      <c r="R418" s="87"/>
      <c r="S418" s="87"/>
      <c r="T418" s="87"/>
      <c r="U418" s="87"/>
      <c r="V418" s="87"/>
      <c r="W418" s="88"/>
      <c r="X418" s="88"/>
      <c r="Y418" s="89"/>
      <c r="Z418" s="90"/>
      <c r="AA418" s="91"/>
      <c r="AB418" s="91"/>
      <c r="AC418" s="91"/>
      <c r="AD418" s="91"/>
      <c r="AE418" s="91"/>
      <c r="AF418" s="84"/>
      <c r="AG418" s="92"/>
      <c r="AH418" s="91"/>
      <c r="AI418" s="93"/>
      <c r="AJ418" s="116"/>
      <c r="AK418" s="79"/>
      <c r="AL418" s="79"/>
      <c r="AM418" s="57"/>
    </row>
    <row r="419" spans="1:39" ht="28.8">
      <c r="A419" s="56" t="s">
        <v>458</v>
      </c>
      <c r="B419" s="54" t="s">
        <v>450</v>
      </c>
      <c r="D419" s="239" t="s">
        <v>1296</v>
      </c>
      <c r="E419" s="239" t="s">
        <v>11</v>
      </c>
      <c r="F419" s="202"/>
      <c r="G419" s="181" t="s">
        <v>1297</v>
      </c>
      <c r="H419" s="101"/>
      <c r="I419" s="101" t="s">
        <v>454</v>
      </c>
      <c r="W419" s="178"/>
      <c r="X419" s="178"/>
      <c r="Y419" s="122"/>
      <c r="Z419" s="180"/>
      <c r="AA419" s="181"/>
      <c r="AB419" s="181"/>
      <c r="AC419" s="181"/>
      <c r="AD419" s="181"/>
      <c r="AE419" s="181"/>
      <c r="AF419" s="200"/>
      <c r="AG419" s="162"/>
      <c r="AI419" s="206">
        <v>1</v>
      </c>
      <c r="AJ419" s="210"/>
      <c r="AK419" s="85"/>
      <c r="AL419" s="85"/>
      <c r="AM419" s="54"/>
    </row>
    <row r="420" spans="1:39">
      <c r="A420" s="56" t="s">
        <v>458</v>
      </c>
      <c r="B420" s="54" t="s">
        <v>781</v>
      </c>
      <c r="D420" s="239"/>
      <c r="E420" s="239" t="s">
        <v>11</v>
      </c>
      <c r="F420" s="202"/>
      <c r="G420" s="181" t="s">
        <v>1298</v>
      </c>
      <c r="H420" s="101"/>
      <c r="I420" s="101" t="s">
        <v>14</v>
      </c>
      <c r="W420" s="178"/>
      <c r="X420" s="178"/>
      <c r="Y420" s="122"/>
      <c r="Z420" s="180"/>
      <c r="AA420" s="181"/>
      <c r="AB420" s="181"/>
      <c r="AC420" s="181"/>
      <c r="AD420" s="181"/>
      <c r="AE420" s="181"/>
      <c r="AF420" s="200"/>
      <c r="AG420" s="162"/>
      <c r="AI420" s="206"/>
      <c r="AJ420" s="207"/>
      <c r="AK420" s="95"/>
      <c r="AL420" s="95"/>
      <c r="AM420" s="54"/>
    </row>
    <row r="421" spans="1:39" s="56" customFormat="1" ht="34.5" customHeight="1">
      <c r="A421" s="56" t="s">
        <v>458</v>
      </c>
      <c r="C421" s="80"/>
      <c r="D421" s="81" t="s">
        <v>1299</v>
      </c>
      <c r="E421" s="82"/>
      <c r="F421" s="83"/>
      <c r="G421" s="84" t="s">
        <v>1300</v>
      </c>
      <c r="H421" s="85" t="s">
        <v>41</v>
      </c>
      <c r="I421" s="86"/>
      <c r="J421" s="87"/>
      <c r="K421" s="87"/>
      <c r="L421" s="87"/>
      <c r="M421" s="87"/>
      <c r="N421" s="87"/>
      <c r="O421" s="87"/>
      <c r="P421" s="87"/>
      <c r="Q421" s="87"/>
      <c r="R421" s="87"/>
      <c r="S421" s="87"/>
      <c r="T421" s="87"/>
      <c r="U421" s="87"/>
      <c r="V421" s="87"/>
      <c r="W421" s="88"/>
      <c r="X421" s="88"/>
      <c r="Y421" s="89"/>
      <c r="Z421" s="188"/>
      <c r="AA421" s="91"/>
      <c r="AB421" s="91"/>
      <c r="AC421" s="91"/>
      <c r="AD421" s="91"/>
      <c r="AE421" s="91"/>
      <c r="AF421" s="84"/>
      <c r="AG421" s="92"/>
      <c r="AH421" s="91"/>
      <c r="AI421" s="93"/>
      <c r="AJ421" s="116"/>
      <c r="AK421" s="79"/>
      <c r="AL421" s="79"/>
      <c r="AM421" s="57"/>
    </row>
    <row r="422" spans="1:39" s="63" customFormat="1" ht="72">
      <c r="A422" s="56" t="s">
        <v>458</v>
      </c>
      <c r="B422" s="54" t="s">
        <v>781</v>
      </c>
      <c r="C422" s="155"/>
      <c r="D422" s="239" t="s">
        <v>1301</v>
      </c>
      <c r="E422" s="239" t="s">
        <v>11</v>
      </c>
      <c r="F422" s="181"/>
      <c r="G422" s="257" t="s">
        <v>1302</v>
      </c>
      <c r="H422" s="101"/>
      <c r="I422" s="101" t="s">
        <v>14</v>
      </c>
      <c r="J422" s="87"/>
      <c r="K422" s="87"/>
      <c r="L422" s="87"/>
      <c r="M422" s="87"/>
      <c r="N422" s="87"/>
      <c r="O422" s="87"/>
      <c r="P422" s="87"/>
      <c r="Q422" s="87"/>
      <c r="R422" s="87"/>
      <c r="S422" s="87"/>
      <c r="T422" s="87"/>
      <c r="U422" s="87"/>
      <c r="V422" s="87"/>
      <c r="W422" s="178"/>
      <c r="X422" s="178"/>
      <c r="Y422" s="122"/>
      <c r="Z422" s="180" t="s">
        <v>1303</v>
      </c>
      <c r="AA422" s="181"/>
      <c r="AB422" s="181"/>
      <c r="AC422" s="181"/>
      <c r="AD422" s="181"/>
      <c r="AE422" s="181"/>
      <c r="AF422" s="200"/>
      <c r="AG422" s="162"/>
      <c r="AH422" s="99"/>
      <c r="AI422" s="206"/>
      <c r="AJ422" s="210"/>
      <c r="AK422" s="85"/>
      <c r="AL422" s="85"/>
    </row>
    <row r="423" spans="1:39" s="63" customFormat="1">
      <c r="A423" s="56" t="s">
        <v>458</v>
      </c>
      <c r="B423" s="56"/>
      <c r="C423" s="155"/>
      <c r="D423" s="239" t="s">
        <v>1304</v>
      </c>
      <c r="E423" s="239"/>
      <c r="F423" s="205" t="s">
        <v>700</v>
      </c>
      <c r="G423" s="258" t="s">
        <v>1305</v>
      </c>
      <c r="H423" s="101"/>
      <c r="I423" s="101"/>
      <c r="J423" s="87"/>
      <c r="K423" s="87"/>
      <c r="L423" s="87"/>
      <c r="M423" s="87"/>
      <c r="N423" s="87"/>
      <c r="O423" s="87"/>
      <c r="P423" s="87"/>
      <c r="Q423" s="87"/>
      <c r="R423" s="87"/>
      <c r="S423" s="87"/>
      <c r="T423" s="87"/>
      <c r="U423" s="87"/>
      <c r="V423" s="87"/>
      <c r="W423" s="178"/>
      <c r="X423" s="178"/>
      <c r="Y423" s="122"/>
      <c r="Z423" s="180"/>
      <c r="AA423" s="181"/>
      <c r="AB423" s="181"/>
      <c r="AC423" s="181"/>
      <c r="AD423" s="181"/>
      <c r="AE423" s="181"/>
      <c r="AF423" s="200"/>
      <c r="AG423" s="162"/>
      <c r="AH423" s="99"/>
      <c r="AI423" s="206"/>
      <c r="AJ423" s="207"/>
      <c r="AK423" s="95"/>
      <c r="AL423" s="95"/>
    </row>
    <row r="424" spans="1:39" s="56" customFormat="1" ht="34.5" customHeight="1">
      <c r="A424" s="56" t="s">
        <v>458</v>
      </c>
      <c r="C424" s="80"/>
      <c r="D424" s="81" t="s">
        <v>1306</v>
      </c>
      <c r="E424" s="82"/>
      <c r="F424" s="83"/>
      <c r="G424" s="84" t="s">
        <v>1307</v>
      </c>
      <c r="H424" s="85" t="s">
        <v>41</v>
      </c>
      <c r="I424" s="86"/>
      <c r="J424" s="87"/>
      <c r="K424" s="87"/>
      <c r="L424" s="87"/>
      <c r="M424" s="87"/>
      <c r="N424" s="87"/>
      <c r="O424" s="87"/>
      <c r="P424" s="87"/>
      <c r="Q424" s="87"/>
      <c r="R424" s="87"/>
      <c r="S424" s="87"/>
      <c r="T424" s="87"/>
      <c r="U424" s="87"/>
      <c r="V424" s="87"/>
      <c r="W424" s="88"/>
      <c r="X424" s="88"/>
      <c r="Y424" s="89"/>
      <c r="Z424" s="188"/>
      <c r="AA424" s="91"/>
      <c r="AB424" s="91"/>
      <c r="AC424" s="91"/>
      <c r="AD424" s="91"/>
      <c r="AE424" s="91"/>
      <c r="AF424" s="84"/>
      <c r="AG424" s="92"/>
      <c r="AH424" s="91"/>
      <c r="AI424" s="93"/>
      <c r="AJ424" s="116"/>
      <c r="AK424" s="79"/>
      <c r="AL424" s="79"/>
      <c r="AM424" s="57"/>
    </row>
    <row r="425" spans="1:39" ht="32.1" customHeight="1">
      <c r="A425" s="56" t="s">
        <v>458</v>
      </c>
      <c r="B425" s="54" t="s">
        <v>781</v>
      </c>
      <c r="D425" s="239" t="s">
        <v>1308</v>
      </c>
      <c r="E425" s="239" t="s">
        <v>11</v>
      </c>
      <c r="F425" s="181"/>
      <c r="G425" s="99" t="s">
        <v>1309</v>
      </c>
      <c r="H425" s="101"/>
      <c r="I425" s="101" t="s">
        <v>14</v>
      </c>
      <c r="W425" s="178"/>
      <c r="X425" s="178"/>
      <c r="Y425" s="179"/>
      <c r="Z425" s="259"/>
      <c r="AA425" s="181"/>
      <c r="AB425" s="181"/>
      <c r="AC425" s="181"/>
      <c r="AD425" s="181"/>
      <c r="AE425" s="182"/>
      <c r="AF425" s="200"/>
      <c r="AG425" s="162"/>
      <c r="AI425" s="206"/>
      <c r="AJ425" s="210"/>
      <c r="AK425" s="85"/>
      <c r="AL425" s="85"/>
      <c r="AM425" s="54"/>
    </row>
    <row r="426" spans="1:39" ht="32.1" customHeight="1">
      <c r="A426" s="54" t="s">
        <v>621</v>
      </c>
      <c r="D426" s="239" t="s">
        <v>1310</v>
      </c>
      <c r="E426" s="239"/>
      <c r="F426" s="205" t="s">
        <v>700</v>
      </c>
      <c r="G426" s="109" t="s">
        <v>1311</v>
      </c>
      <c r="H426" s="101"/>
      <c r="W426" s="178"/>
      <c r="X426" s="178"/>
      <c r="Y426" s="179"/>
      <c r="Z426" s="259"/>
      <c r="AA426" s="181"/>
      <c r="AB426" s="181"/>
      <c r="AC426" s="181"/>
      <c r="AD426" s="181"/>
      <c r="AE426" s="182"/>
      <c r="AF426" s="200"/>
      <c r="AG426" s="162"/>
      <c r="AI426" s="206"/>
      <c r="AJ426" s="210"/>
      <c r="AK426" s="85"/>
      <c r="AL426" s="85"/>
      <c r="AM426" s="54"/>
    </row>
    <row r="427" spans="1:39" ht="57.6">
      <c r="A427" s="56" t="s">
        <v>458</v>
      </c>
      <c r="B427" s="56"/>
      <c r="C427" s="80"/>
      <c r="D427" s="234" t="s">
        <v>1312</v>
      </c>
      <c r="E427" s="82"/>
      <c r="F427" s="204" t="s">
        <v>1313</v>
      </c>
      <c r="G427" s="84" t="s">
        <v>1314</v>
      </c>
      <c r="H427" s="85" t="s">
        <v>41</v>
      </c>
      <c r="I427" s="86"/>
      <c r="W427" s="186"/>
      <c r="X427" s="186"/>
      <c r="Y427" s="187"/>
      <c r="Z427" s="188"/>
      <c r="AA427" s="189"/>
      <c r="AB427" s="189"/>
      <c r="AC427" s="189"/>
      <c r="AD427" s="189"/>
      <c r="AE427" s="189"/>
      <c r="AF427" s="190"/>
      <c r="AG427" s="92"/>
      <c r="AH427" s="91"/>
      <c r="AI427" s="209"/>
      <c r="AJ427" s="219"/>
      <c r="AK427" s="108"/>
      <c r="AL427" s="108"/>
      <c r="AM427" s="54"/>
    </row>
    <row r="428" spans="1:39" s="56" customFormat="1" ht="34.5" customHeight="1">
      <c r="A428" s="56" t="s">
        <v>458</v>
      </c>
      <c r="B428" s="54" t="s">
        <v>450</v>
      </c>
      <c r="C428" s="155"/>
      <c r="D428" s="260" t="s">
        <v>1315</v>
      </c>
      <c r="E428" s="96" t="s">
        <v>11</v>
      </c>
      <c r="F428" s="99"/>
      <c r="G428" s="99" t="s">
        <v>1316</v>
      </c>
      <c r="H428" s="100" t="s">
        <v>41</v>
      </c>
      <c r="I428" s="101" t="s">
        <v>454</v>
      </c>
      <c r="J428" s="87"/>
      <c r="K428" s="87"/>
      <c r="L428" s="87"/>
      <c r="M428" s="87"/>
      <c r="N428" s="87"/>
      <c r="O428" s="87"/>
      <c r="P428" s="87"/>
      <c r="Q428" s="87"/>
      <c r="R428" s="87"/>
      <c r="S428" s="87"/>
      <c r="T428" s="87"/>
      <c r="U428" s="87"/>
      <c r="V428" s="87"/>
      <c r="W428" s="102"/>
      <c r="X428" s="102"/>
      <c r="Y428" s="96"/>
      <c r="Z428" s="261" t="s">
        <v>1317</v>
      </c>
      <c r="AA428" s="99"/>
      <c r="AB428" s="99"/>
      <c r="AC428" s="99"/>
      <c r="AD428" s="99"/>
      <c r="AE428" s="99"/>
      <c r="AF428" s="201"/>
      <c r="AG428" s="162"/>
      <c r="AH428" s="99"/>
      <c r="AI428" s="112">
        <v>1</v>
      </c>
      <c r="AJ428" s="94"/>
      <c r="AK428" s="95"/>
      <c r="AL428" s="95"/>
      <c r="AM428" s="57"/>
    </row>
    <row r="429" spans="1:39">
      <c r="A429" s="56" t="s">
        <v>458</v>
      </c>
      <c r="B429" s="54" t="s">
        <v>450</v>
      </c>
      <c r="C429" s="155"/>
      <c r="D429" s="262" t="s">
        <v>1318</v>
      </c>
      <c r="E429" s="96" t="s">
        <v>11</v>
      </c>
      <c r="F429" s="205"/>
      <c r="G429" s="181" t="s">
        <v>1319</v>
      </c>
      <c r="H429" s="101"/>
      <c r="I429" s="101" t="s">
        <v>481</v>
      </c>
      <c r="W429" s="178"/>
      <c r="X429" s="178"/>
      <c r="Y429" s="122"/>
      <c r="Z429" s="259"/>
      <c r="AA429" s="181"/>
      <c r="AB429" s="181"/>
      <c r="AC429" s="181"/>
      <c r="AD429" s="181"/>
      <c r="AE429" s="181"/>
      <c r="AF429" s="200"/>
      <c r="AG429" s="162"/>
      <c r="AI429" s="206" t="s">
        <v>465</v>
      </c>
      <c r="AJ429" s="219"/>
      <c r="AK429" s="108"/>
      <c r="AL429" s="108"/>
      <c r="AM429" s="54"/>
    </row>
    <row r="430" spans="1:39" s="56" customFormat="1" ht="75" customHeight="1">
      <c r="A430" s="56" t="s">
        <v>458</v>
      </c>
      <c r="C430" s="80"/>
      <c r="D430" s="81" t="s">
        <v>1320</v>
      </c>
      <c r="E430" s="82"/>
      <c r="F430" s="83"/>
      <c r="G430" s="84" t="s">
        <v>1321</v>
      </c>
      <c r="H430" s="85" t="s">
        <v>41</v>
      </c>
      <c r="I430" s="86"/>
      <c r="J430" s="87"/>
      <c r="K430" s="87"/>
      <c r="L430" s="87"/>
      <c r="M430" s="87"/>
      <c r="N430" s="87"/>
      <c r="O430" s="87"/>
      <c r="P430" s="87"/>
      <c r="Q430" s="87"/>
      <c r="R430" s="87"/>
      <c r="S430" s="87"/>
      <c r="T430" s="87"/>
      <c r="U430" s="87"/>
      <c r="V430" s="87"/>
      <c r="W430" s="88"/>
      <c r="X430" s="88"/>
      <c r="Y430" s="89"/>
      <c r="Z430" s="90"/>
      <c r="AA430" s="91"/>
      <c r="AB430" s="91"/>
      <c r="AC430" s="91"/>
      <c r="AD430" s="91"/>
      <c r="AE430" s="91"/>
      <c r="AF430" s="84"/>
      <c r="AG430" s="92"/>
      <c r="AH430" s="91"/>
      <c r="AI430" s="93"/>
      <c r="AJ430" s="94"/>
      <c r="AK430" s="119"/>
      <c r="AL430" s="119"/>
      <c r="AM430" s="57"/>
    </row>
    <row r="431" spans="1:39" ht="15.6" customHeight="1">
      <c r="A431" s="56" t="s">
        <v>458</v>
      </c>
      <c r="B431" s="54" t="s">
        <v>540</v>
      </c>
      <c r="D431" s="262" t="s">
        <v>1322</v>
      </c>
      <c r="E431" s="96" t="s">
        <v>11</v>
      </c>
      <c r="F431" s="181"/>
      <c r="G431" s="99" t="s">
        <v>1323</v>
      </c>
      <c r="H431" s="101"/>
      <c r="I431" s="101" t="s">
        <v>454</v>
      </c>
      <c r="W431" s="178"/>
      <c r="X431" s="178"/>
      <c r="Y431" s="179"/>
      <c r="Z431" s="180" t="s">
        <v>1324</v>
      </c>
      <c r="AA431" s="181"/>
      <c r="AB431" s="181"/>
      <c r="AC431" s="181"/>
      <c r="AD431" s="181"/>
      <c r="AE431" s="182"/>
      <c r="AF431" s="182"/>
      <c r="AG431" s="162"/>
      <c r="AI431" s="206" t="s">
        <v>465</v>
      </c>
      <c r="AJ431" s="219"/>
      <c r="AK431" s="108"/>
      <c r="AL431" s="108"/>
      <c r="AM431" s="54"/>
    </row>
    <row r="432" spans="1:39" ht="35.700000000000003" customHeight="1">
      <c r="A432" s="56" t="s">
        <v>458</v>
      </c>
      <c r="B432" s="56"/>
      <c r="C432" s="80"/>
      <c r="D432" s="234" t="s">
        <v>1325</v>
      </c>
      <c r="E432" s="203"/>
      <c r="F432" s="204"/>
      <c r="G432" s="84" t="s">
        <v>1326</v>
      </c>
      <c r="H432" s="85" t="s">
        <v>41</v>
      </c>
      <c r="I432" s="86"/>
      <c r="W432" s="186"/>
      <c r="X432" s="186"/>
      <c r="Y432" s="187"/>
      <c r="Z432" s="188"/>
      <c r="AA432" s="189"/>
      <c r="AB432" s="189"/>
      <c r="AC432" s="189"/>
      <c r="AD432" s="189"/>
      <c r="AE432" s="189"/>
      <c r="AF432" s="190"/>
      <c r="AG432" s="92"/>
      <c r="AH432" s="91"/>
      <c r="AI432" s="209"/>
      <c r="AJ432" s="207"/>
      <c r="AK432" s="95"/>
      <c r="AL432" s="95"/>
      <c r="AM432" s="54"/>
    </row>
    <row r="433" spans="1:39" s="56" customFormat="1" ht="34.5" customHeight="1">
      <c r="A433" s="56" t="s">
        <v>458</v>
      </c>
      <c r="B433" s="54" t="s">
        <v>450</v>
      </c>
      <c r="C433" s="96"/>
      <c r="D433" s="260" t="s">
        <v>1327</v>
      </c>
      <c r="E433" s="96" t="s">
        <v>11</v>
      </c>
      <c r="F433" s="99"/>
      <c r="G433" s="99" t="s">
        <v>1328</v>
      </c>
      <c r="H433" s="100"/>
      <c r="I433" s="101" t="s">
        <v>481</v>
      </c>
      <c r="J433" s="87"/>
      <c r="K433" s="87"/>
      <c r="L433" s="87"/>
      <c r="M433" s="87"/>
      <c r="N433" s="87"/>
      <c r="O433" s="87"/>
      <c r="P433" s="87"/>
      <c r="Q433" s="87"/>
      <c r="R433" s="87"/>
      <c r="S433" s="87"/>
      <c r="T433" s="87"/>
      <c r="U433" s="87"/>
      <c r="V433" s="87"/>
      <c r="W433" s="102"/>
      <c r="X433" s="102"/>
      <c r="Y433" s="103"/>
      <c r="Z433" s="180" t="s">
        <v>1329</v>
      </c>
      <c r="AA433" s="99"/>
      <c r="AB433" s="99"/>
      <c r="AC433" s="99"/>
      <c r="AD433" s="99"/>
      <c r="AE433" s="105"/>
      <c r="AF433" s="105"/>
      <c r="AG433" s="162"/>
      <c r="AH433" s="99"/>
      <c r="AI433" s="112" t="s">
        <v>465</v>
      </c>
      <c r="AJ433" s="116"/>
      <c r="AK433" s="79"/>
      <c r="AL433" s="79"/>
      <c r="AM433" s="57"/>
    </row>
    <row r="434" spans="1:39" ht="35.1" customHeight="1">
      <c r="A434" s="54" t="s">
        <v>458</v>
      </c>
      <c r="D434" s="262" t="s">
        <v>1330</v>
      </c>
      <c r="E434" s="262"/>
      <c r="F434" s="205" t="s">
        <v>1331</v>
      </c>
      <c r="G434" s="109" t="s">
        <v>1332</v>
      </c>
      <c r="H434" s="101"/>
      <c r="W434" s="178"/>
      <c r="X434" s="178"/>
      <c r="Y434" s="179"/>
      <c r="Z434" s="180"/>
      <c r="AA434" s="181"/>
      <c r="AB434" s="181"/>
      <c r="AC434" s="181"/>
      <c r="AD434" s="181"/>
      <c r="AE434" s="182"/>
      <c r="AF434" s="182"/>
      <c r="AG434" s="162"/>
      <c r="AI434" s="206"/>
      <c r="AJ434" s="210"/>
      <c r="AK434" s="85"/>
      <c r="AL434" s="85"/>
    </row>
    <row r="435" spans="1:39" s="56" customFormat="1" ht="34.5" customHeight="1">
      <c r="A435" s="56" t="s">
        <v>458</v>
      </c>
      <c r="C435" s="80"/>
      <c r="D435" s="81" t="s">
        <v>1333</v>
      </c>
      <c r="E435" s="82"/>
      <c r="F435" s="83"/>
      <c r="G435" s="84" t="s">
        <v>1334</v>
      </c>
      <c r="H435" s="85" t="s">
        <v>41</v>
      </c>
      <c r="I435" s="86"/>
      <c r="J435" s="87"/>
      <c r="K435" s="87"/>
      <c r="L435" s="87"/>
      <c r="M435" s="87"/>
      <c r="N435" s="87"/>
      <c r="O435" s="87"/>
      <c r="P435" s="87"/>
      <c r="Q435" s="87"/>
      <c r="R435" s="87"/>
      <c r="S435" s="87"/>
      <c r="T435" s="87"/>
      <c r="U435" s="87"/>
      <c r="V435" s="87"/>
      <c r="W435" s="88"/>
      <c r="X435" s="88"/>
      <c r="Y435" s="89"/>
      <c r="Z435" s="188"/>
      <c r="AA435" s="91"/>
      <c r="AB435" s="91"/>
      <c r="AC435" s="91"/>
      <c r="AD435" s="91"/>
      <c r="AE435" s="91"/>
      <c r="AF435" s="84"/>
      <c r="AG435" s="92"/>
      <c r="AH435" s="91"/>
      <c r="AI435" s="93"/>
      <c r="AJ435" s="116"/>
      <c r="AK435" s="79"/>
      <c r="AL435" s="79"/>
      <c r="AM435" s="57"/>
    </row>
    <row r="436" spans="1:39" ht="57.6">
      <c r="A436" s="56" t="s">
        <v>458</v>
      </c>
      <c r="B436" s="56"/>
      <c r="C436" s="155"/>
      <c r="D436" s="262" t="s">
        <v>1335</v>
      </c>
      <c r="E436" s="122"/>
      <c r="F436" s="230" t="s">
        <v>700</v>
      </c>
      <c r="G436" s="121" t="s">
        <v>1336</v>
      </c>
      <c r="H436" s="101"/>
      <c r="W436" s="178"/>
      <c r="X436" s="178"/>
      <c r="Y436" s="179"/>
      <c r="Z436" s="180"/>
      <c r="AA436" s="181"/>
      <c r="AB436" s="181"/>
      <c r="AC436" s="181"/>
      <c r="AD436" s="181"/>
      <c r="AE436" s="182"/>
      <c r="AF436" s="182"/>
      <c r="AG436" s="162"/>
      <c r="AI436" s="206"/>
      <c r="AJ436" s="210"/>
      <c r="AK436" s="85"/>
      <c r="AL436" s="85"/>
    </row>
    <row r="437" spans="1:39">
      <c r="A437" s="56" t="s">
        <v>458</v>
      </c>
      <c r="B437" s="54" t="s">
        <v>450</v>
      </c>
      <c r="C437" s="155"/>
      <c r="D437" s="239" t="s">
        <v>1337</v>
      </c>
      <c r="E437" s="96" t="s">
        <v>11</v>
      </c>
      <c r="F437" s="205"/>
      <c r="G437" s="109" t="s">
        <v>1338</v>
      </c>
      <c r="H437" s="157"/>
      <c r="I437" s="157" t="s">
        <v>481</v>
      </c>
      <c r="J437" s="158"/>
      <c r="K437" s="158"/>
      <c r="L437" s="158"/>
      <c r="M437" s="158"/>
      <c r="N437" s="158"/>
      <c r="O437" s="158"/>
      <c r="P437" s="158"/>
      <c r="Q437" s="158"/>
      <c r="R437" s="158"/>
      <c r="S437" s="158"/>
      <c r="T437" s="158"/>
      <c r="U437" s="158"/>
      <c r="V437" s="158"/>
      <c r="W437" s="215"/>
      <c r="X437" s="215"/>
      <c r="Y437" s="263"/>
      <c r="Z437" s="180"/>
      <c r="AA437" s="205"/>
      <c r="AB437" s="205"/>
      <c r="AC437" s="205"/>
      <c r="AD437" s="205"/>
      <c r="AE437" s="217"/>
      <c r="AF437" s="217"/>
      <c r="AG437" s="162"/>
      <c r="AH437" s="109"/>
      <c r="AI437" s="218" t="s">
        <v>465</v>
      </c>
      <c r="AJ437" s="208"/>
      <c r="AK437" s="79"/>
      <c r="AL437" s="79"/>
    </row>
    <row r="438" spans="1:39" s="56" customFormat="1" ht="34.5" customHeight="1">
      <c r="A438" s="56" t="s">
        <v>458</v>
      </c>
      <c r="C438" s="80"/>
      <c r="D438" s="81" t="s">
        <v>1339</v>
      </c>
      <c r="E438" s="82"/>
      <c r="F438" s="83"/>
      <c r="G438" s="84" t="s">
        <v>1340</v>
      </c>
      <c r="H438" s="85" t="s">
        <v>41</v>
      </c>
      <c r="I438" s="86"/>
      <c r="J438" s="87"/>
      <c r="K438" s="87"/>
      <c r="L438" s="87"/>
      <c r="M438" s="87"/>
      <c r="N438" s="87"/>
      <c r="O438" s="87"/>
      <c r="P438" s="87"/>
      <c r="Q438" s="87"/>
      <c r="R438" s="87"/>
      <c r="S438" s="87"/>
      <c r="T438" s="87"/>
      <c r="U438" s="87"/>
      <c r="V438" s="87"/>
      <c r="W438" s="88"/>
      <c r="X438" s="88"/>
      <c r="Y438" s="89"/>
      <c r="Z438" s="90"/>
      <c r="AA438" s="91"/>
      <c r="AB438" s="91"/>
      <c r="AC438" s="91"/>
      <c r="AD438" s="91"/>
      <c r="AE438" s="91"/>
      <c r="AF438" s="84"/>
      <c r="AG438" s="92"/>
      <c r="AH438" s="91"/>
      <c r="AI438" s="93"/>
      <c r="AJ438" s="94"/>
      <c r="AK438" s="119"/>
      <c r="AL438" s="119"/>
      <c r="AM438" s="57"/>
    </row>
    <row r="439" spans="1:39">
      <c r="A439" s="56" t="s">
        <v>458</v>
      </c>
      <c r="B439" s="54" t="s">
        <v>450</v>
      </c>
      <c r="D439" s="262" t="s">
        <v>1341</v>
      </c>
      <c r="E439" s="96" t="s">
        <v>11</v>
      </c>
      <c r="F439" s="202"/>
      <c r="G439" s="99" t="s">
        <v>1342</v>
      </c>
      <c r="H439" s="101"/>
      <c r="I439" s="101" t="s">
        <v>481</v>
      </c>
      <c r="W439" s="178"/>
      <c r="X439" s="178"/>
      <c r="Y439" s="179"/>
      <c r="Z439" s="180" t="s">
        <v>1343</v>
      </c>
      <c r="AA439" s="181"/>
      <c r="AB439" s="181"/>
      <c r="AC439" s="181"/>
      <c r="AD439" s="181"/>
      <c r="AE439" s="182"/>
      <c r="AF439" s="182"/>
      <c r="AG439" s="162"/>
      <c r="AI439" s="206" t="s">
        <v>465</v>
      </c>
      <c r="AJ439" s="219"/>
      <c r="AK439" s="108"/>
      <c r="AL439" s="108"/>
    </row>
    <row r="440" spans="1:39" s="63" customFormat="1" ht="21" customHeight="1">
      <c r="A440" s="56" t="s">
        <v>458</v>
      </c>
      <c r="B440" s="56"/>
      <c r="C440" s="80"/>
      <c r="D440" s="234" t="s">
        <v>1344</v>
      </c>
      <c r="E440" s="203"/>
      <c r="F440" s="204"/>
      <c r="G440" s="84" t="s">
        <v>1345</v>
      </c>
      <c r="H440" s="85" t="s">
        <v>41</v>
      </c>
      <c r="I440" s="86"/>
      <c r="J440" s="87"/>
      <c r="K440" s="87"/>
      <c r="L440" s="87"/>
      <c r="M440" s="87"/>
      <c r="N440" s="87"/>
      <c r="O440" s="87"/>
      <c r="P440" s="87"/>
      <c r="Q440" s="87"/>
      <c r="R440" s="87"/>
      <c r="S440" s="87"/>
      <c r="T440" s="87"/>
      <c r="U440" s="87"/>
      <c r="V440" s="87"/>
      <c r="W440" s="186"/>
      <c r="X440" s="186"/>
      <c r="Y440" s="187"/>
      <c r="Z440" s="188"/>
      <c r="AA440" s="189"/>
      <c r="AB440" s="189"/>
      <c r="AC440" s="189"/>
      <c r="AD440" s="189"/>
      <c r="AE440" s="189"/>
      <c r="AF440" s="190"/>
      <c r="AG440" s="92"/>
      <c r="AH440" s="91"/>
      <c r="AI440" s="209"/>
      <c r="AJ440" s="207"/>
      <c r="AK440" s="95"/>
      <c r="AL440" s="95"/>
      <c r="AM440" s="221"/>
    </row>
    <row r="441" spans="1:39" s="56" customFormat="1" ht="34.5" customHeight="1">
      <c r="A441" s="56" t="s">
        <v>458</v>
      </c>
      <c r="B441" s="54" t="s">
        <v>540</v>
      </c>
      <c r="C441" s="155"/>
      <c r="D441" s="260" t="s">
        <v>1346</v>
      </c>
      <c r="E441" s="96" t="s">
        <v>11</v>
      </c>
      <c r="F441" s="98"/>
      <c r="G441" s="99" t="s">
        <v>1347</v>
      </c>
      <c r="H441" s="100"/>
      <c r="I441" s="101" t="s">
        <v>454</v>
      </c>
      <c r="J441" s="87"/>
      <c r="K441" s="87"/>
      <c r="L441" s="87"/>
      <c r="M441" s="87"/>
      <c r="N441" s="87"/>
      <c r="O441" s="87"/>
      <c r="P441" s="87"/>
      <c r="Q441" s="87"/>
      <c r="R441" s="87"/>
      <c r="S441" s="87"/>
      <c r="T441" s="87"/>
      <c r="U441" s="87"/>
      <c r="V441" s="87"/>
      <c r="W441" s="102"/>
      <c r="X441" s="102"/>
      <c r="Y441" s="96"/>
      <c r="Z441" s="104" t="s">
        <v>1348</v>
      </c>
      <c r="AA441" s="99"/>
      <c r="AB441" s="99"/>
      <c r="AC441" s="99"/>
      <c r="AD441" s="99"/>
      <c r="AE441" s="99"/>
      <c r="AF441" s="201"/>
      <c r="AG441" s="162"/>
      <c r="AH441" s="99"/>
      <c r="AI441" s="112" t="s">
        <v>465</v>
      </c>
      <c r="AJ441" s="116"/>
      <c r="AK441" s="79"/>
      <c r="AL441" s="79"/>
      <c r="AM441" s="57"/>
    </row>
    <row r="442" spans="1:39" ht="28.8">
      <c r="A442" s="56" t="s">
        <v>458</v>
      </c>
      <c r="B442" s="56"/>
      <c r="C442" s="155"/>
      <c r="D442" s="262" t="s">
        <v>1349</v>
      </c>
      <c r="E442" s="262"/>
      <c r="F442" s="98" t="s">
        <v>1350</v>
      </c>
      <c r="G442" s="109" t="s">
        <v>1351</v>
      </c>
      <c r="H442" s="101"/>
      <c r="W442" s="178"/>
      <c r="X442" s="178"/>
      <c r="Y442" s="122"/>
      <c r="Z442" s="180"/>
      <c r="AA442" s="181"/>
      <c r="AB442" s="181"/>
      <c r="AC442" s="181"/>
      <c r="AD442" s="181"/>
      <c r="AE442" s="181"/>
      <c r="AF442" s="200"/>
      <c r="AG442" s="162"/>
      <c r="AI442" s="206"/>
      <c r="AJ442" s="210"/>
      <c r="AK442" s="85"/>
      <c r="AL442" s="85"/>
    </row>
    <row r="443" spans="1:39" s="56" customFormat="1" ht="61.95" customHeight="1">
      <c r="A443" s="56" t="s">
        <v>458</v>
      </c>
      <c r="C443" s="80"/>
      <c r="D443" s="81" t="s">
        <v>1352</v>
      </c>
      <c r="E443" s="82"/>
      <c r="F443" s="83" t="s">
        <v>1353</v>
      </c>
      <c r="G443" s="84" t="s">
        <v>1354</v>
      </c>
      <c r="H443" s="85" t="s">
        <v>41</v>
      </c>
      <c r="I443" s="86"/>
      <c r="J443" s="87"/>
      <c r="K443" s="87"/>
      <c r="L443" s="87"/>
      <c r="M443" s="87"/>
      <c r="N443" s="87"/>
      <c r="O443" s="87"/>
      <c r="P443" s="87"/>
      <c r="Q443" s="87"/>
      <c r="R443" s="87"/>
      <c r="S443" s="87"/>
      <c r="T443" s="87"/>
      <c r="U443" s="87"/>
      <c r="V443" s="87"/>
      <c r="W443" s="88"/>
      <c r="X443" s="88"/>
      <c r="Y443" s="89"/>
      <c r="Z443" s="90"/>
      <c r="AA443" s="91"/>
      <c r="AB443" s="91"/>
      <c r="AC443" s="91"/>
      <c r="AD443" s="91"/>
      <c r="AE443" s="91"/>
      <c r="AF443" s="84"/>
      <c r="AG443" s="92"/>
      <c r="AH443" s="91"/>
      <c r="AI443" s="93"/>
      <c r="AJ443" s="116"/>
      <c r="AK443" s="79"/>
      <c r="AL443" s="79"/>
      <c r="AM443" s="57"/>
    </row>
    <row r="444" spans="1:39" ht="28.8">
      <c r="A444" s="56" t="s">
        <v>458</v>
      </c>
      <c r="B444" s="54" t="s">
        <v>450</v>
      </c>
      <c r="D444" s="262" t="s">
        <v>1355</v>
      </c>
      <c r="E444" s="122" t="s">
        <v>11</v>
      </c>
      <c r="F444" s="98"/>
      <c r="G444" s="99" t="s">
        <v>1356</v>
      </c>
      <c r="H444" s="101"/>
      <c r="I444" s="101" t="s">
        <v>14</v>
      </c>
      <c r="W444" s="178"/>
      <c r="X444" s="178"/>
      <c r="Y444" s="122"/>
      <c r="Z444" s="180" t="s">
        <v>1357</v>
      </c>
      <c r="AA444" s="181"/>
      <c r="AB444" s="181"/>
      <c r="AC444" s="181"/>
      <c r="AD444" s="181"/>
      <c r="AE444" s="181"/>
      <c r="AF444" s="200"/>
      <c r="AG444" s="162"/>
      <c r="AH444" s="109"/>
      <c r="AI444" s="206"/>
      <c r="AJ444" s="210"/>
      <c r="AK444" s="85"/>
      <c r="AL444" s="85"/>
    </row>
    <row r="445" spans="1:39" ht="43.2">
      <c r="A445" s="56" t="s">
        <v>458</v>
      </c>
      <c r="B445" s="56"/>
      <c r="C445" s="80"/>
      <c r="D445" s="234" t="s">
        <v>1358</v>
      </c>
      <c r="E445" s="82"/>
      <c r="F445" s="204"/>
      <c r="G445" s="84" t="s">
        <v>1359</v>
      </c>
      <c r="H445" s="85" t="s">
        <v>41</v>
      </c>
      <c r="I445" s="86"/>
      <c r="W445" s="186"/>
      <c r="X445" s="186"/>
      <c r="Y445" s="187"/>
      <c r="Z445" s="188"/>
      <c r="AA445" s="189"/>
      <c r="AB445" s="189"/>
      <c r="AC445" s="189"/>
      <c r="AD445" s="189"/>
      <c r="AE445" s="189"/>
      <c r="AF445" s="190"/>
      <c r="AG445" s="92"/>
      <c r="AH445" s="91"/>
      <c r="AI445" s="209"/>
      <c r="AJ445" s="219"/>
      <c r="AK445" s="108"/>
      <c r="AL445" s="108"/>
    </row>
    <row r="446" spans="1:39" s="56" customFormat="1" ht="34.5" customHeight="1">
      <c r="A446" s="56" t="s">
        <v>458</v>
      </c>
      <c r="B446" s="54" t="s">
        <v>540</v>
      </c>
      <c r="C446" s="96"/>
      <c r="D446" s="260" t="s">
        <v>1360</v>
      </c>
      <c r="E446" s="96" t="s">
        <v>11</v>
      </c>
      <c r="F446" s="98"/>
      <c r="G446" s="99" t="s">
        <v>1361</v>
      </c>
      <c r="H446" s="100"/>
      <c r="I446" s="101" t="s">
        <v>481</v>
      </c>
      <c r="J446" s="87"/>
      <c r="K446" s="87"/>
      <c r="L446" s="87"/>
      <c r="M446" s="87"/>
      <c r="N446" s="87"/>
      <c r="O446" s="87"/>
      <c r="P446" s="87"/>
      <c r="Q446" s="87"/>
      <c r="R446" s="87"/>
      <c r="S446" s="87"/>
      <c r="T446" s="87"/>
      <c r="U446" s="87"/>
      <c r="V446" s="87"/>
      <c r="W446" s="102"/>
      <c r="X446" s="102"/>
      <c r="Y446" s="103"/>
      <c r="Z446" s="104" t="s">
        <v>1362</v>
      </c>
      <c r="AA446" s="99"/>
      <c r="AB446" s="99"/>
      <c r="AC446" s="99"/>
      <c r="AD446" s="99"/>
      <c r="AE446" s="105"/>
      <c r="AF446" s="105"/>
      <c r="AG446" s="162"/>
      <c r="AH446" s="99"/>
      <c r="AI446" s="112">
        <v>10</v>
      </c>
      <c r="AJ446" s="94"/>
      <c r="AK446" s="119"/>
      <c r="AL446" s="119"/>
      <c r="AM446" s="57"/>
    </row>
    <row r="447" spans="1:39">
      <c r="A447" s="56" t="s">
        <v>458</v>
      </c>
      <c r="B447" s="54" t="s">
        <v>540</v>
      </c>
      <c r="D447" s="262" t="s">
        <v>1363</v>
      </c>
      <c r="E447" s="96" t="s">
        <v>11</v>
      </c>
      <c r="F447" s="202"/>
      <c r="G447" s="99" t="s">
        <v>1364</v>
      </c>
      <c r="H447" s="101"/>
      <c r="I447" s="101" t="s">
        <v>481</v>
      </c>
      <c r="W447" s="178"/>
      <c r="X447" s="178"/>
      <c r="Y447" s="179"/>
      <c r="Z447" s="264" t="s">
        <v>1362</v>
      </c>
      <c r="AA447" s="181"/>
      <c r="AB447" s="181"/>
      <c r="AC447" s="181"/>
      <c r="AD447" s="181"/>
      <c r="AE447" s="182"/>
      <c r="AF447" s="182"/>
      <c r="AG447" s="162"/>
      <c r="AI447" s="206" t="s">
        <v>465</v>
      </c>
      <c r="AJ447" s="219"/>
      <c r="AK447" s="108"/>
      <c r="AL447" s="108"/>
      <c r="AM447" s="54"/>
    </row>
    <row r="448" spans="1:39" ht="28.8">
      <c r="A448" s="56" t="s">
        <v>458</v>
      </c>
      <c r="B448" s="56"/>
      <c r="C448" s="80"/>
      <c r="D448" s="234" t="s">
        <v>1365</v>
      </c>
      <c r="E448" s="203"/>
      <c r="F448" s="204"/>
      <c r="G448" s="84" t="s">
        <v>1366</v>
      </c>
      <c r="H448" s="85" t="s">
        <v>41</v>
      </c>
      <c r="I448" s="86"/>
      <c r="W448" s="186"/>
      <c r="X448" s="186"/>
      <c r="Y448" s="187"/>
      <c r="Z448" s="188"/>
      <c r="AA448" s="189"/>
      <c r="AB448" s="189"/>
      <c r="AC448" s="189"/>
      <c r="AD448" s="189"/>
      <c r="AE448" s="189"/>
      <c r="AF448" s="190"/>
      <c r="AG448" s="92"/>
      <c r="AH448" s="91"/>
      <c r="AI448" s="209"/>
      <c r="AJ448" s="207"/>
      <c r="AK448" s="95"/>
      <c r="AL448" s="95"/>
      <c r="AM448" s="54"/>
    </row>
    <row r="449" spans="1:39" s="56" customFormat="1" ht="34.5" customHeight="1">
      <c r="A449" s="56" t="s">
        <v>458</v>
      </c>
      <c r="B449" s="54" t="s">
        <v>450</v>
      </c>
      <c r="C449" s="155"/>
      <c r="D449" s="260" t="s">
        <v>1367</v>
      </c>
      <c r="E449" s="96" t="s">
        <v>11</v>
      </c>
      <c r="F449" s="100"/>
      <c r="G449" s="99" t="s">
        <v>1368</v>
      </c>
      <c r="H449" s="100"/>
      <c r="I449" s="101" t="s">
        <v>481</v>
      </c>
      <c r="J449" s="87"/>
      <c r="K449" s="87"/>
      <c r="L449" s="87"/>
      <c r="M449" s="87"/>
      <c r="N449" s="87"/>
      <c r="O449" s="87"/>
      <c r="P449" s="87"/>
      <c r="Q449" s="87"/>
      <c r="R449" s="87"/>
      <c r="S449" s="87"/>
      <c r="T449" s="87"/>
      <c r="U449" s="87"/>
      <c r="V449" s="87"/>
      <c r="W449" s="102"/>
      <c r="X449" s="102"/>
      <c r="Y449" s="96"/>
      <c r="Z449" s="264" t="s">
        <v>504</v>
      </c>
      <c r="AA449" s="99"/>
      <c r="AB449" s="99"/>
      <c r="AC449" s="99"/>
      <c r="AD449" s="99"/>
      <c r="AE449" s="99"/>
      <c r="AF449" s="201"/>
      <c r="AG449" s="162"/>
      <c r="AH449" s="99"/>
      <c r="AI449" s="112" t="s">
        <v>465</v>
      </c>
      <c r="AJ449" s="116"/>
      <c r="AK449" s="79"/>
      <c r="AL449" s="79"/>
      <c r="AM449" s="57"/>
    </row>
    <row r="450" spans="1:39" ht="43.2">
      <c r="A450" s="56" t="s">
        <v>458</v>
      </c>
      <c r="B450" s="56"/>
      <c r="C450" s="80"/>
      <c r="D450" s="234" t="s">
        <v>1369</v>
      </c>
      <c r="E450" s="203"/>
      <c r="F450" s="204"/>
      <c r="G450" s="84" t="s">
        <v>1370</v>
      </c>
      <c r="H450" s="85" t="s">
        <v>41</v>
      </c>
      <c r="I450" s="86"/>
      <c r="W450" s="186"/>
      <c r="X450" s="186"/>
      <c r="Y450" s="187"/>
      <c r="Z450" s="188"/>
      <c r="AA450" s="189"/>
      <c r="AB450" s="189"/>
      <c r="AC450" s="189"/>
      <c r="AD450" s="189"/>
      <c r="AE450" s="189"/>
      <c r="AF450" s="190"/>
      <c r="AG450" s="92"/>
      <c r="AH450" s="91"/>
      <c r="AI450" s="209"/>
      <c r="AJ450" s="210"/>
      <c r="AK450" s="85"/>
      <c r="AL450" s="85"/>
      <c r="AM450" s="54"/>
    </row>
    <row r="451" spans="1:39">
      <c r="A451" s="56" t="s">
        <v>458</v>
      </c>
      <c r="B451" s="54" t="s">
        <v>450</v>
      </c>
      <c r="D451" s="262" t="s">
        <v>1371</v>
      </c>
      <c r="E451" s="96" t="s">
        <v>11</v>
      </c>
      <c r="F451" s="101"/>
      <c r="G451" s="99" t="s">
        <v>1372</v>
      </c>
      <c r="H451" s="101"/>
      <c r="I451" s="101" t="s">
        <v>481</v>
      </c>
      <c r="W451" s="178"/>
      <c r="X451" s="178"/>
      <c r="Y451" s="122"/>
      <c r="Z451" s="265" t="s">
        <v>504</v>
      </c>
      <c r="AA451" s="181"/>
      <c r="AB451" s="181"/>
      <c r="AC451" s="181"/>
      <c r="AD451" s="181"/>
      <c r="AE451" s="181"/>
      <c r="AF451" s="200"/>
      <c r="AG451" s="162"/>
      <c r="AI451" s="206" t="s">
        <v>465</v>
      </c>
      <c r="AJ451" s="208"/>
      <c r="AK451" s="79"/>
      <c r="AL451" s="79"/>
      <c r="AM451" s="54"/>
    </row>
    <row r="452" spans="1:39" s="56" customFormat="1" ht="34.5" customHeight="1">
      <c r="A452" s="56" t="s">
        <v>458</v>
      </c>
      <c r="B452" s="54" t="s">
        <v>450</v>
      </c>
      <c r="C452" s="96"/>
      <c r="D452" s="260" t="s">
        <v>1373</v>
      </c>
      <c r="E452" s="96" t="s">
        <v>11</v>
      </c>
      <c r="F452" s="100"/>
      <c r="G452" s="99" t="s">
        <v>1374</v>
      </c>
      <c r="H452" s="100"/>
      <c r="I452" s="101" t="s">
        <v>481</v>
      </c>
      <c r="J452" s="87"/>
      <c r="K452" s="87"/>
      <c r="L452" s="87"/>
      <c r="M452" s="87"/>
      <c r="N452" s="87"/>
      <c r="O452" s="87"/>
      <c r="P452" s="87"/>
      <c r="Q452" s="87"/>
      <c r="R452" s="87"/>
      <c r="S452" s="87"/>
      <c r="T452" s="87"/>
      <c r="U452" s="87"/>
      <c r="V452" s="87"/>
      <c r="W452" s="102"/>
      <c r="X452" s="102"/>
      <c r="Y452" s="96"/>
      <c r="Z452" s="98"/>
      <c r="AA452" s="99"/>
      <c r="AB452" s="99"/>
      <c r="AC452" s="99"/>
      <c r="AD452" s="99"/>
      <c r="AE452" s="99"/>
      <c r="AF452" s="201"/>
      <c r="AG452" s="162"/>
      <c r="AH452" s="99"/>
      <c r="AI452" s="112" t="s">
        <v>465</v>
      </c>
      <c r="AJ452" s="94"/>
      <c r="AK452" s="95"/>
      <c r="AL452" s="95"/>
      <c r="AM452" s="57"/>
    </row>
    <row r="453" spans="1:39" ht="28.8">
      <c r="A453" s="56" t="s">
        <v>458</v>
      </c>
      <c r="B453" s="56"/>
      <c r="C453" s="80"/>
      <c r="D453" s="234" t="s">
        <v>1375</v>
      </c>
      <c r="E453" s="82"/>
      <c r="F453" s="204"/>
      <c r="G453" s="84" t="s">
        <v>1376</v>
      </c>
      <c r="H453" s="85" t="s">
        <v>41</v>
      </c>
      <c r="I453" s="86"/>
      <c r="W453" s="186"/>
      <c r="X453" s="186"/>
      <c r="Y453" s="187"/>
      <c r="Z453" s="188"/>
      <c r="AA453" s="189"/>
      <c r="AB453" s="189"/>
      <c r="AC453" s="189"/>
      <c r="AD453" s="189"/>
      <c r="AE453" s="189"/>
      <c r="AF453" s="190"/>
      <c r="AG453" s="92"/>
      <c r="AH453" s="91"/>
      <c r="AI453" s="209"/>
      <c r="AJ453" s="101"/>
      <c r="AL453" s="100"/>
      <c r="AM453" s="54"/>
    </row>
    <row r="454" spans="1:39" s="56" customFormat="1" ht="54.75" customHeight="1">
      <c r="A454" s="56" t="s">
        <v>458</v>
      </c>
      <c r="C454" s="96"/>
      <c r="D454" s="260" t="s">
        <v>1377</v>
      </c>
      <c r="E454" s="260"/>
      <c r="F454" s="109" t="s">
        <v>1350</v>
      </c>
      <c r="G454" s="109" t="s">
        <v>1378</v>
      </c>
      <c r="H454" s="100"/>
      <c r="I454" s="101" t="s">
        <v>759</v>
      </c>
      <c r="J454" s="87"/>
      <c r="K454" s="87"/>
      <c r="L454" s="87"/>
      <c r="M454" s="87"/>
      <c r="N454" s="87"/>
      <c r="O454" s="87"/>
      <c r="P454" s="87"/>
      <c r="Q454" s="87"/>
      <c r="R454" s="87"/>
      <c r="S454" s="87"/>
      <c r="T454" s="87"/>
      <c r="U454" s="87"/>
      <c r="V454" s="87"/>
      <c r="W454" s="102"/>
      <c r="X454" s="102"/>
      <c r="Y454" s="96"/>
      <c r="Z454" s="104"/>
      <c r="AA454" s="99"/>
      <c r="AB454" s="99"/>
      <c r="AC454" s="99"/>
      <c r="AD454" s="99"/>
      <c r="AE454" s="99"/>
      <c r="AF454" s="201"/>
      <c r="AG454" s="162"/>
      <c r="AH454" s="99"/>
      <c r="AI454" s="103"/>
      <c r="AJ454" s="94"/>
      <c r="AK454" s="95"/>
      <c r="AL454" s="95"/>
      <c r="AM454" s="57"/>
    </row>
    <row r="455" spans="1:39" ht="31.35" customHeight="1">
      <c r="A455" s="56" t="s">
        <v>458</v>
      </c>
      <c r="B455" s="56"/>
      <c r="C455" s="80"/>
      <c r="D455" s="234" t="s">
        <v>1379</v>
      </c>
      <c r="E455" s="82"/>
      <c r="F455" s="204"/>
      <c r="G455" s="84" t="s">
        <v>1380</v>
      </c>
      <c r="H455" s="85" t="s">
        <v>41</v>
      </c>
      <c r="I455" s="86"/>
      <c r="W455" s="186"/>
      <c r="X455" s="186"/>
      <c r="Y455" s="187"/>
      <c r="Z455" s="188"/>
      <c r="AA455" s="189"/>
      <c r="AB455" s="189"/>
      <c r="AC455" s="189"/>
      <c r="AD455" s="189"/>
      <c r="AE455" s="189"/>
      <c r="AF455" s="190"/>
      <c r="AG455" s="92"/>
      <c r="AH455" s="91"/>
      <c r="AI455" s="209"/>
      <c r="AJ455" s="101"/>
      <c r="AL455" s="100"/>
    </row>
    <row r="456" spans="1:39" s="56" customFormat="1" ht="116.25" customHeight="1">
      <c r="A456" s="56" t="s">
        <v>458</v>
      </c>
      <c r="B456" s="54" t="s">
        <v>450</v>
      </c>
      <c r="C456" s="155"/>
      <c r="D456" s="260" t="s">
        <v>1381</v>
      </c>
      <c r="E456" s="96" t="s">
        <v>11</v>
      </c>
      <c r="F456" s="99"/>
      <c r="G456" s="99" t="s">
        <v>1382</v>
      </c>
      <c r="H456" s="100"/>
      <c r="I456" s="101" t="s">
        <v>481</v>
      </c>
      <c r="J456" s="87"/>
      <c r="K456" s="87"/>
      <c r="L456" s="87"/>
      <c r="M456" s="87"/>
      <c r="N456" s="87"/>
      <c r="O456" s="87"/>
      <c r="P456" s="87"/>
      <c r="Q456" s="87"/>
      <c r="R456" s="87"/>
      <c r="S456" s="87"/>
      <c r="T456" s="87"/>
      <c r="U456" s="87"/>
      <c r="V456" s="87"/>
      <c r="W456" s="102"/>
      <c r="X456" s="102"/>
      <c r="Y456" s="96"/>
      <c r="Z456" s="104" t="s">
        <v>504</v>
      </c>
      <c r="AA456" s="99"/>
      <c r="AB456" s="99"/>
      <c r="AC456" s="99"/>
      <c r="AD456" s="99"/>
      <c r="AE456" s="99"/>
      <c r="AF456" s="201"/>
      <c r="AG456" s="162"/>
      <c r="AH456" s="99"/>
      <c r="AI456" s="112" t="s">
        <v>465</v>
      </c>
      <c r="AJ456" s="94"/>
      <c r="AK456" s="95"/>
      <c r="AL456" s="95"/>
      <c r="AM456" s="57"/>
    </row>
    <row r="457" spans="1:39" ht="28.8">
      <c r="A457" s="56" t="s">
        <v>458</v>
      </c>
      <c r="B457" s="56"/>
      <c r="C457" s="80"/>
      <c r="D457" s="234" t="s">
        <v>1383</v>
      </c>
      <c r="E457" s="82"/>
      <c r="F457" s="204"/>
      <c r="G457" s="84" t="s">
        <v>1384</v>
      </c>
      <c r="H457" s="85" t="s">
        <v>41</v>
      </c>
      <c r="I457" s="86"/>
      <c r="W457" s="186"/>
      <c r="X457" s="186"/>
      <c r="Y457" s="187"/>
      <c r="Z457" s="188"/>
      <c r="AA457" s="189"/>
      <c r="AB457" s="189"/>
      <c r="AC457" s="189"/>
      <c r="AD457" s="189"/>
      <c r="AE457" s="189"/>
      <c r="AF457" s="190"/>
      <c r="AG457" s="92"/>
      <c r="AH457" s="91"/>
      <c r="AI457" s="209"/>
      <c r="AJ457" s="101"/>
      <c r="AL457" s="100"/>
      <c r="AM457" s="54"/>
    </row>
    <row r="458" spans="1:39">
      <c r="A458" s="56" t="s">
        <v>458</v>
      </c>
      <c r="B458" s="54" t="s">
        <v>450</v>
      </c>
      <c r="D458" s="262" t="s">
        <v>1385</v>
      </c>
      <c r="E458" s="122" t="s">
        <v>11</v>
      </c>
      <c r="F458" s="181"/>
      <c r="G458" s="99" t="s">
        <v>1386</v>
      </c>
      <c r="H458" s="101"/>
      <c r="I458" s="101" t="s">
        <v>481</v>
      </c>
      <c r="W458" s="178"/>
      <c r="X458" s="178"/>
      <c r="Y458" s="122"/>
      <c r="Z458" s="265" t="s">
        <v>504</v>
      </c>
      <c r="AA458" s="181"/>
      <c r="AB458" s="181"/>
      <c r="AC458" s="181"/>
      <c r="AD458" s="181"/>
      <c r="AE458" s="181"/>
      <c r="AF458" s="182"/>
      <c r="AG458" s="162"/>
      <c r="AI458" s="206" t="s">
        <v>465</v>
      </c>
      <c r="AJ458" s="207"/>
      <c r="AK458" s="119"/>
      <c r="AL458" s="119"/>
      <c r="AM458" s="54"/>
    </row>
    <row r="459" spans="1:39" ht="43.2">
      <c r="A459" s="56" t="s">
        <v>458</v>
      </c>
      <c r="D459" s="262" t="s">
        <v>1387</v>
      </c>
      <c r="E459" s="260"/>
      <c r="F459" s="205" t="s">
        <v>1350</v>
      </c>
      <c r="G459" s="109" t="s">
        <v>1388</v>
      </c>
      <c r="H459" s="101"/>
      <c r="W459" s="178"/>
      <c r="X459" s="178"/>
      <c r="Y459" s="122"/>
      <c r="Z459" s="266"/>
      <c r="AA459" s="181"/>
      <c r="AB459" s="181"/>
      <c r="AC459" s="181"/>
      <c r="AD459" s="181"/>
      <c r="AE459" s="181"/>
      <c r="AF459" s="182"/>
      <c r="AG459" s="162"/>
      <c r="AI459" s="206"/>
      <c r="AJ459" s="224"/>
      <c r="AK459" s="54"/>
      <c r="AM459" s="54"/>
    </row>
    <row r="460" spans="1:39" ht="32.1" customHeight="1">
      <c r="A460" s="56" t="s">
        <v>458</v>
      </c>
      <c r="B460" s="56"/>
      <c r="C460" s="80"/>
      <c r="D460" s="234" t="s">
        <v>1389</v>
      </c>
      <c r="E460" s="203"/>
      <c r="F460" s="204"/>
      <c r="G460" s="84" t="s">
        <v>1390</v>
      </c>
      <c r="H460" s="85" t="s">
        <v>41</v>
      </c>
      <c r="I460" s="86"/>
      <c r="W460" s="186"/>
      <c r="X460" s="186"/>
      <c r="Y460" s="187"/>
      <c r="Z460" s="188"/>
      <c r="AA460" s="189"/>
      <c r="AB460" s="189"/>
      <c r="AC460" s="189"/>
      <c r="AD460" s="189"/>
      <c r="AE460" s="189"/>
      <c r="AF460" s="190"/>
      <c r="AG460" s="92"/>
      <c r="AH460" s="91"/>
      <c r="AI460" s="209"/>
      <c r="AJ460" s="207"/>
      <c r="AK460" s="95"/>
      <c r="AL460" s="95"/>
      <c r="AM460" s="54"/>
    </row>
    <row r="461" spans="1:39" ht="31.35" customHeight="1">
      <c r="A461" s="56" t="s">
        <v>458</v>
      </c>
      <c r="B461" s="54" t="s">
        <v>450</v>
      </c>
      <c r="C461" s="155"/>
      <c r="D461" s="262" t="s">
        <v>1391</v>
      </c>
      <c r="E461" s="96" t="s">
        <v>11</v>
      </c>
      <c r="F461" s="181"/>
      <c r="G461" s="99" t="s">
        <v>1392</v>
      </c>
      <c r="H461" s="101"/>
      <c r="I461" s="101" t="s">
        <v>481</v>
      </c>
      <c r="W461" s="178"/>
      <c r="X461" s="178"/>
      <c r="Y461" s="122"/>
      <c r="Z461" s="180" t="s">
        <v>1393</v>
      </c>
      <c r="AA461" s="181"/>
      <c r="AB461" s="181"/>
      <c r="AC461" s="181"/>
      <c r="AD461" s="181"/>
      <c r="AE461" s="181"/>
      <c r="AF461" s="182"/>
      <c r="AG461" s="162"/>
      <c r="AI461" s="206" t="s">
        <v>465</v>
      </c>
      <c r="AJ461" s="224"/>
      <c r="AK461" s="54"/>
      <c r="AM461" s="54"/>
    </row>
    <row r="462" spans="1:39" s="56" customFormat="1" ht="50.25" customHeight="1">
      <c r="A462" s="56" t="s">
        <v>458</v>
      </c>
      <c r="C462" s="155"/>
      <c r="D462" s="260" t="s">
        <v>1394</v>
      </c>
      <c r="E462" s="260"/>
      <c r="F462" s="121" t="s">
        <v>1165</v>
      </c>
      <c r="G462" s="121" t="s">
        <v>1395</v>
      </c>
      <c r="H462" s="100"/>
      <c r="I462" s="101"/>
      <c r="J462" s="87"/>
      <c r="K462" s="87"/>
      <c r="L462" s="87"/>
      <c r="M462" s="87"/>
      <c r="N462" s="87"/>
      <c r="O462" s="87"/>
      <c r="P462" s="87"/>
      <c r="Q462" s="87"/>
      <c r="R462" s="87"/>
      <c r="S462" s="87"/>
      <c r="T462" s="87"/>
      <c r="U462" s="87"/>
      <c r="V462" s="87"/>
      <c r="W462" s="102"/>
      <c r="X462" s="102"/>
      <c r="Y462" s="96"/>
      <c r="Z462" s="104"/>
      <c r="AA462" s="99"/>
      <c r="AB462" s="99"/>
      <c r="AC462" s="99"/>
      <c r="AD462" s="99"/>
      <c r="AE462" s="99"/>
      <c r="AF462" s="105"/>
      <c r="AG462" s="162"/>
      <c r="AH462" s="99"/>
      <c r="AI462" s="112"/>
      <c r="AJ462" s="94"/>
      <c r="AK462" s="95"/>
      <c r="AL462" s="95"/>
      <c r="AM462" s="57"/>
    </row>
    <row r="463" spans="1:39" ht="28.8">
      <c r="A463" s="56" t="s">
        <v>458</v>
      </c>
      <c r="B463" s="56"/>
      <c r="C463" s="80"/>
      <c r="D463" s="234" t="s">
        <v>1396</v>
      </c>
      <c r="E463" s="82"/>
      <c r="F463" s="204"/>
      <c r="G463" s="84" t="s">
        <v>1397</v>
      </c>
      <c r="H463" s="85" t="s">
        <v>41</v>
      </c>
      <c r="I463" s="86"/>
      <c r="W463" s="186"/>
      <c r="X463" s="186"/>
      <c r="Y463" s="187"/>
      <c r="Z463" s="188"/>
      <c r="AA463" s="189"/>
      <c r="AB463" s="189"/>
      <c r="AC463" s="189"/>
      <c r="AD463" s="189"/>
      <c r="AE463" s="189"/>
      <c r="AF463" s="190"/>
      <c r="AG463" s="92"/>
      <c r="AH463" s="91"/>
      <c r="AI463" s="209"/>
      <c r="AJ463" s="101"/>
      <c r="AL463" s="100"/>
    </row>
    <row r="464" spans="1:39" s="56" customFormat="1" ht="72" customHeight="1">
      <c r="A464" s="56" t="s">
        <v>458</v>
      </c>
      <c r="B464" s="54" t="s">
        <v>450</v>
      </c>
      <c r="C464" s="96"/>
      <c r="D464" s="260" t="s">
        <v>1398</v>
      </c>
      <c r="E464" s="96" t="s">
        <v>11</v>
      </c>
      <c r="F464" s="99"/>
      <c r="G464" s="99" t="s">
        <v>1399</v>
      </c>
      <c r="H464" s="100"/>
      <c r="I464" s="101" t="s">
        <v>481</v>
      </c>
      <c r="J464" s="87"/>
      <c r="K464" s="87"/>
      <c r="L464" s="87"/>
      <c r="M464" s="87"/>
      <c r="N464" s="87"/>
      <c r="O464" s="87"/>
      <c r="P464" s="87"/>
      <c r="Q464" s="87"/>
      <c r="R464" s="87"/>
      <c r="S464" s="87"/>
      <c r="T464" s="87"/>
      <c r="U464" s="87"/>
      <c r="V464" s="87"/>
      <c r="W464" s="102"/>
      <c r="X464" s="102"/>
      <c r="Y464" s="96"/>
      <c r="Z464" s="104" t="s">
        <v>504</v>
      </c>
      <c r="AA464" s="99"/>
      <c r="AB464" s="99"/>
      <c r="AC464" s="99"/>
      <c r="AD464" s="99"/>
      <c r="AE464" s="99"/>
      <c r="AF464" s="201"/>
      <c r="AG464" s="162"/>
      <c r="AH464" s="99"/>
      <c r="AI464" s="112" t="s">
        <v>465</v>
      </c>
      <c r="AJ464" s="94"/>
      <c r="AK464" s="95"/>
      <c r="AL464" s="95"/>
      <c r="AM464" s="57"/>
    </row>
    <row r="465" spans="1:39" ht="43.2">
      <c r="A465" s="56" t="s">
        <v>458</v>
      </c>
      <c r="B465" s="56"/>
      <c r="C465" s="80"/>
      <c r="D465" s="234" t="s">
        <v>1400</v>
      </c>
      <c r="E465" s="82"/>
      <c r="F465" s="83"/>
      <c r="G465" s="84" t="s">
        <v>1401</v>
      </c>
      <c r="H465" s="85" t="s">
        <v>41</v>
      </c>
      <c r="I465" s="86"/>
      <c r="W465" s="186"/>
      <c r="X465" s="186"/>
      <c r="Y465" s="187"/>
      <c r="Z465" s="188"/>
      <c r="AA465" s="189"/>
      <c r="AB465" s="189"/>
      <c r="AC465" s="189"/>
      <c r="AD465" s="189"/>
      <c r="AE465" s="189"/>
      <c r="AF465" s="190"/>
      <c r="AG465" s="92"/>
      <c r="AH465" s="91"/>
      <c r="AI465" s="209"/>
      <c r="AJ465" s="208"/>
      <c r="AK465" s="79"/>
      <c r="AL465" s="79"/>
    </row>
    <row r="466" spans="1:39" s="56" customFormat="1" ht="60.75" customHeight="1">
      <c r="A466" s="56" t="s">
        <v>458</v>
      </c>
      <c r="B466" s="54" t="s">
        <v>450</v>
      </c>
      <c r="C466" s="155"/>
      <c r="D466" s="260" t="s">
        <v>1402</v>
      </c>
      <c r="E466" s="96" t="s">
        <v>11</v>
      </c>
      <c r="F466" s="99"/>
      <c r="G466" s="99" t="s">
        <v>1403</v>
      </c>
      <c r="H466" s="100"/>
      <c r="I466" s="101" t="s">
        <v>481</v>
      </c>
      <c r="J466" s="87"/>
      <c r="K466" s="87"/>
      <c r="L466" s="87"/>
      <c r="M466" s="87"/>
      <c r="N466" s="87"/>
      <c r="O466" s="87"/>
      <c r="P466" s="87"/>
      <c r="Q466" s="87"/>
      <c r="R466" s="87"/>
      <c r="S466" s="87"/>
      <c r="T466" s="87"/>
      <c r="U466" s="87"/>
      <c r="V466" s="87"/>
      <c r="W466" s="102"/>
      <c r="X466" s="102"/>
      <c r="Y466" s="96"/>
      <c r="Z466" s="264" t="s">
        <v>504</v>
      </c>
      <c r="AA466" s="99"/>
      <c r="AB466" s="99"/>
      <c r="AC466" s="99"/>
      <c r="AD466" s="99"/>
      <c r="AE466" s="99"/>
      <c r="AF466" s="201"/>
      <c r="AG466" s="162"/>
      <c r="AH466" s="99"/>
      <c r="AI466" s="112" t="s">
        <v>465</v>
      </c>
      <c r="AJ466" s="94"/>
      <c r="AK466" s="119"/>
      <c r="AL466" s="119"/>
      <c r="AM466" s="57"/>
    </row>
    <row r="467" spans="1:39" ht="86.4">
      <c r="A467" s="56" t="s">
        <v>458</v>
      </c>
      <c r="B467" s="56"/>
      <c r="C467" s="80"/>
      <c r="D467" s="234" t="s">
        <v>1404</v>
      </c>
      <c r="E467" s="82"/>
      <c r="F467" s="83"/>
      <c r="G467" s="84" t="s">
        <v>1405</v>
      </c>
      <c r="H467" s="85" t="s">
        <v>41</v>
      </c>
      <c r="I467" s="86"/>
      <c r="W467" s="186"/>
      <c r="X467" s="186"/>
      <c r="Y467" s="187"/>
      <c r="Z467" s="188"/>
      <c r="AA467" s="189"/>
      <c r="AB467" s="189"/>
      <c r="AC467" s="189"/>
      <c r="AD467" s="189"/>
      <c r="AE467" s="189"/>
      <c r="AF467" s="190"/>
      <c r="AG467" s="92"/>
      <c r="AH467" s="91"/>
      <c r="AI467" s="209"/>
      <c r="AJ467" s="219"/>
      <c r="AK467" s="108"/>
      <c r="AL467" s="108"/>
      <c r="AM467" s="54"/>
    </row>
    <row r="468" spans="1:39" s="56" customFormat="1" ht="58.5" customHeight="1">
      <c r="A468" s="56" t="s">
        <v>458</v>
      </c>
      <c r="B468" s="54" t="s">
        <v>540</v>
      </c>
      <c r="C468" s="96"/>
      <c r="D468" s="260" t="s">
        <v>1406</v>
      </c>
      <c r="E468" s="96" t="s">
        <v>11</v>
      </c>
      <c r="F468" s="99"/>
      <c r="G468" s="99" t="s">
        <v>1407</v>
      </c>
      <c r="H468" s="100"/>
      <c r="I468" s="101" t="s">
        <v>481</v>
      </c>
      <c r="J468" s="87"/>
      <c r="K468" s="87"/>
      <c r="L468" s="87"/>
      <c r="M468" s="87"/>
      <c r="N468" s="87"/>
      <c r="O468" s="87"/>
      <c r="P468" s="87"/>
      <c r="Q468" s="87"/>
      <c r="R468" s="87"/>
      <c r="S468" s="87"/>
      <c r="T468" s="87"/>
      <c r="U468" s="87"/>
      <c r="V468" s="87"/>
      <c r="W468" s="102"/>
      <c r="X468" s="102"/>
      <c r="Y468" s="96"/>
      <c r="Z468" s="264" t="s">
        <v>504</v>
      </c>
      <c r="AA468" s="99"/>
      <c r="AB468" s="99"/>
      <c r="AC468" s="99"/>
      <c r="AD468" s="99"/>
      <c r="AE468" s="105"/>
      <c r="AF468" s="201"/>
      <c r="AG468" s="162"/>
      <c r="AH468" s="99"/>
      <c r="AI468" s="112" t="s">
        <v>465</v>
      </c>
      <c r="AJ468" s="94"/>
      <c r="AK468" s="95"/>
      <c r="AL468" s="95"/>
      <c r="AM468" s="57"/>
    </row>
    <row r="469" spans="1:39" ht="28.8">
      <c r="A469" s="56" t="s">
        <v>458</v>
      </c>
      <c r="B469" s="54" t="s">
        <v>540</v>
      </c>
      <c r="D469" s="262" t="s">
        <v>1408</v>
      </c>
      <c r="E469" s="96" t="s">
        <v>11</v>
      </c>
      <c r="F469" s="99"/>
      <c r="G469" s="99" t="s">
        <v>1409</v>
      </c>
      <c r="H469" s="101"/>
      <c r="I469" s="101" t="s">
        <v>481</v>
      </c>
      <c r="W469" s="178"/>
      <c r="X469" s="178"/>
      <c r="Y469" s="122"/>
      <c r="Z469" s="264" t="s">
        <v>504</v>
      </c>
      <c r="AA469" s="181"/>
      <c r="AB469" s="181"/>
      <c r="AC469" s="181"/>
      <c r="AD469" s="181"/>
      <c r="AE469" s="182"/>
      <c r="AF469" s="200"/>
      <c r="AG469" s="162"/>
      <c r="AI469" s="206" t="s">
        <v>465</v>
      </c>
      <c r="AJ469" s="219"/>
      <c r="AK469" s="108"/>
      <c r="AL469" s="108"/>
      <c r="AM469" s="54"/>
    </row>
    <row r="470" spans="1:39" ht="28.8">
      <c r="A470" s="56" t="s">
        <v>458</v>
      </c>
      <c r="D470" s="262" t="s">
        <v>1410</v>
      </c>
      <c r="E470" s="96"/>
      <c r="F470" s="109" t="s">
        <v>102</v>
      </c>
      <c r="G470" s="109" t="s">
        <v>1411</v>
      </c>
      <c r="H470" s="101"/>
      <c r="W470" s="178"/>
      <c r="X470" s="178"/>
      <c r="Y470" s="122"/>
      <c r="Z470" s="264"/>
      <c r="AA470" s="181"/>
      <c r="AB470" s="181"/>
      <c r="AC470" s="181"/>
      <c r="AD470" s="181"/>
      <c r="AE470" s="182"/>
      <c r="AF470" s="200"/>
      <c r="AG470" s="162"/>
      <c r="AI470" s="206"/>
      <c r="AJ470" s="207"/>
      <c r="AK470" s="119"/>
      <c r="AL470" s="119"/>
      <c r="AM470" s="54"/>
    </row>
    <row r="471" spans="1:39" s="56" customFormat="1" ht="34.5" customHeight="1">
      <c r="A471" s="56" t="s">
        <v>458</v>
      </c>
      <c r="B471" s="54" t="s">
        <v>540</v>
      </c>
      <c r="C471" s="96"/>
      <c r="D471" s="260" t="s">
        <v>1412</v>
      </c>
      <c r="E471" s="96" t="s">
        <v>11</v>
      </c>
      <c r="F471" s="99"/>
      <c r="G471" s="99" t="s">
        <v>1413</v>
      </c>
      <c r="H471" s="100"/>
      <c r="I471" s="101" t="s">
        <v>481</v>
      </c>
      <c r="J471" s="87"/>
      <c r="K471" s="87"/>
      <c r="L471" s="87"/>
      <c r="M471" s="87"/>
      <c r="N471" s="87"/>
      <c r="O471" s="87"/>
      <c r="P471" s="87"/>
      <c r="Q471" s="87"/>
      <c r="R471" s="87"/>
      <c r="S471" s="87"/>
      <c r="T471" s="87"/>
      <c r="U471" s="87"/>
      <c r="V471" s="87"/>
      <c r="W471" s="102"/>
      <c r="X471" s="102"/>
      <c r="Y471" s="96"/>
      <c r="Z471" s="264" t="s">
        <v>504</v>
      </c>
      <c r="AA471" s="99"/>
      <c r="AB471" s="99"/>
      <c r="AC471" s="99"/>
      <c r="AD471" s="99"/>
      <c r="AE471" s="105"/>
      <c r="AF471" s="201"/>
      <c r="AG471" s="162"/>
      <c r="AH471" s="99"/>
      <c r="AI471" s="112" t="s">
        <v>465</v>
      </c>
      <c r="AJ471" s="116"/>
      <c r="AK471" s="79"/>
      <c r="AL471" s="79"/>
      <c r="AM471" s="57"/>
    </row>
    <row r="472" spans="1:39" ht="28.8">
      <c r="A472" s="56" t="s">
        <v>458</v>
      </c>
      <c r="B472" s="54" t="s">
        <v>540</v>
      </c>
      <c r="D472" s="262" t="s">
        <v>1414</v>
      </c>
      <c r="E472" s="96" t="s">
        <v>11</v>
      </c>
      <c r="F472" s="99"/>
      <c r="G472" s="99" t="s">
        <v>1415</v>
      </c>
      <c r="H472" s="101"/>
      <c r="I472" s="101" t="s">
        <v>481</v>
      </c>
      <c r="W472" s="178"/>
      <c r="X472" s="178"/>
      <c r="Y472" s="122"/>
      <c r="Z472" s="264" t="s">
        <v>504</v>
      </c>
      <c r="AA472" s="181"/>
      <c r="AB472" s="181"/>
      <c r="AC472" s="181"/>
      <c r="AD472" s="181"/>
      <c r="AE472" s="182"/>
      <c r="AF472" s="200"/>
      <c r="AG472" s="162"/>
      <c r="AI472" s="206" t="s">
        <v>465</v>
      </c>
      <c r="AJ472" s="210"/>
      <c r="AK472" s="85"/>
      <c r="AL472" s="85"/>
    </row>
    <row r="473" spans="1:39" s="56" customFormat="1" ht="60" customHeight="1">
      <c r="A473" s="56" t="s">
        <v>458</v>
      </c>
      <c r="C473" s="80"/>
      <c r="D473" s="81" t="s">
        <v>1416</v>
      </c>
      <c r="E473" s="82"/>
      <c r="F473" s="83"/>
      <c r="G473" s="84" t="s">
        <v>1417</v>
      </c>
      <c r="H473" s="85" t="s">
        <v>41</v>
      </c>
      <c r="I473" s="86"/>
      <c r="J473" s="87"/>
      <c r="K473" s="87"/>
      <c r="L473" s="87"/>
      <c r="M473" s="87"/>
      <c r="N473" s="87"/>
      <c r="O473" s="87"/>
      <c r="P473" s="87"/>
      <c r="Q473" s="87"/>
      <c r="R473" s="87"/>
      <c r="S473" s="87"/>
      <c r="T473" s="87"/>
      <c r="U473" s="87"/>
      <c r="V473" s="87"/>
      <c r="W473" s="88"/>
      <c r="X473" s="88"/>
      <c r="Y473" s="89"/>
      <c r="Z473" s="188"/>
      <c r="AA473" s="91"/>
      <c r="AB473" s="91"/>
      <c r="AC473" s="91"/>
      <c r="AD473" s="91"/>
      <c r="AE473" s="91"/>
      <c r="AF473" s="84"/>
      <c r="AG473" s="92"/>
      <c r="AH473" s="91"/>
      <c r="AI473" s="93"/>
      <c r="AJ473" s="116"/>
      <c r="AK473" s="79"/>
      <c r="AL473" s="79"/>
      <c r="AM473" s="57"/>
    </row>
    <row r="474" spans="1:39" ht="46.2" customHeight="1">
      <c r="A474" s="56" t="s">
        <v>458</v>
      </c>
      <c r="B474" s="54" t="s">
        <v>540</v>
      </c>
      <c r="C474" s="155"/>
      <c r="D474" s="262" t="s">
        <v>1418</v>
      </c>
      <c r="E474" s="122" t="s">
        <v>11</v>
      </c>
      <c r="F474" s="181"/>
      <c r="G474" s="99" t="s">
        <v>1419</v>
      </c>
      <c r="H474" s="101"/>
      <c r="I474" s="101" t="s">
        <v>481</v>
      </c>
      <c r="W474" s="178"/>
      <c r="X474" s="178"/>
      <c r="Y474" s="122"/>
      <c r="Z474" s="265" t="s">
        <v>504</v>
      </c>
      <c r="AA474" s="181"/>
      <c r="AB474" s="181"/>
      <c r="AC474" s="181"/>
      <c r="AD474" s="181"/>
      <c r="AE474" s="182"/>
      <c r="AF474" s="200"/>
      <c r="AG474" s="162"/>
      <c r="AI474" s="206" t="s">
        <v>465</v>
      </c>
      <c r="AJ474" s="210"/>
      <c r="AK474" s="85"/>
      <c r="AL474" s="85"/>
      <c r="AM474" s="54"/>
    </row>
    <row r="475" spans="1:39">
      <c r="A475" s="56" t="s">
        <v>458</v>
      </c>
      <c r="B475" s="56"/>
      <c r="C475" s="80"/>
      <c r="D475" s="234" t="s">
        <v>1420</v>
      </c>
      <c r="E475" s="82"/>
      <c r="F475" s="204"/>
      <c r="G475" s="84" t="s">
        <v>1421</v>
      </c>
      <c r="H475" s="85" t="s">
        <v>41</v>
      </c>
      <c r="I475" s="86"/>
      <c r="W475" s="186"/>
      <c r="X475" s="186"/>
      <c r="Y475" s="187"/>
      <c r="Z475" s="188"/>
      <c r="AA475" s="189"/>
      <c r="AB475" s="189"/>
      <c r="AC475" s="189"/>
      <c r="AD475" s="189"/>
      <c r="AE475" s="189"/>
      <c r="AF475" s="190"/>
      <c r="AG475" s="92"/>
      <c r="AH475" s="91"/>
      <c r="AI475" s="209"/>
      <c r="AJ475" s="208"/>
      <c r="AK475" s="79"/>
      <c r="AL475" s="79"/>
      <c r="AM475" s="54"/>
    </row>
    <row r="476" spans="1:39" s="56" customFormat="1" ht="34.5" customHeight="1">
      <c r="A476" s="56" t="s">
        <v>458</v>
      </c>
      <c r="B476" s="54" t="s">
        <v>540</v>
      </c>
      <c r="C476" s="96"/>
      <c r="D476" s="260" t="s">
        <v>1422</v>
      </c>
      <c r="E476" s="96" t="s">
        <v>11</v>
      </c>
      <c r="F476" s="99"/>
      <c r="G476" s="99" t="s">
        <v>1423</v>
      </c>
      <c r="H476" s="100"/>
      <c r="I476" s="101" t="s">
        <v>481</v>
      </c>
      <c r="J476" s="87"/>
      <c r="K476" s="87"/>
      <c r="L476" s="87"/>
      <c r="M476" s="87"/>
      <c r="N476" s="87"/>
      <c r="O476" s="87"/>
      <c r="P476" s="87"/>
      <c r="Q476" s="87"/>
      <c r="R476" s="87"/>
      <c r="S476" s="87"/>
      <c r="T476" s="87"/>
      <c r="U476" s="87"/>
      <c r="V476" s="87"/>
      <c r="W476" s="102"/>
      <c r="X476" s="102"/>
      <c r="Y476" s="96"/>
      <c r="Z476" s="264" t="s">
        <v>504</v>
      </c>
      <c r="AA476" s="99"/>
      <c r="AB476" s="99"/>
      <c r="AC476" s="99"/>
      <c r="AD476" s="99"/>
      <c r="AE476" s="99"/>
      <c r="AF476" s="105"/>
      <c r="AG476" s="162"/>
      <c r="AH476" s="99"/>
      <c r="AI476" s="112" t="s">
        <v>465</v>
      </c>
      <c r="AJ476" s="94"/>
      <c r="AK476" s="95"/>
      <c r="AL476" s="95"/>
      <c r="AM476" s="57"/>
    </row>
    <row r="477" spans="1:39">
      <c r="A477" s="56" t="s">
        <v>458</v>
      </c>
      <c r="B477" s="56"/>
      <c r="C477" s="80"/>
      <c r="D477" s="234" t="s">
        <v>1424</v>
      </c>
      <c r="E477" s="82"/>
      <c r="F477" s="204"/>
      <c r="G477" s="84" t="s">
        <v>1425</v>
      </c>
      <c r="H477" s="85" t="s">
        <v>41</v>
      </c>
      <c r="I477" s="86"/>
      <c r="W477" s="186"/>
      <c r="X477" s="186"/>
      <c r="Y477" s="187"/>
      <c r="Z477" s="188"/>
      <c r="AA477" s="189"/>
      <c r="AB477" s="189"/>
      <c r="AC477" s="189"/>
      <c r="AD477" s="189"/>
      <c r="AE477" s="189"/>
      <c r="AF477" s="190"/>
      <c r="AG477" s="92"/>
      <c r="AH477" s="91"/>
      <c r="AI477" s="209"/>
      <c r="AJ477" s="219"/>
      <c r="AK477" s="108"/>
      <c r="AL477" s="108"/>
      <c r="AM477" s="54"/>
    </row>
    <row r="478" spans="1:39" s="56" customFormat="1" ht="34.5" customHeight="1">
      <c r="A478" s="56" t="s">
        <v>458</v>
      </c>
      <c r="B478" s="54" t="s">
        <v>540</v>
      </c>
      <c r="C478" s="96"/>
      <c r="D478" s="260" t="s">
        <v>1426</v>
      </c>
      <c r="E478" s="96" t="s">
        <v>11</v>
      </c>
      <c r="F478" s="99"/>
      <c r="G478" s="99" t="s">
        <v>1427</v>
      </c>
      <c r="H478" s="100"/>
      <c r="I478" s="101" t="s">
        <v>481</v>
      </c>
      <c r="J478" s="87"/>
      <c r="K478" s="87"/>
      <c r="L478" s="87"/>
      <c r="M478" s="87"/>
      <c r="N478" s="87"/>
      <c r="O478" s="87"/>
      <c r="P478" s="87"/>
      <c r="Q478" s="87"/>
      <c r="R478" s="87"/>
      <c r="S478" s="87"/>
      <c r="T478" s="87"/>
      <c r="U478" s="87"/>
      <c r="V478" s="87"/>
      <c r="W478" s="102"/>
      <c r="X478" s="102"/>
      <c r="Y478" s="103"/>
      <c r="Z478" s="264" t="s">
        <v>504</v>
      </c>
      <c r="AA478" s="99"/>
      <c r="AB478" s="99"/>
      <c r="AC478" s="99"/>
      <c r="AD478" s="99"/>
      <c r="AE478" s="105"/>
      <c r="AF478" s="105"/>
      <c r="AG478" s="162"/>
      <c r="AH478" s="99"/>
      <c r="AI478" s="112" t="s">
        <v>465</v>
      </c>
      <c r="AJ478" s="94"/>
      <c r="AK478" s="95"/>
      <c r="AL478" s="95"/>
      <c r="AM478" s="57"/>
    </row>
    <row r="479" spans="1:39" ht="57" customHeight="1">
      <c r="A479" s="56" t="s">
        <v>458</v>
      </c>
      <c r="B479" s="56"/>
      <c r="C479" s="80"/>
      <c r="D479" s="234" t="s">
        <v>1428</v>
      </c>
      <c r="E479" s="203"/>
      <c r="F479" s="204" t="s">
        <v>299</v>
      </c>
      <c r="G479" s="84" t="s">
        <v>1429</v>
      </c>
      <c r="H479" s="85" t="s">
        <v>41</v>
      </c>
      <c r="I479" s="86"/>
      <c r="W479" s="186"/>
      <c r="X479" s="186"/>
      <c r="Y479" s="187"/>
      <c r="Z479" s="188"/>
      <c r="AA479" s="189"/>
      <c r="AB479" s="189"/>
      <c r="AC479" s="189"/>
      <c r="AD479" s="189"/>
      <c r="AE479" s="189"/>
      <c r="AF479" s="190"/>
      <c r="AG479" s="92"/>
      <c r="AH479" s="91"/>
      <c r="AI479" s="209"/>
      <c r="AJ479" s="101"/>
      <c r="AL479" s="100"/>
      <c r="AM479" s="54"/>
    </row>
    <row r="480" spans="1:39" s="56" customFormat="1" ht="34.5" customHeight="1">
      <c r="A480" s="56" t="s">
        <v>458</v>
      </c>
      <c r="B480" s="54" t="s">
        <v>999</v>
      </c>
      <c r="C480" s="155"/>
      <c r="D480" s="97" t="s">
        <v>1430</v>
      </c>
      <c r="E480" s="96" t="s">
        <v>11</v>
      </c>
      <c r="F480" s="99"/>
      <c r="G480" s="99" t="s">
        <v>1431</v>
      </c>
      <c r="H480" s="100"/>
      <c r="I480" s="101" t="s">
        <v>481</v>
      </c>
      <c r="J480" s="87"/>
      <c r="K480" s="87"/>
      <c r="L480" s="87"/>
      <c r="M480" s="87"/>
      <c r="N480" s="87"/>
      <c r="O480" s="87"/>
      <c r="P480" s="87"/>
      <c r="Q480" s="87"/>
      <c r="R480" s="87"/>
      <c r="S480" s="87"/>
      <c r="T480" s="87"/>
      <c r="U480" s="87"/>
      <c r="V480" s="87"/>
      <c r="W480" s="102"/>
      <c r="X480" s="102"/>
      <c r="Y480" s="96"/>
      <c r="Z480" s="264" t="s">
        <v>504</v>
      </c>
      <c r="AA480" s="99"/>
      <c r="AB480" s="99"/>
      <c r="AC480" s="99"/>
      <c r="AD480" s="99"/>
      <c r="AE480" s="105"/>
      <c r="AF480" s="201"/>
      <c r="AG480" s="162"/>
      <c r="AH480" s="99"/>
      <c r="AI480" s="112" t="s">
        <v>465</v>
      </c>
      <c r="AJ480" s="94"/>
      <c r="AK480" s="95"/>
      <c r="AL480" s="95"/>
      <c r="AM480" s="57"/>
    </row>
    <row r="481" spans="1:39" s="56" customFormat="1" ht="34.5" customHeight="1">
      <c r="A481" s="56" t="s">
        <v>458</v>
      </c>
      <c r="B481" s="54" t="s">
        <v>999</v>
      </c>
      <c r="C481" s="155"/>
      <c r="D481" s="97" t="s">
        <v>1432</v>
      </c>
      <c r="E481" s="96" t="s">
        <v>11</v>
      </c>
      <c r="F481" s="181"/>
      <c r="G481" s="181" t="s">
        <v>1433</v>
      </c>
      <c r="H481" s="100"/>
      <c r="I481" s="101" t="s">
        <v>481</v>
      </c>
      <c r="J481" s="87"/>
      <c r="K481" s="87"/>
      <c r="L481" s="87"/>
      <c r="M481" s="87"/>
      <c r="N481" s="87"/>
      <c r="O481" s="87"/>
      <c r="P481" s="87"/>
      <c r="Q481" s="87"/>
      <c r="R481" s="87"/>
      <c r="S481" s="87"/>
      <c r="T481" s="87"/>
      <c r="U481" s="87"/>
      <c r="V481" s="87"/>
      <c r="W481" s="178"/>
      <c r="X481" s="178"/>
      <c r="Y481" s="122"/>
      <c r="Z481" s="265"/>
      <c r="AA481" s="181"/>
      <c r="AB481" s="181"/>
      <c r="AC481" s="181"/>
      <c r="AD481" s="181"/>
      <c r="AE481" s="182"/>
      <c r="AF481" s="200"/>
      <c r="AG481" s="162"/>
      <c r="AH481" s="99"/>
      <c r="AI481" s="206" t="s">
        <v>465</v>
      </c>
      <c r="AJ481" s="207"/>
      <c r="AK481" s="95"/>
      <c r="AL481" s="95"/>
      <c r="AM481" s="57"/>
    </row>
    <row r="482" spans="1:39" ht="43.2">
      <c r="A482" s="56" t="s">
        <v>458</v>
      </c>
      <c r="B482" s="56"/>
      <c r="C482" s="80"/>
      <c r="D482" s="234" t="s">
        <v>1434</v>
      </c>
      <c r="E482" s="203"/>
      <c r="F482" s="204"/>
      <c r="G482" s="190" t="s">
        <v>1435</v>
      </c>
      <c r="H482" s="85" t="s">
        <v>41</v>
      </c>
      <c r="I482" s="86"/>
      <c r="W482" s="186"/>
      <c r="X482" s="186"/>
      <c r="Y482" s="187"/>
      <c r="Z482" s="188"/>
      <c r="AA482" s="189"/>
      <c r="AB482" s="189"/>
      <c r="AC482" s="189"/>
      <c r="AD482" s="189"/>
      <c r="AE482" s="189"/>
      <c r="AF482" s="190"/>
      <c r="AG482" s="92"/>
      <c r="AH482" s="91"/>
      <c r="AI482" s="209"/>
      <c r="AJ482" s="101"/>
      <c r="AL482" s="100"/>
      <c r="AM482" s="54"/>
    </row>
    <row r="483" spans="1:39" s="56" customFormat="1" ht="36" customHeight="1">
      <c r="A483" s="56" t="s">
        <v>458</v>
      </c>
      <c r="B483" s="54" t="s">
        <v>999</v>
      </c>
      <c r="C483" s="96"/>
      <c r="D483" s="97" t="s">
        <v>1436</v>
      </c>
      <c r="E483" s="96" t="s">
        <v>11</v>
      </c>
      <c r="F483" s="98"/>
      <c r="G483" s="99" t="s">
        <v>1437</v>
      </c>
      <c r="H483" s="100"/>
      <c r="I483" s="101" t="s">
        <v>481</v>
      </c>
      <c r="J483" s="87"/>
      <c r="K483" s="87"/>
      <c r="L483" s="87"/>
      <c r="M483" s="87"/>
      <c r="N483" s="87"/>
      <c r="O483" s="87"/>
      <c r="P483" s="87"/>
      <c r="Q483" s="87"/>
      <c r="R483" s="87"/>
      <c r="S483" s="87"/>
      <c r="T483" s="87"/>
      <c r="U483" s="87"/>
      <c r="V483" s="87"/>
      <c r="W483" s="102"/>
      <c r="X483" s="102"/>
      <c r="Y483" s="96"/>
      <c r="Z483" s="264" t="s">
        <v>504</v>
      </c>
      <c r="AA483" s="99"/>
      <c r="AB483" s="99"/>
      <c r="AC483" s="99"/>
      <c r="AD483" s="99"/>
      <c r="AE483" s="105"/>
      <c r="AF483" s="201"/>
      <c r="AG483" s="162"/>
      <c r="AH483" s="99"/>
      <c r="AI483" s="112" t="s">
        <v>465</v>
      </c>
      <c r="AJ483" s="94"/>
      <c r="AK483" s="95"/>
      <c r="AL483" s="95"/>
      <c r="AM483" s="57"/>
    </row>
    <row r="484" spans="1:39" ht="29.7" customHeight="1">
      <c r="A484" s="56" t="s">
        <v>458</v>
      </c>
      <c r="B484" s="54" t="s">
        <v>999</v>
      </c>
      <c r="D484" s="123" t="s">
        <v>1438</v>
      </c>
      <c r="E484" s="96" t="s">
        <v>11</v>
      </c>
      <c r="F484" s="202"/>
      <c r="G484" s="99" t="s">
        <v>1439</v>
      </c>
      <c r="H484" s="101"/>
      <c r="I484" s="101" t="s">
        <v>454</v>
      </c>
      <c r="W484" s="178"/>
      <c r="X484" s="178"/>
      <c r="Y484" s="122"/>
      <c r="Z484" s="180" t="s">
        <v>902</v>
      </c>
      <c r="AA484" s="181"/>
      <c r="AB484" s="181"/>
      <c r="AC484" s="181"/>
      <c r="AD484" s="181"/>
      <c r="AE484" s="182"/>
      <c r="AF484" s="200"/>
      <c r="AG484" s="162"/>
      <c r="AI484" s="206"/>
      <c r="AJ484" s="101"/>
      <c r="AL484" s="100"/>
      <c r="AM484" s="54"/>
    </row>
    <row r="485" spans="1:39" s="56" customFormat="1" ht="80.099999999999994" customHeight="1">
      <c r="A485" s="56" t="s">
        <v>458</v>
      </c>
      <c r="B485" s="54"/>
      <c r="C485" s="96"/>
      <c r="D485" s="97" t="s">
        <v>1440</v>
      </c>
      <c r="E485" s="97"/>
      <c r="F485" s="120" t="s">
        <v>102</v>
      </c>
      <c r="G485" s="121" t="s">
        <v>1441</v>
      </c>
      <c r="H485" s="100"/>
      <c r="I485" s="101"/>
      <c r="J485" s="87"/>
      <c r="K485" s="87"/>
      <c r="L485" s="87"/>
      <c r="M485" s="87"/>
      <c r="N485" s="87"/>
      <c r="O485" s="87"/>
      <c r="P485" s="87"/>
      <c r="Q485" s="87"/>
      <c r="R485" s="87"/>
      <c r="S485" s="87"/>
      <c r="T485" s="87"/>
      <c r="U485" s="87"/>
      <c r="V485" s="87"/>
      <c r="W485" s="102"/>
      <c r="X485" s="102"/>
      <c r="Y485" s="96"/>
      <c r="Z485" s="104"/>
      <c r="AA485" s="99"/>
      <c r="AB485" s="99"/>
      <c r="AC485" s="99"/>
      <c r="AD485" s="99"/>
      <c r="AE485" s="105"/>
      <c r="AF485" s="201"/>
      <c r="AG485" s="162"/>
      <c r="AH485" s="99"/>
      <c r="AI485" s="112"/>
      <c r="AJ485" s="94"/>
      <c r="AK485" s="95"/>
      <c r="AL485" s="95"/>
      <c r="AM485" s="57"/>
    </row>
    <row r="486" spans="1:39" ht="28.8">
      <c r="A486" s="56" t="s">
        <v>458</v>
      </c>
      <c r="B486" s="56"/>
      <c r="C486" s="80"/>
      <c r="D486" s="234" t="s">
        <v>1442</v>
      </c>
      <c r="E486" s="203"/>
      <c r="F486" s="83"/>
      <c r="G486" s="84" t="s">
        <v>1443</v>
      </c>
      <c r="H486" s="85" t="s">
        <v>41</v>
      </c>
      <c r="I486" s="86"/>
      <c r="W486" s="186"/>
      <c r="X486" s="186"/>
      <c r="Y486" s="187"/>
      <c r="Z486" s="188"/>
      <c r="AA486" s="189"/>
      <c r="AB486" s="189"/>
      <c r="AC486" s="189"/>
      <c r="AD486" s="189"/>
      <c r="AE486" s="189"/>
      <c r="AF486" s="190"/>
      <c r="AG486" s="92"/>
      <c r="AH486" s="91"/>
      <c r="AI486" s="209"/>
      <c r="AJ486" s="101"/>
      <c r="AL486" s="100"/>
      <c r="AM486" s="54"/>
    </row>
    <row r="487" spans="1:39" ht="28.8">
      <c r="A487" s="56" t="s">
        <v>458</v>
      </c>
      <c r="B487" s="54" t="s">
        <v>999</v>
      </c>
      <c r="C487" s="155"/>
      <c r="D487" s="123" t="s">
        <v>1444</v>
      </c>
      <c r="E487" s="122" t="s">
        <v>11</v>
      </c>
      <c r="F487" s="98"/>
      <c r="G487" s="99" t="s">
        <v>1445</v>
      </c>
      <c r="H487" s="101"/>
      <c r="I487" s="101" t="s">
        <v>481</v>
      </c>
      <c r="W487" s="178"/>
      <c r="X487" s="178"/>
      <c r="Y487" s="122"/>
      <c r="Z487" s="180" t="s">
        <v>504</v>
      </c>
      <c r="AA487" s="181"/>
      <c r="AB487" s="181"/>
      <c r="AC487" s="181"/>
      <c r="AD487" s="181"/>
      <c r="AE487" s="182"/>
      <c r="AF487" s="200"/>
      <c r="AG487" s="162"/>
      <c r="AI487" s="206"/>
      <c r="AJ487" s="207"/>
      <c r="AK487" s="95"/>
      <c r="AL487" s="95"/>
      <c r="AM487" s="54"/>
    </row>
    <row r="488" spans="1:39" ht="28.8">
      <c r="A488" s="56" t="s">
        <v>458</v>
      </c>
      <c r="B488" s="56"/>
      <c r="C488" s="80"/>
      <c r="D488" s="234" t="s">
        <v>1446</v>
      </c>
      <c r="E488" s="203"/>
      <c r="F488" s="83"/>
      <c r="G488" s="84" t="s">
        <v>1447</v>
      </c>
      <c r="H488" s="85" t="s">
        <v>41</v>
      </c>
      <c r="I488" s="86"/>
      <c r="W488" s="186"/>
      <c r="X488" s="186"/>
      <c r="Y488" s="187"/>
      <c r="Z488" s="188"/>
      <c r="AA488" s="189"/>
      <c r="AB488" s="189"/>
      <c r="AC488" s="189"/>
      <c r="AD488" s="189"/>
      <c r="AE488" s="189"/>
      <c r="AF488" s="190"/>
      <c r="AG488" s="92"/>
      <c r="AH488" s="91"/>
      <c r="AI488" s="209"/>
      <c r="AJ488" s="224"/>
      <c r="AK488" s="56"/>
      <c r="AM488" s="54"/>
    </row>
    <row r="489" spans="1:39" s="56" customFormat="1" ht="45.75" customHeight="1">
      <c r="B489" s="54"/>
      <c r="C489" s="96"/>
      <c r="D489" s="97" t="s">
        <v>1448</v>
      </c>
      <c r="E489" s="96"/>
      <c r="F489" s="98"/>
      <c r="G489" s="99" t="s">
        <v>1449</v>
      </c>
      <c r="H489" s="100"/>
      <c r="I489" s="101" t="s">
        <v>759</v>
      </c>
      <c r="J489" s="87"/>
      <c r="K489" s="87"/>
      <c r="L489" s="87"/>
      <c r="M489" s="87"/>
      <c r="N489" s="87"/>
      <c r="O489" s="87"/>
      <c r="P489" s="87"/>
      <c r="Q489" s="87"/>
      <c r="R489" s="87"/>
      <c r="S489" s="87"/>
      <c r="T489" s="87"/>
      <c r="U489" s="87"/>
      <c r="V489" s="87"/>
      <c r="W489" s="102"/>
      <c r="X489" s="102"/>
      <c r="Y489" s="96"/>
      <c r="Z489" s="104" t="s">
        <v>1450</v>
      </c>
      <c r="AA489" s="99"/>
      <c r="AB489" s="99"/>
      <c r="AC489" s="99"/>
      <c r="AD489" s="99"/>
      <c r="AE489" s="105"/>
      <c r="AF489" s="201"/>
      <c r="AG489" s="162"/>
      <c r="AH489" s="99"/>
      <c r="AI489" s="112"/>
      <c r="AJ489" s="94"/>
      <c r="AK489" s="95"/>
      <c r="AL489" s="95"/>
      <c r="AM489" s="57"/>
    </row>
    <row r="490" spans="1:39" ht="43.2">
      <c r="A490" s="56" t="s">
        <v>458</v>
      </c>
      <c r="B490" s="56"/>
      <c r="C490" s="80"/>
      <c r="D490" s="234" t="s">
        <v>1451</v>
      </c>
      <c r="E490" s="203"/>
      <c r="F490" s="83"/>
      <c r="G490" s="84" t="s">
        <v>1452</v>
      </c>
      <c r="H490" s="85" t="s">
        <v>41</v>
      </c>
      <c r="I490" s="86"/>
      <c r="W490" s="186"/>
      <c r="X490" s="186"/>
      <c r="Y490" s="187"/>
      <c r="Z490" s="188"/>
      <c r="AA490" s="189"/>
      <c r="AB490" s="189"/>
      <c r="AC490" s="189"/>
      <c r="AD490" s="189"/>
      <c r="AE490" s="189"/>
      <c r="AF490" s="190"/>
      <c r="AG490" s="92"/>
      <c r="AH490" s="91"/>
      <c r="AI490" s="209"/>
      <c r="AJ490" s="101"/>
      <c r="AL490" s="100"/>
      <c r="AM490" s="54"/>
    </row>
    <row r="491" spans="1:39" s="56" customFormat="1" ht="54" customHeight="1">
      <c r="A491" s="56" t="s">
        <v>458</v>
      </c>
      <c r="B491" s="54" t="s">
        <v>450</v>
      </c>
      <c r="C491" s="155"/>
      <c r="D491" s="97" t="s">
        <v>1453</v>
      </c>
      <c r="E491" s="96" t="s">
        <v>11</v>
      </c>
      <c r="F491" s="98"/>
      <c r="G491" s="99" t="s">
        <v>1454</v>
      </c>
      <c r="H491" s="100"/>
      <c r="I491" s="101" t="s">
        <v>454</v>
      </c>
      <c r="J491" s="87"/>
      <c r="K491" s="87"/>
      <c r="L491" s="87"/>
      <c r="M491" s="87"/>
      <c r="N491" s="87"/>
      <c r="O491" s="87"/>
      <c r="P491" s="87"/>
      <c r="Q491" s="87"/>
      <c r="R491" s="87"/>
      <c r="S491" s="87"/>
      <c r="T491" s="87"/>
      <c r="U491" s="87"/>
      <c r="V491" s="87"/>
      <c r="W491" s="102"/>
      <c r="X491" s="102"/>
      <c r="Y491" s="96"/>
      <c r="Z491" s="104" t="s">
        <v>824</v>
      </c>
      <c r="AA491" s="99"/>
      <c r="AB491" s="99"/>
      <c r="AC491" s="99"/>
      <c r="AD491" s="99"/>
      <c r="AE491" s="99"/>
      <c r="AF491" s="105"/>
      <c r="AG491" s="162"/>
      <c r="AH491" s="99"/>
      <c r="AI491" s="112"/>
      <c r="AJ491" s="94"/>
      <c r="AK491" s="95"/>
      <c r="AL491" s="95"/>
      <c r="AM491" s="57"/>
    </row>
    <row r="492" spans="1:39">
      <c r="A492" s="56" t="s">
        <v>458</v>
      </c>
      <c r="B492" s="54" t="s">
        <v>172</v>
      </c>
      <c r="C492" s="267"/>
      <c r="D492" s="268" t="s">
        <v>1455</v>
      </c>
      <c r="E492" s="96" t="s">
        <v>17</v>
      </c>
      <c r="F492" s="98"/>
      <c r="G492" s="98" t="s">
        <v>1456</v>
      </c>
      <c r="H492" s="269"/>
      <c r="I492" s="101" t="s">
        <v>172</v>
      </c>
      <c r="W492" s="178"/>
      <c r="X492" s="178"/>
      <c r="Y492" s="122"/>
      <c r="Z492" s="202"/>
      <c r="AA492" s="181"/>
      <c r="AB492" s="181"/>
      <c r="AC492" s="181"/>
      <c r="AD492" s="181"/>
      <c r="AE492" s="181"/>
      <c r="AF492" s="182"/>
      <c r="AG492" s="162"/>
      <c r="AI492" s="270"/>
      <c r="AJ492" s="101"/>
      <c r="AL492" s="100"/>
      <c r="AM492" s="54"/>
    </row>
    <row r="493" spans="1:39" s="56" customFormat="1" ht="61.2" customHeight="1">
      <c r="A493" s="56" t="s">
        <v>458</v>
      </c>
      <c r="C493" s="80"/>
      <c r="D493" s="81" t="s">
        <v>1457</v>
      </c>
      <c r="E493" s="82"/>
      <c r="F493" s="83"/>
      <c r="G493" s="84" t="s">
        <v>1458</v>
      </c>
      <c r="H493" s="85" t="s">
        <v>41</v>
      </c>
      <c r="I493" s="86"/>
      <c r="J493" s="87"/>
      <c r="K493" s="87"/>
      <c r="L493" s="87"/>
      <c r="M493" s="87"/>
      <c r="N493" s="87"/>
      <c r="O493" s="87"/>
      <c r="P493" s="87"/>
      <c r="Q493" s="87"/>
      <c r="R493" s="87"/>
      <c r="S493" s="87"/>
      <c r="T493" s="87"/>
      <c r="U493" s="87"/>
      <c r="V493" s="87"/>
      <c r="W493" s="88"/>
      <c r="X493" s="88"/>
      <c r="Y493" s="89"/>
      <c r="Z493" s="90"/>
      <c r="AA493" s="91"/>
      <c r="AB493" s="91"/>
      <c r="AC493" s="91"/>
      <c r="AD493" s="91"/>
      <c r="AE493" s="91"/>
      <c r="AF493" s="84"/>
      <c r="AG493" s="92"/>
      <c r="AH493" s="91"/>
      <c r="AI493" s="93"/>
      <c r="AJ493" s="94"/>
      <c r="AK493" s="95"/>
      <c r="AL493" s="95"/>
      <c r="AM493" s="57"/>
    </row>
    <row r="494" spans="1:39" ht="28.8">
      <c r="A494" s="56" t="s">
        <v>458</v>
      </c>
      <c r="B494" s="54" t="s">
        <v>948</v>
      </c>
      <c r="D494" s="123" t="s">
        <v>1459</v>
      </c>
      <c r="E494" s="122" t="s">
        <v>11</v>
      </c>
      <c r="F494" s="98"/>
      <c r="G494" s="109" t="s">
        <v>1460</v>
      </c>
      <c r="H494" s="101"/>
      <c r="I494" s="101" t="s">
        <v>454</v>
      </c>
      <c r="W494" s="178"/>
      <c r="X494" s="178"/>
      <c r="Y494" s="122"/>
      <c r="Z494" s="180" t="s">
        <v>1461</v>
      </c>
      <c r="AA494" s="181"/>
      <c r="AB494" s="181"/>
      <c r="AC494" s="181"/>
      <c r="AD494" s="181"/>
      <c r="AE494" s="182"/>
      <c r="AF494" s="200"/>
      <c r="AG494" s="162"/>
      <c r="AI494" s="206"/>
      <c r="AJ494" s="101"/>
      <c r="AL494" s="100"/>
      <c r="AM494" s="54"/>
    </row>
    <row r="495" spans="1:39" ht="30" customHeight="1">
      <c r="A495" s="56" t="s">
        <v>458</v>
      </c>
      <c r="B495" s="54" t="s">
        <v>999</v>
      </c>
      <c r="D495" s="123" t="s">
        <v>1462</v>
      </c>
      <c r="E495" s="122" t="s">
        <v>11</v>
      </c>
      <c r="F495" s="98"/>
      <c r="G495" s="109" t="s">
        <v>1463</v>
      </c>
      <c r="H495" s="101"/>
      <c r="I495" s="101" t="s">
        <v>454</v>
      </c>
      <c r="W495" s="178"/>
      <c r="X495" s="178"/>
      <c r="Y495" s="122"/>
      <c r="Z495" s="180" t="s">
        <v>510</v>
      </c>
      <c r="AA495" s="181"/>
      <c r="AB495" s="181"/>
      <c r="AC495" s="181"/>
      <c r="AD495" s="181"/>
      <c r="AE495" s="182"/>
      <c r="AF495" s="200"/>
      <c r="AG495" s="162"/>
      <c r="AI495" s="206"/>
      <c r="AJ495" s="224"/>
      <c r="AK495" s="56"/>
      <c r="AM495" s="54"/>
    </row>
    <row r="496" spans="1:39" s="56" customFormat="1" ht="82.5" customHeight="1">
      <c r="A496" s="56" t="s">
        <v>458</v>
      </c>
      <c r="C496" s="96"/>
      <c r="D496" s="97" t="s">
        <v>1464</v>
      </c>
      <c r="E496" s="97"/>
      <c r="F496" s="120" t="s">
        <v>1350</v>
      </c>
      <c r="G496" s="121" t="s">
        <v>1465</v>
      </c>
      <c r="H496" s="100"/>
      <c r="I496" s="101"/>
      <c r="J496" s="87"/>
      <c r="K496" s="87"/>
      <c r="L496" s="87"/>
      <c r="M496" s="87"/>
      <c r="N496" s="87"/>
      <c r="O496" s="87"/>
      <c r="P496" s="87"/>
      <c r="Q496" s="87"/>
      <c r="R496" s="87"/>
      <c r="S496" s="87"/>
      <c r="T496" s="87"/>
      <c r="U496" s="87"/>
      <c r="V496" s="87"/>
      <c r="W496" s="102"/>
      <c r="X496" s="102"/>
      <c r="Y496" s="96"/>
      <c r="Z496" s="104"/>
      <c r="AA496" s="99"/>
      <c r="AB496" s="99"/>
      <c r="AC496" s="99"/>
      <c r="AD496" s="99"/>
      <c r="AE496" s="105"/>
      <c r="AF496" s="201"/>
      <c r="AG496" s="162"/>
      <c r="AH496" s="99"/>
      <c r="AI496" s="112"/>
      <c r="AJ496" s="116"/>
      <c r="AM496" s="57"/>
    </row>
    <row r="497" spans="1:39" ht="28.8">
      <c r="A497" s="56" t="s">
        <v>458</v>
      </c>
      <c r="B497" s="56"/>
      <c r="C497" s="80"/>
      <c r="D497" s="234" t="s">
        <v>1466</v>
      </c>
      <c r="E497" s="203"/>
      <c r="F497" s="204"/>
      <c r="G497" s="84" t="s">
        <v>1467</v>
      </c>
      <c r="H497" s="85" t="s">
        <v>41</v>
      </c>
      <c r="I497" s="86"/>
      <c r="W497" s="186"/>
      <c r="X497" s="186"/>
      <c r="Y497" s="187"/>
      <c r="Z497" s="188"/>
      <c r="AA497" s="189"/>
      <c r="AB497" s="189"/>
      <c r="AC497" s="189"/>
      <c r="AD497" s="189"/>
      <c r="AE497" s="189"/>
      <c r="AF497" s="190"/>
      <c r="AG497" s="92"/>
      <c r="AH497" s="91"/>
      <c r="AI497" s="209"/>
      <c r="AJ497" s="219"/>
      <c r="AK497" s="108"/>
      <c r="AL497" s="108"/>
      <c r="AM497" s="54"/>
    </row>
    <row r="498" spans="1:39" ht="28.8">
      <c r="A498" s="56" t="s">
        <v>458</v>
      </c>
      <c r="B498" s="54" t="s">
        <v>948</v>
      </c>
      <c r="C498" s="155"/>
      <c r="D498" s="123" t="s">
        <v>1468</v>
      </c>
      <c r="E498" s="122" t="s">
        <v>11</v>
      </c>
      <c r="F498" s="181"/>
      <c r="G498" s="99" t="s">
        <v>1469</v>
      </c>
      <c r="H498" s="101"/>
      <c r="I498" s="101" t="s">
        <v>481</v>
      </c>
      <c r="W498" s="178"/>
      <c r="X498" s="178"/>
      <c r="Y498" s="122"/>
      <c r="Z498" s="180" t="s">
        <v>504</v>
      </c>
      <c r="AA498" s="181"/>
      <c r="AB498" s="181"/>
      <c r="AC498" s="181"/>
      <c r="AD498" s="181"/>
      <c r="AE498" s="181"/>
      <c r="AF498" s="182"/>
      <c r="AG498" s="162"/>
      <c r="AI498" s="206"/>
      <c r="AJ498" s="208"/>
      <c r="AK498" s="79"/>
      <c r="AL498" s="79"/>
      <c r="AM498" s="54"/>
    </row>
    <row r="499" spans="1:39" ht="28.8">
      <c r="A499" s="56" t="s">
        <v>458</v>
      </c>
      <c r="B499" s="56"/>
      <c r="C499" s="80"/>
      <c r="D499" s="234" t="s">
        <v>1470</v>
      </c>
      <c r="E499" s="203"/>
      <c r="F499" s="204" t="s">
        <v>1471</v>
      </c>
      <c r="G499" s="84" t="s">
        <v>1472</v>
      </c>
      <c r="H499" s="85" t="s">
        <v>41</v>
      </c>
      <c r="I499" s="86"/>
      <c r="W499" s="186"/>
      <c r="X499" s="186"/>
      <c r="Y499" s="187"/>
      <c r="Z499" s="188"/>
      <c r="AA499" s="189"/>
      <c r="AB499" s="189"/>
      <c r="AC499" s="189"/>
      <c r="AD499" s="189"/>
      <c r="AE499" s="189"/>
      <c r="AF499" s="190"/>
      <c r="AG499" s="92"/>
      <c r="AH499" s="91"/>
      <c r="AI499" s="209"/>
      <c r="AJ499" s="208"/>
      <c r="AK499" s="79"/>
      <c r="AL499" s="79"/>
      <c r="AM499" s="54"/>
    </row>
    <row r="500" spans="1:39" s="56" customFormat="1" ht="34.5" customHeight="1">
      <c r="A500" s="56" t="s">
        <v>458</v>
      </c>
      <c r="B500" s="54" t="s">
        <v>540</v>
      </c>
      <c r="C500" s="96"/>
      <c r="D500" s="238" t="s">
        <v>1473</v>
      </c>
      <c r="E500" s="96" t="s">
        <v>11</v>
      </c>
      <c r="F500" s="99"/>
      <c r="G500" s="99" t="s">
        <v>1474</v>
      </c>
      <c r="H500" s="100"/>
      <c r="I500" s="101" t="s">
        <v>481</v>
      </c>
      <c r="J500" s="87"/>
      <c r="K500" s="87"/>
      <c r="L500" s="87"/>
      <c r="M500" s="87"/>
      <c r="N500" s="87"/>
      <c r="O500" s="87"/>
      <c r="P500" s="87"/>
      <c r="Q500" s="87"/>
      <c r="R500" s="87"/>
      <c r="S500" s="87"/>
      <c r="T500" s="87"/>
      <c r="U500" s="87"/>
      <c r="V500" s="87"/>
      <c r="W500" s="102"/>
      <c r="X500" s="102"/>
      <c r="Y500" s="96"/>
      <c r="Z500" s="104" t="s">
        <v>504</v>
      </c>
      <c r="AA500" s="99"/>
      <c r="AB500" s="99"/>
      <c r="AC500" s="99"/>
      <c r="AD500" s="99"/>
      <c r="AE500" s="99"/>
      <c r="AF500" s="201"/>
      <c r="AG500" s="162"/>
      <c r="AH500" s="99"/>
      <c r="AI500" s="112"/>
      <c r="AJ500" s="116"/>
      <c r="AK500" s="79"/>
      <c r="AL500" s="79"/>
      <c r="AM500" s="57"/>
    </row>
    <row r="501" spans="1:39">
      <c r="A501" s="56" t="s">
        <v>458</v>
      </c>
      <c r="B501" s="54" t="s">
        <v>540</v>
      </c>
      <c r="D501" s="268" t="s">
        <v>1475</v>
      </c>
      <c r="E501" s="96" t="s">
        <v>11</v>
      </c>
      <c r="F501" s="181"/>
      <c r="G501" s="99" t="s">
        <v>1476</v>
      </c>
      <c r="H501" s="101"/>
      <c r="I501" s="101" t="s">
        <v>481</v>
      </c>
      <c r="W501" s="178"/>
      <c r="X501" s="178"/>
      <c r="Y501" s="122"/>
      <c r="Z501" s="264" t="s">
        <v>504</v>
      </c>
      <c r="AA501" s="181"/>
      <c r="AB501" s="181"/>
      <c r="AC501" s="181"/>
      <c r="AD501" s="181"/>
      <c r="AE501" s="181"/>
      <c r="AF501" s="200"/>
      <c r="AG501" s="162"/>
      <c r="AI501" s="206"/>
      <c r="AJ501" s="219"/>
      <c r="AK501" s="108"/>
      <c r="AL501" s="108"/>
      <c r="AM501" s="54"/>
    </row>
    <row r="502" spans="1:39" s="56" customFormat="1" ht="42" customHeight="1">
      <c r="A502" s="56" t="s">
        <v>458</v>
      </c>
      <c r="C502" s="80"/>
      <c r="D502" s="81" t="s">
        <v>1477</v>
      </c>
      <c r="E502" s="82"/>
      <c r="F502" s="83"/>
      <c r="G502" s="84" t="s">
        <v>1478</v>
      </c>
      <c r="H502" s="85" t="s">
        <v>41</v>
      </c>
      <c r="I502" s="86"/>
      <c r="J502" s="87"/>
      <c r="K502" s="87"/>
      <c r="L502" s="87"/>
      <c r="M502" s="87"/>
      <c r="N502" s="87"/>
      <c r="O502" s="87"/>
      <c r="P502" s="87"/>
      <c r="Q502" s="87"/>
      <c r="R502" s="87"/>
      <c r="S502" s="87"/>
      <c r="T502" s="87"/>
      <c r="U502" s="87"/>
      <c r="V502" s="87"/>
      <c r="W502" s="88"/>
      <c r="X502" s="88"/>
      <c r="Y502" s="89"/>
      <c r="Z502" s="90"/>
      <c r="AA502" s="91"/>
      <c r="AB502" s="91"/>
      <c r="AC502" s="91"/>
      <c r="AD502" s="91"/>
      <c r="AE502" s="91"/>
      <c r="AF502" s="84"/>
      <c r="AG502" s="92"/>
      <c r="AH502" s="91"/>
      <c r="AI502" s="93"/>
      <c r="AJ502" s="116"/>
      <c r="AK502" s="79"/>
      <c r="AL502" s="79"/>
      <c r="AM502" s="57"/>
    </row>
    <row r="503" spans="1:39">
      <c r="A503" s="56" t="s">
        <v>458</v>
      </c>
      <c r="B503" s="54" t="s">
        <v>540</v>
      </c>
      <c r="C503" s="267"/>
      <c r="D503" s="268" t="s">
        <v>1479</v>
      </c>
      <c r="E503" s="122" t="s">
        <v>11</v>
      </c>
      <c r="F503" s="202"/>
      <c r="G503" s="99" t="s">
        <v>1480</v>
      </c>
      <c r="H503" s="269"/>
      <c r="I503" s="101" t="s">
        <v>481</v>
      </c>
      <c r="W503" s="178"/>
      <c r="X503" s="178"/>
      <c r="Y503" s="122"/>
      <c r="Z503" s="265" t="s">
        <v>504</v>
      </c>
      <c r="AA503" s="181"/>
      <c r="AB503" s="181"/>
      <c r="AC503" s="181"/>
      <c r="AD503" s="181"/>
      <c r="AE503" s="181"/>
      <c r="AF503" s="182"/>
      <c r="AG503" s="162"/>
      <c r="AI503" s="270"/>
      <c r="AJ503" s="219"/>
      <c r="AK503" s="108"/>
      <c r="AL503" s="108"/>
      <c r="AM503" s="54"/>
    </row>
    <row r="504" spans="1:39">
      <c r="A504" s="56" t="s">
        <v>458</v>
      </c>
      <c r="B504" s="54" t="s">
        <v>540</v>
      </c>
      <c r="C504" s="267"/>
      <c r="D504" s="268" t="s">
        <v>1481</v>
      </c>
      <c r="E504" s="122" t="s">
        <v>11</v>
      </c>
      <c r="F504" s="202"/>
      <c r="G504" s="99" t="s">
        <v>1482</v>
      </c>
      <c r="H504" s="269"/>
      <c r="I504" s="101" t="s">
        <v>481</v>
      </c>
      <c r="W504" s="178"/>
      <c r="X504" s="178"/>
      <c r="Y504" s="122"/>
      <c r="Z504" s="265" t="s">
        <v>504</v>
      </c>
      <c r="AA504" s="181"/>
      <c r="AB504" s="181"/>
      <c r="AC504" s="181"/>
      <c r="AD504" s="181"/>
      <c r="AE504" s="181"/>
      <c r="AF504" s="182"/>
      <c r="AG504" s="162"/>
      <c r="AI504" s="270"/>
      <c r="AJ504" s="208"/>
      <c r="AK504" s="79"/>
      <c r="AL504" s="79"/>
      <c r="AM504" s="54"/>
    </row>
    <row r="505" spans="1:39" s="56" customFormat="1" ht="63" customHeight="1">
      <c r="A505" s="56" t="s">
        <v>458</v>
      </c>
      <c r="C505" s="80"/>
      <c r="D505" s="81" t="s">
        <v>1483</v>
      </c>
      <c r="E505" s="82"/>
      <c r="F505" s="83"/>
      <c r="G505" s="84" t="s">
        <v>1484</v>
      </c>
      <c r="H505" s="85" t="s">
        <v>41</v>
      </c>
      <c r="I505" s="86"/>
      <c r="J505" s="87"/>
      <c r="K505" s="87"/>
      <c r="L505" s="87"/>
      <c r="M505" s="87"/>
      <c r="N505" s="87"/>
      <c r="O505" s="87"/>
      <c r="P505" s="87"/>
      <c r="Q505" s="87"/>
      <c r="R505" s="87"/>
      <c r="S505" s="87"/>
      <c r="T505" s="87"/>
      <c r="U505" s="87"/>
      <c r="V505" s="87"/>
      <c r="W505" s="88"/>
      <c r="X505" s="88"/>
      <c r="Y505" s="89"/>
      <c r="Z505" s="90"/>
      <c r="AA505" s="91"/>
      <c r="AB505" s="91"/>
      <c r="AC505" s="91"/>
      <c r="AD505" s="91"/>
      <c r="AE505" s="91"/>
      <c r="AF505" s="84"/>
      <c r="AG505" s="92"/>
      <c r="AH505" s="91"/>
      <c r="AI505" s="93"/>
      <c r="AJ505" s="172"/>
      <c r="AL505" s="54"/>
      <c r="AM505" s="57"/>
    </row>
    <row r="506" spans="1:39" ht="25.2" customHeight="1">
      <c r="A506" s="56"/>
      <c r="C506" s="267"/>
      <c r="D506" s="268" t="s">
        <v>1485</v>
      </c>
      <c r="E506" s="122"/>
      <c r="F506" s="98"/>
      <c r="G506" s="98" t="s">
        <v>1486</v>
      </c>
      <c r="H506" s="271"/>
      <c r="I506" s="101" t="s">
        <v>759</v>
      </c>
      <c r="W506" s="178"/>
      <c r="X506" s="178"/>
      <c r="Y506" s="122"/>
      <c r="Z506" s="272" t="s">
        <v>1487</v>
      </c>
      <c r="AA506" s="181"/>
      <c r="AB506" s="181"/>
      <c r="AC506" s="181"/>
      <c r="AD506" s="181"/>
      <c r="AE506" s="181"/>
      <c r="AF506" s="182"/>
      <c r="AG506" s="162"/>
      <c r="AI506" s="273"/>
      <c r="AJ506" s="219"/>
      <c r="AK506" s="108"/>
      <c r="AL506" s="108"/>
    </row>
    <row r="507" spans="1:39">
      <c r="A507" s="56" t="s">
        <v>458</v>
      </c>
      <c r="B507" s="54" t="s">
        <v>172</v>
      </c>
      <c r="C507" s="155"/>
      <c r="D507" s="123" t="s">
        <v>1488</v>
      </c>
      <c r="E507" s="122" t="s">
        <v>17</v>
      </c>
      <c r="F507" s="98"/>
      <c r="G507" s="99" t="s">
        <v>301</v>
      </c>
      <c r="I507" s="101" t="s">
        <v>172</v>
      </c>
      <c r="W507" s="178"/>
      <c r="X507" s="178"/>
      <c r="Y507" s="122"/>
      <c r="Z507" s="104"/>
      <c r="AA507" s="181"/>
      <c r="AB507" s="181"/>
      <c r="AC507" s="181"/>
      <c r="AD507" s="181"/>
      <c r="AE507" s="181"/>
      <c r="AF507" s="182"/>
      <c r="AG507" s="162"/>
      <c r="AI507" s="112"/>
      <c r="AJ507" s="208"/>
      <c r="AK507" s="79"/>
      <c r="AL507" s="79"/>
    </row>
    <row r="508" spans="1:39" s="56" customFormat="1" ht="60.75" customHeight="1">
      <c r="A508" s="56" t="s">
        <v>458</v>
      </c>
      <c r="C508" s="267"/>
      <c r="D508" s="238" t="s">
        <v>1489</v>
      </c>
      <c r="E508" s="238"/>
      <c r="F508" s="120" t="s">
        <v>1350</v>
      </c>
      <c r="G508" s="120" t="s">
        <v>1490</v>
      </c>
      <c r="H508" s="271"/>
      <c r="I508" s="101" t="s">
        <v>759</v>
      </c>
      <c r="J508" s="87"/>
      <c r="K508" s="87"/>
      <c r="L508" s="87"/>
      <c r="M508" s="87"/>
      <c r="N508" s="87"/>
      <c r="O508" s="87"/>
      <c r="P508" s="87"/>
      <c r="Q508" s="87"/>
      <c r="R508" s="87"/>
      <c r="S508" s="87"/>
      <c r="T508" s="87"/>
      <c r="U508" s="87"/>
      <c r="V508" s="87"/>
      <c r="W508" s="102"/>
      <c r="X508" s="102"/>
      <c r="Y508" s="96"/>
      <c r="Z508" s="98"/>
      <c r="AA508" s="99"/>
      <c r="AB508" s="99"/>
      <c r="AC508" s="99"/>
      <c r="AD508" s="99"/>
      <c r="AE508" s="99"/>
      <c r="AF508" s="105"/>
      <c r="AG508" s="162"/>
      <c r="AH508" s="99"/>
      <c r="AI508" s="273"/>
      <c r="AJ508" s="116"/>
      <c r="AK508" s="79"/>
      <c r="AL508" s="79"/>
      <c r="AM508" s="57"/>
    </row>
    <row r="509" spans="1:39" ht="28.8">
      <c r="A509" s="56" t="s">
        <v>458</v>
      </c>
      <c r="B509" s="56"/>
      <c r="C509" s="80"/>
      <c r="D509" s="234" t="s">
        <v>1491</v>
      </c>
      <c r="E509" s="203"/>
      <c r="F509" s="83" t="s">
        <v>1492</v>
      </c>
      <c r="G509" s="84" t="s">
        <v>1493</v>
      </c>
      <c r="H509" s="85" t="s">
        <v>41</v>
      </c>
      <c r="I509" s="86"/>
      <c r="W509" s="186"/>
      <c r="X509" s="186"/>
      <c r="Y509" s="187"/>
      <c r="Z509" s="90"/>
      <c r="AA509" s="189"/>
      <c r="AB509" s="189"/>
      <c r="AC509" s="189"/>
      <c r="AD509" s="189"/>
      <c r="AE509" s="189"/>
      <c r="AF509" s="190"/>
      <c r="AG509" s="92"/>
      <c r="AH509" s="91"/>
      <c r="AI509" s="93"/>
      <c r="AJ509" s="219"/>
      <c r="AK509" s="108"/>
      <c r="AL509" s="108"/>
    </row>
    <row r="510" spans="1:39" ht="28.8">
      <c r="A510" s="56" t="s">
        <v>458</v>
      </c>
      <c r="B510" s="54" t="s">
        <v>689</v>
      </c>
      <c r="C510" s="267"/>
      <c r="D510" s="274" t="s">
        <v>1494</v>
      </c>
      <c r="E510" s="122" t="s">
        <v>17</v>
      </c>
      <c r="F510" s="98"/>
      <c r="G510" s="99" t="s">
        <v>1495</v>
      </c>
      <c r="H510" s="271"/>
      <c r="I510" s="101" t="s">
        <v>481</v>
      </c>
      <c r="W510" s="178"/>
      <c r="X510" s="178"/>
      <c r="Y510" s="122"/>
      <c r="Z510" s="264" t="s">
        <v>504</v>
      </c>
      <c r="AA510" s="181"/>
      <c r="AB510" s="181"/>
      <c r="AC510" s="181"/>
      <c r="AD510" s="181"/>
      <c r="AE510" s="181"/>
      <c r="AF510" s="200"/>
      <c r="AG510" s="162"/>
      <c r="AI510" s="273"/>
      <c r="AJ510" s="208"/>
      <c r="AK510" s="79"/>
      <c r="AL510" s="79"/>
    </row>
    <row r="511" spans="1:39" ht="22.95" customHeight="1">
      <c r="A511" s="56" t="s">
        <v>458</v>
      </c>
      <c r="B511" s="54" t="s">
        <v>689</v>
      </c>
      <c r="C511" s="267"/>
      <c r="D511" s="274" t="s">
        <v>1496</v>
      </c>
      <c r="E511" s="122" t="s">
        <v>17</v>
      </c>
      <c r="F511" s="98"/>
      <c r="G511" s="99" t="s">
        <v>1497</v>
      </c>
      <c r="H511" s="271"/>
      <c r="I511" s="101" t="s">
        <v>481</v>
      </c>
      <c r="W511" s="178"/>
      <c r="X511" s="178"/>
      <c r="Y511" s="122"/>
      <c r="Z511" s="98" t="s">
        <v>1343</v>
      </c>
      <c r="AA511" s="181"/>
      <c r="AB511" s="181"/>
      <c r="AC511" s="181"/>
      <c r="AD511" s="181"/>
      <c r="AE511" s="181"/>
      <c r="AF511" s="200"/>
      <c r="AG511" s="162"/>
      <c r="AI511" s="273"/>
      <c r="AJ511" s="208"/>
      <c r="AK511" s="79"/>
      <c r="AL511" s="79"/>
    </row>
    <row r="512" spans="1:39" s="56" customFormat="1" ht="48.75" customHeight="1">
      <c r="A512" s="56" t="s">
        <v>458</v>
      </c>
      <c r="B512" s="54"/>
      <c r="C512" s="267"/>
      <c r="D512" s="275" t="s">
        <v>1498</v>
      </c>
      <c r="E512" s="275"/>
      <c r="F512" s="120" t="s">
        <v>102</v>
      </c>
      <c r="G512" s="121" t="s">
        <v>1499</v>
      </c>
      <c r="H512" s="271"/>
      <c r="I512" s="101"/>
      <c r="J512" s="87"/>
      <c r="K512" s="87"/>
      <c r="L512" s="87"/>
      <c r="M512" s="87"/>
      <c r="N512" s="87"/>
      <c r="O512" s="87"/>
      <c r="P512" s="87"/>
      <c r="Q512" s="87"/>
      <c r="R512" s="87"/>
      <c r="S512" s="87"/>
      <c r="T512" s="87"/>
      <c r="U512" s="87"/>
      <c r="V512" s="87"/>
      <c r="W512" s="102"/>
      <c r="X512" s="102"/>
      <c r="Y512" s="96"/>
      <c r="Z512" s="98"/>
      <c r="AA512" s="99"/>
      <c r="AB512" s="99"/>
      <c r="AC512" s="99"/>
      <c r="AD512" s="99"/>
      <c r="AE512" s="99"/>
      <c r="AF512" s="201"/>
      <c r="AG512" s="162"/>
      <c r="AH512" s="99"/>
      <c r="AI512" s="273"/>
      <c r="AJ512" s="116"/>
      <c r="AK512" s="79"/>
      <c r="AL512" s="79"/>
      <c r="AM512" s="57"/>
    </row>
    <row r="513" spans="1:39" ht="28.8">
      <c r="A513" s="56" t="s">
        <v>458</v>
      </c>
      <c r="B513" s="56"/>
      <c r="C513" s="80"/>
      <c r="D513" s="81" t="s">
        <v>1500</v>
      </c>
      <c r="E513" s="82"/>
      <c r="F513" s="83"/>
      <c r="G513" s="84" t="s">
        <v>1501</v>
      </c>
      <c r="H513" s="85" t="s">
        <v>41</v>
      </c>
      <c r="I513" s="86"/>
      <c r="W513" s="186"/>
      <c r="X513" s="186"/>
      <c r="Y513" s="187"/>
      <c r="Z513" s="90"/>
      <c r="AA513" s="189"/>
      <c r="AB513" s="189"/>
      <c r="AC513" s="189"/>
      <c r="AD513" s="189"/>
      <c r="AE513" s="189"/>
      <c r="AF513" s="190"/>
      <c r="AG513" s="92"/>
      <c r="AH513" s="91"/>
      <c r="AI513" s="93"/>
      <c r="AJ513" s="219"/>
      <c r="AL513" s="100"/>
      <c r="AM513" s="54"/>
    </row>
    <row r="514" spans="1:39">
      <c r="A514" s="56" t="s">
        <v>458</v>
      </c>
      <c r="B514" s="54" t="s">
        <v>689</v>
      </c>
      <c r="C514" s="267"/>
      <c r="D514" s="275" t="s">
        <v>1502</v>
      </c>
      <c r="E514" s="96" t="s">
        <v>17</v>
      </c>
      <c r="F514" s="98"/>
      <c r="G514" s="99" t="s">
        <v>1503</v>
      </c>
      <c r="H514" s="271"/>
      <c r="I514" s="101" t="s">
        <v>454</v>
      </c>
      <c r="W514" s="178"/>
      <c r="X514" s="178"/>
      <c r="Y514" s="122"/>
      <c r="Z514" s="272" t="s">
        <v>1504</v>
      </c>
      <c r="AA514" s="181"/>
      <c r="AB514" s="181"/>
      <c r="AC514" s="181"/>
      <c r="AD514" s="181"/>
      <c r="AE514" s="181"/>
      <c r="AF514" s="200"/>
      <c r="AG514" s="162"/>
      <c r="AI514" s="273"/>
      <c r="AJ514" s="208"/>
      <c r="AK514" s="79"/>
      <c r="AL514" s="79"/>
      <c r="AM514" s="54"/>
    </row>
    <row r="515" spans="1:39" ht="28.8">
      <c r="A515" s="56" t="s">
        <v>458</v>
      </c>
      <c r="B515" s="56"/>
      <c r="C515" s="80"/>
      <c r="D515" s="81" t="s">
        <v>1505</v>
      </c>
      <c r="E515" s="82"/>
      <c r="F515" s="83"/>
      <c r="G515" s="84" t="s">
        <v>1506</v>
      </c>
      <c r="H515" s="85" t="s">
        <v>41</v>
      </c>
      <c r="I515" s="86"/>
      <c r="W515" s="186"/>
      <c r="X515" s="186"/>
      <c r="Y515" s="187"/>
      <c r="Z515" s="90"/>
      <c r="AA515" s="189"/>
      <c r="AB515" s="189"/>
      <c r="AC515" s="189"/>
      <c r="AD515" s="189"/>
      <c r="AE515" s="189"/>
      <c r="AF515" s="190"/>
      <c r="AG515" s="92"/>
      <c r="AH515" s="91"/>
      <c r="AI515" s="93"/>
      <c r="AJ515" s="208"/>
      <c r="AK515" s="56"/>
      <c r="AL515" s="56"/>
      <c r="AM515" s="54"/>
    </row>
    <row r="516" spans="1:39" s="56" customFormat="1" ht="34.5" customHeight="1">
      <c r="A516" s="56" t="s">
        <v>458</v>
      </c>
      <c r="B516" s="54" t="s">
        <v>689</v>
      </c>
      <c r="C516" s="267"/>
      <c r="D516" s="275" t="s">
        <v>1507</v>
      </c>
      <c r="E516" s="96" t="s">
        <v>17</v>
      </c>
      <c r="F516" s="98"/>
      <c r="G516" s="98" t="s">
        <v>1508</v>
      </c>
      <c r="H516" s="271"/>
      <c r="I516" s="101" t="s">
        <v>481</v>
      </c>
      <c r="J516" s="87"/>
      <c r="K516" s="87"/>
      <c r="L516" s="87"/>
      <c r="M516" s="87"/>
      <c r="N516" s="87"/>
      <c r="O516" s="87"/>
      <c r="P516" s="87"/>
      <c r="Q516" s="87"/>
      <c r="R516" s="87"/>
      <c r="S516" s="87"/>
      <c r="T516" s="87"/>
      <c r="U516" s="87"/>
      <c r="V516" s="87"/>
      <c r="W516" s="102"/>
      <c r="X516" s="102"/>
      <c r="Y516" s="96"/>
      <c r="Z516" s="264" t="s">
        <v>504</v>
      </c>
      <c r="AA516" s="99"/>
      <c r="AB516" s="99"/>
      <c r="AC516" s="99"/>
      <c r="AD516" s="99"/>
      <c r="AE516" s="105"/>
      <c r="AF516" s="105"/>
      <c r="AG516" s="162"/>
      <c r="AH516" s="99"/>
      <c r="AI516" s="273"/>
      <c r="AJ516" s="116"/>
      <c r="AK516" s="79"/>
      <c r="AL516" s="79"/>
      <c r="AM516" s="57"/>
    </row>
    <row r="517" spans="1:39">
      <c r="A517" s="56" t="s">
        <v>458</v>
      </c>
      <c r="B517" s="54" t="s">
        <v>689</v>
      </c>
      <c r="C517" s="267"/>
      <c r="D517" s="275" t="s">
        <v>1509</v>
      </c>
      <c r="E517" s="96" t="s">
        <v>17</v>
      </c>
      <c r="F517" s="98"/>
      <c r="G517" s="98" t="s">
        <v>1510</v>
      </c>
      <c r="H517" s="271"/>
      <c r="I517" s="101" t="s">
        <v>481</v>
      </c>
      <c r="W517" s="178"/>
      <c r="X517" s="178"/>
      <c r="Y517" s="122"/>
      <c r="Z517" s="98"/>
      <c r="AA517" s="181"/>
      <c r="AB517" s="181"/>
      <c r="AC517" s="181"/>
      <c r="AD517" s="181"/>
      <c r="AE517" s="182"/>
      <c r="AF517" s="182"/>
      <c r="AG517" s="162"/>
      <c r="AI517" s="273"/>
      <c r="AJ517" s="219"/>
      <c r="AL517" s="100"/>
    </row>
    <row r="518" spans="1:39" s="56" customFormat="1" ht="63.75" customHeight="1">
      <c r="A518" s="56" t="s">
        <v>458</v>
      </c>
      <c r="C518" s="80"/>
      <c r="D518" s="81" t="s">
        <v>1511</v>
      </c>
      <c r="E518" s="82"/>
      <c r="F518" s="83" t="s">
        <v>305</v>
      </c>
      <c r="G518" s="84" t="s">
        <v>1512</v>
      </c>
      <c r="H518" s="85" t="s">
        <v>41</v>
      </c>
      <c r="I518" s="86"/>
      <c r="J518" s="87"/>
      <c r="K518" s="87"/>
      <c r="L518" s="87"/>
      <c r="M518" s="87"/>
      <c r="N518" s="87"/>
      <c r="O518" s="87"/>
      <c r="P518" s="87"/>
      <c r="Q518" s="87"/>
      <c r="R518" s="87"/>
      <c r="S518" s="87"/>
      <c r="T518" s="87"/>
      <c r="U518" s="87"/>
      <c r="V518" s="87"/>
      <c r="W518" s="88"/>
      <c r="X518" s="88"/>
      <c r="Y518" s="89"/>
      <c r="Z518" s="90"/>
      <c r="AA518" s="91"/>
      <c r="AB518" s="91"/>
      <c r="AC518" s="91"/>
      <c r="AD518" s="91"/>
      <c r="AE518" s="91"/>
      <c r="AF518" s="84"/>
      <c r="AG518" s="92"/>
      <c r="AH518" s="91"/>
      <c r="AI518" s="93"/>
      <c r="AJ518" s="116"/>
      <c r="AM518" s="57"/>
    </row>
    <row r="519" spans="1:39">
      <c r="A519" s="56" t="s">
        <v>458</v>
      </c>
      <c r="B519" s="54" t="s">
        <v>450</v>
      </c>
      <c r="C519" s="267"/>
      <c r="D519" s="275" t="s">
        <v>1513</v>
      </c>
      <c r="E519" s="96" t="s">
        <v>11</v>
      </c>
      <c r="F519" s="98"/>
      <c r="G519" s="99" t="s">
        <v>1514</v>
      </c>
      <c r="H519" s="271"/>
      <c r="I519" s="101" t="s">
        <v>481</v>
      </c>
      <c r="W519" s="178"/>
      <c r="X519" s="178"/>
      <c r="Y519" s="122"/>
      <c r="Z519" s="264" t="s">
        <v>504</v>
      </c>
      <c r="AA519" s="181"/>
      <c r="AB519" s="181"/>
      <c r="AC519" s="181"/>
      <c r="AD519" s="181"/>
      <c r="AE519" s="182"/>
      <c r="AF519" s="200"/>
      <c r="AG519" s="162"/>
      <c r="AI519" s="273"/>
      <c r="AJ519" s="101"/>
      <c r="AL519" s="100"/>
    </row>
    <row r="520" spans="1:39">
      <c r="A520" s="56" t="s">
        <v>458</v>
      </c>
      <c r="B520" s="54" t="s">
        <v>172</v>
      </c>
      <c r="C520" s="267"/>
      <c r="D520" s="275" t="s">
        <v>306</v>
      </c>
      <c r="E520" s="96" t="s">
        <v>11</v>
      </c>
      <c r="F520" s="98"/>
      <c r="G520" s="99" t="s">
        <v>307</v>
      </c>
      <c r="H520" s="271"/>
      <c r="I520" s="101" t="s">
        <v>172</v>
      </c>
      <c r="W520" s="178"/>
      <c r="X520" s="178"/>
      <c r="Y520" s="122"/>
      <c r="Z520" s="276"/>
      <c r="AA520" s="181"/>
      <c r="AB520" s="181"/>
      <c r="AC520" s="181"/>
      <c r="AD520" s="181"/>
      <c r="AE520" s="182"/>
      <c r="AF520" s="200"/>
      <c r="AG520" s="162"/>
      <c r="AI520" s="273"/>
      <c r="AJ520" s="208"/>
      <c r="AK520" s="56"/>
      <c r="AL520" s="56"/>
    </row>
    <row r="521" spans="1:39" s="56" customFormat="1" ht="55.35" customHeight="1">
      <c r="A521" s="56" t="s">
        <v>458</v>
      </c>
      <c r="C521" s="80"/>
      <c r="D521" s="81" t="s">
        <v>1515</v>
      </c>
      <c r="E521" s="82"/>
      <c r="F521" s="83"/>
      <c r="G521" s="84" t="s">
        <v>1516</v>
      </c>
      <c r="H521" s="85" t="s">
        <v>41</v>
      </c>
      <c r="I521" s="86"/>
      <c r="J521" s="87"/>
      <c r="K521" s="87"/>
      <c r="L521" s="87"/>
      <c r="M521" s="87"/>
      <c r="N521" s="87"/>
      <c r="O521" s="87"/>
      <c r="P521" s="87"/>
      <c r="Q521" s="87"/>
      <c r="R521" s="87"/>
      <c r="S521" s="87"/>
      <c r="T521" s="87"/>
      <c r="U521" s="87"/>
      <c r="V521" s="87"/>
      <c r="W521" s="88"/>
      <c r="X521" s="88"/>
      <c r="Y521" s="89"/>
      <c r="Z521" s="90"/>
      <c r="AA521" s="91"/>
      <c r="AB521" s="91"/>
      <c r="AC521" s="91"/>
      <c r="AD521" s="91"/>
      <c r="AE521" s="91"/>
      <c r="AF521" s="84"/>
      <c r="AG521" s="92"/>
      <c r="AH521" s="91"/>
      <c r="AI521" s="93"/>
      <c r="AJ521" s="116"/>
      <c r="AK521" s="79"/>
      <c r="AL521" s="79"/>
      <c r="AM521" s="57"/>
    </row>
    <row r="522" spans="1:39" ht="28.8">
      <c r="A522" s="56" t="s">
        <v>458</v>
      </c>
      <c r="B522" s="54" t="s">
        <v>450</v>
      </c>
      <c r="C522" s="267"/>
      <c r="D522" s="275" t="s">
        <v>1517</v>
      </c>
      <c r="E522" s="96" t="s">
        <v>11</v>
      </c>
      <c r="F522" s="98"/>
      <c r="G522" s="98" t="s">
        <v>1518</v>
      </c>
      <c r="H522" s="271"/>
      <c r="I522" s="101" t="s">
        <v>454</v>
      </c>
      <c r="W522" s="178"/>
      <c r="X522" s="178"/>
      <c r="Y522" s="122"/>
      <c r="Z522" s="98" t="s">
        <v>1519</v>
      </c>
      <c r="AA522" s="181"/>
      <c r="AB522" s="181"/>
      <c r="AC522" s="181"/>
      <c r="AD522" s="181"/>
      <c r="AE522" s="181"/>
      <c r="AF522" s="200"/>
      <c r="AG522" s="162"/>
      <c r="AI522" s="273"/>
      <c r="AJ522" s="219"/>
      <c r="AL522" s="100"/>
    </row>
    <row r="523" spans="1:39" ht="60" customHeight="1">
      <c r="A523" s="56" t="s">
        <v>458</v>
      </c>
      <c r="B523" s="56"/>
      <c r="C523" s="80"/>
      <c r="D523" s="81" t="s">
        <v>1520</v>
      </c>
      <c r="E523" s="82"/>
      <c r="F523" s="83" t="s">
        <v>310</v>
      </c>
      <c r="G523" s="84" t="s">
        <v>1521</v>
      </c>
      <c r="H523" s="85" t="s">
        <v>41</v>
      </c>
      <c r="I523" s="86"/>
      <c r="W523" s="186"/>
      <c r="X523" s="186"/>
      <c r="Y523" s="187"/>
      <c r="Z523" s="90"/>
      <c r="AA523" s="189"/>
      <c r="AB523" s="189"/>
      <c r="AC523" s="189"/>
      <c r="AD523" s="189"/>
      <c r="AE523" s="189"/>
      <c r="AF523" s="190"/>
      <c r="AG523" s="92"/>
      <c r="AH523" s="91"/>
      <c r="AI523" s="93"/>
      <c r="AJ523" s="208"/>
      <c r="AK523" s="79"/>
      <c r="AL523" s="79"/>
    </row>
    <row r="524" spans="1:39" s="56" customFormat="1" ht="66.599999999999994" customHeight="1">
      <c r="A524" s="56" t="s">
        <v>458</v>
      </c>
      <c r="B524" s="54" t="s">
        <v>948</v>
      </c>
      <c r="C524" s="267"/>
      <c r="D524" s="275" t="s">
        <v>1522</v>
      </c>
      <c r="E524" s="96" t="s">
        <v>11</v>
      </c>
      <c r="F524" s="271"/>
      <c r="G524" s="276" t="s">
        <v>1523</v>
      </c>
      <c r="H524" s="271"/>
      <c r="I524" s="101" t="s">
        <v>454</v>
      </c>
      <c r="J524" s="87"/>
      <c r="K524" s="87"/>
      <c r="L524" s="87"/>
      <c r="M524" s="87"/>
      <c r="N524" s="87"/>
      <c r="O524" s="87"/>
      <c r="P524" s="87"/>
      <c r="Q524" s="87"/>
      <c r="R524" s="87"/>
      <c r="S524" s="87"/>
      <c r="T524" s="87"/>
      <c r="U524" s="87"/>
      <c r="V524" s="87"/>
      <c r="W524" s="102"/>
      <c r="X524" s="102"/>
      <c r="Y524" s="96"/>
      <c r="Z524" s="276" t="s">
        <v>1524</v>
      </c>
      <c r="AA524" s="99"/>
      <c r="AB524" s="99"/>
      <c r="AC524" s="99"/>
      <c r="AD524" s="99"/>
      <c r="AE524" s="99"/>
      <c r="AF524" s="105"/>
      <c r="AG524" s="162"/>
      <c r="AH524" s="99"/>
      <c r="AI524" s="273"/>
      <c r="AJ524" s="172"/>
      <c r="AM524" s="57"/>
    </row>
    <row r="525" spans="1:39" ht="31.35" customHeight="1">
      <c r="A525" s="56" t="s">
        <v>458</v>
      </c>
      <c r="B525" s="54" t="s">
        <v>948</v>
      </c>
      <c r="C525" s="267"/>
      <c r="D525" s="275" t="s">
        <v>1525</v>
      </c>
      <c r="E525" s="96" t="s">
        <v>11</v>
      </c>
      <c r="F525" s="271"/>
      <c r="G525" s="276" t="s">
        <v>1526</v>
      </c>
      <c r="H525" s="271"/>
      <c r="I525" s="101" t="s">
        <v>454</v>
      </c>
      <c r="W525" s="178"/>
      <c r="X525" s="178"/>
      <c r="Y525" s="122"/>
      <c r="Z525" s="276" t="s">
        <v>996</v>
      </c>
      <c r="AA525" s="181"/>
      <c r="AB525" s="181"/>
      <c r="AC525" s="181"/>
      <c r="AD525" s="181"/>
      <c r="AE525" s="181"/>
      <c r="AF525" s="182"/>
      <c r="AG525" s="162"/>
      <c r="AI525" s="273"/>
      <c r="AJ525" s="219"/>
      <c r="AK525" s="108"/>
      <c r="AL525" s="108"/>
      <c r="AM525" s="54"/>
    </row>
    <row r="526" spans="1:39" s="56" customFormat="1" ht="72.599999999999994" customHeight="1">
      <c r="A526" s="56" t="s">
        <v>458</v>
      </c>
      <c r="B526" s="54"/>
      <c r="C526" s="267"/>
      <c r="D526" s="275" t="s">
        <v>1527</v>
      </c>
      <c r="E526" s="275"/>
      <c r="F526" s="277" t="s">
        <v>102</v>
      </c>
      <c r="G526" s="278" t="s">
        <v>1528</v>
      </c>
      <c r="H526" s="271"/>
      <c r="I526" s="101"/>
      <c r="J526" s="87"/>
      <c r="K526" s="87"/>
      <c r="L526" s="87"/>
      <c r="M526" s="87"/>
      <c r="N526" s="87"/>
      <c r="O526" s="87"/>
      <c r="P526" s="87"/>
      <c r="Q526" s="87"/>
      <c r="R526" s="87"/>
      <c r="S526" s="87"/>
      <c r="T526" s="87"/>
      <c r="U526" s="87"/>
      <c r="V526" s="87"/>
      <c r="W526" s="102"/>
      <c r="X526" s="102"/>
      <c r="Y526" s="96"/>
      <c r="Z526" s="276"/>
      <c r="AA526" s="99"/>
      <c r="AB526" s="99"/>
      <c r="AC526" s="99"/>
      <c r="AD526" s="99"/>
      <c r="AE526" s="99"/>
      <c r="AF526" s="105"/>
      <c r="AG526" s="162"/>
      <c r="AH526" s="99"/>
      <c r="AI526" s="273"/>
      <c r="AJ526" s="116"/>
      <c r="AM526" s="57"/>
    </row>
    <row r="527" spans="1:39">
      <c r="A527" s="56" t="s">
        <v>458</v>
      </c>
      <c r="B527" s="54" t="s">
        <v>948</v>
      </c>
      <c r="C527" s="267"/>
      <c r="D527" s="275" t="s">
        <v>1529</v>
      </c>
      <c r="E527" s="96" t="s">
        <v>11</v>
      </c>
      <c r="F527" s="271"/>
      <c r="G527" s="276" t="s">
        <v>1530</v>
      </c>
      <c r="H527" s="271"/>
      <c r="I527" s="101" t="s">
        <v>481</v>
      </c>
      <c r="W527" s="178"/>
      <c r="X527" s="178"/>
      <c r="Y527" s="122"/>
      <c r="Z527" s="276" t="s">
        <v>1343</v>
      </c>
      <c r="AA527" s="181"/>
      <c r="AB527" s="181"/>
      <c r="AC527" s="181"/>
      <c r="AD527" s="181"/>
      <c r="AE527" s="181"/>
      <c r="AF527" s="182"/>
      <c r="AG527" s="162"/>
      <c r="AI527" s="273"/>
      <c r="AJ527" s="219"/>
      <c r="AL527" s="100"/>
    </row>
    <row r="528" spans="1:39">
      <c r="A528" s="56" t="s">
        <v>458</v>
      </c>
      <c r="B528" s="54" t="s">
        <v>948</v>
      </c>
      <c r="C528" s="267"/>
      <c r="D528" s="275" t="s">
        <v>311</v>
      </c>
      <c r="E528" s="96" t="s">
        <v>11</v>
      </c>
      <c r="F528" s="271"/>
      <c r="G528" s="276" t="s">
        <v>312</v>
      </c>
      <c r="H528" s="271"/>
      <c r="I528" s="101" t="s">
        <v>14</v>
      </c>
      <c r="W528" s="178"/>
      <c r="X528" s="178"/>
      <c r="Y528" s="122"/>
      <c r="Z528" s="276"/>
      <c r="AA528" s="181"/>
      <c r="AB528" s="181"/>
      <c r="AC528" s="181"/>
      <c r="AD528" s="181"/>
      <c r="AE528" s="181"/>
      <c r="AF528" s="182"/>
      <c r="AG528" s="162"/>
      <c r="AI528" s="273"/>
      <c r="AJ528" s="208"/>
      <c r="AK528" s="56"/>
      <c r="AL528" s="56"/>
    </row>
    <row r="529" spans="1:39">
      <c r="A529" s="56" t="s">
        <v>458</v>
      </c>
      <c r="B529" s="54" t="s">
        <v>948</v>
      </c>
      <c r="C529" s="267"/>
      <c r="D529" s="275" t="s">
        <v>1531</v>
      </c>
      <c r="E529" s="96" t="s">
        <v>11</v>
      </c>
      <c r="F529" s="271"/>
      <c r="G529" s="276" t="s">
        <v>1532</v>
      </c>
      <c r="H529" s="271"/>
      <c r="I529" s="101" t="s">
        <v>481</v>
      </c>
      <c r="W529" s="178"/>
      <c r="X529" s="178"/>
      <c r="Y529" s="122"/>
      <c r="Z529" s="276" t="s">
        <v>1343</v>
      </c>
      <c r="AA529" s="181"/>
      <c r="AB529" s="181"/>
      <c r="AC529" s="181"/>
      <c r="AD529" s="181"/>
      <c r="AE529" s="181"/>
      <c r="AF529" s="182"/>
      <c r="AG529" s="162"/>
      <c r="AI529" s="273"/>
      <c r="AJ529" s="208"/>
      <c r="AK529" s="56"/>
      <c r="AL529" s="56"/>
    </row>
    <row r="530" spans="1:39" ht="57.6">
      <c r="A530" s="56" t="s">
        <v>458</v>
      </c>
      <c r="B530" s="54" t="s">
        <v>948</v>
      </c>
      <c r="C530" s="267"/>
      <c r="D530" s="275" t="s">
        <v>314</v>
      </c>
      <c r="E530" s="96" t="s">
        <v>11</v>
      </c>
      <c r="F530" s="271"/>
      <c r="G530" s="276" t="s">
        <v>1533</v>
      </c>
      <c r="H530" s="271"/>
      <c r="I530" s="101" t="s">
        <v>454</v>
      </c>
      <c r="W530" s="178"/>
      <c r="X530" s="178"/>
      <c r="Y530" s="122"/>
      <c r="Z530" s="279" t="s">
        <v>1534</v>
      </c>
      <c r="AA530" s="181"/>
      <c r="AB530" s="181"/>
      <c r="AC530" s="181"/>
      <c r="AD530" s="181"/>
      <c r="AE530" s="181"/>
      <c r="AF530" s="182"/>
      <c r="AG530" s="162"/>
      <c r="AI530" s="273"/>
      <c r="AJ530" s="208"/>
      <c r="AK530" s="56"/>
      <c r="AL530" s="56"/>
    </row>
    <row r="531" spans="1:39" ht="31.35" customHeight="1">
      <c r="A531" s="56" t="s">
        <v>458</v>
      </c>
      <c r="B531" s="56"/>
      <c r="C531" s="80"/>
      <c r="D531" s="81" t="s">
        <v>1535</v>
      </c>
      <c r="E531" s="82"/>
      <c r="F531" s="83"/>
      <c r="G531" s="84" t="s">
        <v>1536</v>
      </c>
      <c r="H531" s="85" t="s">
        <v>41</v>
      </c>
      <c r="I531" s="86"/>
      <c r="W531" s="186"/>
      <c r="X531" s="186"/>
      <c r="Y531" s="187"/>
      <c r="Z531" s="90"/>
      <c r="AA531" s="189"/>
      <c r="AB531" s="189"/>
      <c r="AC531" s="189"/>
      <c r="AD531" s="189"/>
      <c r="AE531" s="189"/>
      <c r="AF531" s="190"/>
      <c r="AG531" s="92"/>
      <c r="AH531" s="91"/>
      <c r="AI531" s="93"/>
      <c r="AJ531" s="208"/>
      <c r="AK531" s="56"/>
      <c r="AL531" s="56"/>
    </row>
    <row r="532" spans="1:39" ht="44.25" customHeight="1">
      <c r="A532" s="56" t="s">
        <v>458</v>
      </c>
      <c r="B532" s="54" t="s">
        <v>689</v>
      </c>
      <c r="C532" s="267"/>
      <c r="D532" s="275" t="s">
        <v>1537</v>
      </c>
      <c r="E532" s="96" t="s">
        <v>17</v>
      </c>
      <c r="F532" s="98"/>
      <c r="G532" s="98" t="s">
        <v>1538</v>
      </c>
      <c r="H532" s="271"/>
      <c r="I532" s="101" t="s">
        <v>454</v>
      </c>
      <c r="W532" s="178"/>
      <c r="X532" s="178"/>
      <c r="Y532" s="122"/>
      <c r="Z532" s="98" t="s">
        <v>1539</v>
      </c>
      <c r="AA532" s="181"/>
      <c r="AB532" s="181"/>
      <c r="AC532" s="181"/>
      <c r="AD532" s="181"/>
      <c r="AE532" s="182"/>
      <c r="AF532" s="182"/>
      <c r="AG532" s="162"/>
      <c r="AI532" s="273"/>
      <c r="AJ532" s="208"/>
      <c r="AK532" s="56"/>
      <c r="AL532" s="56"/>
    </row>
    <row r="533" spans="1:39" ht="28.8">
      <c r="A533" s="56" t="s">
        <v>458</v>
      </c>
      <c r="B533" s="56"/>
      <c r="C533" s="80"/>
      <c r="D533" s="81" t="s">
        <v>1540</v>
      </c>
      <c r="E533" s="82"/>
      <c r="F533" s="83"/>
      <c r="G533" s="84" t="s">
        <v>1541</v>
      </c>
      <c r="H533" s="85" t="s">
        <v>41</v>
      </c>
      <c r="I533" s="86"/>
      <c r="W533" s="186"/>
      <c r="X533" s="186"/>
      <c r="Y533" s="187"/>
      <c r="Z533" s="90"/>
      <c r="AA533" s="189"/>
      <c r="AB533" s="189"/>
      <c r="AC533" s="189"/>
      <c r="AD533" s="189"/>
      <c r="AE533" s="189"/>
      <c r="AF533" s="190"/>
      <c r="AG533" s="92"/>
      <c r="AH533" s="91"/>
      <c r="AI533" s="93"/>
      <c r="AJ533" s="208"/>
      <c r="AK533" s="56"/>
      <c r="AL533" s="56"/>
    </row>
    <row r="534" spans="1:39" s="56" customFormat="1" ht="68.099999999999994" customHeight="1">
      <c r="A534" s="56" t="s">
        <v>458</v>
      </c>
      <c r="B534" s="54" t="s">
        <v>1542</v>
      </c>
      <c r="C534" s="96"/>
      <c r="D534" s="275" t="s">
        <v>1543</v>
      </c>
      <c r="E534" s="96" t="s">
        <v>11</v>
      </c>
      <c r="F534" s="100"/>
      <c r="G534" s="99" t="s">
        <v>1544</v>
      </c>
      <c r="H534" s="100"/>
      <c r="I534" s="101" t="s">
        <v>481</v>
      </c>
      <c r="J534" s="87"/>
      <c r="K534" s="87"/>
      <c r="L534" s="87"/>
      <c r="M534" s="87"/>
      <c r="N534" s="87"/>
      <c r="O534" s="87"/>
      <c r="P534" s="87"/>
      <c r="Q534" s="87"/>
      <c r="R534" s="87"/>
      <c r="S534" s="87"/>
      <c r="T534" s="87"/>
      <c r="U534" s="87"/>
      <c r="V534" s="87"/>
      <c r="W534" s="102"/>
      <c r="X534" s="102"/>
      <c r="Y534" s="96"/>
      <c r="Z534" s="264" t="s">
        <v>504</v>
      </c>
      <c r="AA534" s="99"/>
      <c r="AB534" s="99"/>
      <c r="AC534" s="99"/>
      <c r="AD534" s="99"/>
      <c r="AE534" s="99"/>
      <c r="AF534" s="99"/>
      <c r="AG534" s="106"/>
      <c r="AH534" s="99"/>
      <c r="AI534" s="103"/>
      <c r="AJ534" s="116"/>
      <c r="AK534" s="79"/>
      <c r="AL534" s="79"/>
      <c r="AM534" s="57"/>
    </row>
    <row r="535" spans="1:39" ht="58.2" customHeight="1">
      <c r="A535" s="56" t="s">
        <v>458</v>
      </c>
      <c r="B535" s="56"/>
      <c r="C535" s="80"/>
      <c r="D535" s="81" t="s">
        <v>1545</v>
      </c>
      <c r="E535" s="82"/>
      <c r="F535" s="83"/>
      <c r="G535" s="84" t="s">
        <v>1546</v>
      </c>
      <c r="H535" s="85" t="s">
        <v>41</v>
      </c>
      <c r="I535" s="86"/>
      <c r="W535" s="186"/>
      <c r="X535" s="186"/>
      <c r="Y535" s="187"/>
      <c r="Z535" s="90"/>
      <c r="AA535" s="189"/>
      <c r="AB535" s="189"/>
      <c r="AC535" s="189"/>
      <c r="AD535" s="189"/>
      <c r="AE535" s="189"/>
      <c r="AF535" s="190"/>
      <c r="AG535" s="92"/>
      <c r="AH535" s="91"/>
      <c r="AI535" s="93"/>
      <c r="AJ535" s="219"/>
      <c r="AK535" s="108"/>
      <c r="AL535" s="108"/>
      <c r="AM535" s="54"/>
    </row>
    <row r="536" spans="1:39" s="56" customFormat="1" ht="50.25" customHeight="1">
      <c r="A536" s="56" t="s">
        <v>458</v>
      </c>
      <c r="B536" s="54" t="s">
        <v>689</v>
      </c>
      <c r="C536" s="96"/>
      <c r="D536" s="275" t="s">
        <v>1547</v>
      </c>
      <c r="E536" s="96" t="s">
        <v>17</v>
      </c>
      <c r="F536" s="100"/>
      <c r="G536" s="99" t="s">
        <v>1548</v>
      </c>
      <c r="H536" s="100"/>
      <c r="I536" s="101" t="s">
        <v>454</v>
      </c>
      <c r="J536" s="87"/>
      <c r="K536" s="87"/>
      <c r="L536" s="87"/>
      <c r="M536" s="87"/>
      <c r="N536" s="87"/>
      <c r="O536" s="87"/>
      <c r="P536" s="87"/>
      <c r="Q536" s="87"/>
      <c r="R536" s="87"/>
      <c r="S536" s="87"/>
      <c r="T536" s="87"/>
      <c r="U536" s="87"/>
      <c r="V536" s="87"/>
      <c r="W536" s="102"/>
      <c r="X536" s="102"/>
      <c r="Y536" s="96"/>
      <c r="Z536" s="280" t="s">
        <v>1549</v>
      </c>
      <c r="AA536" s="99"/>
      <c r="AB536" s="99"/>
      <c r="AC536" s="99"/>
      <c r="AD536" s="99"/>
      <c r="AE536" s="99"/>
      <c r="AF536" s="99"/>
      <c r="AG536" s="106"/>
      <c r="AH536" s="99"/>
      <c r="AI536" s="103"/>
      <c r="AJ536" s="116"/>
      <c r="AM536" s="57"/>
    </row>
    <row r="537" spans="1:39" ht="45" customHeight="1">
      <c r="A537" s="56" t="s">
        <v>458</v>
      </c>
      <c r="B537" s="54" t="s">
        <v>689</v>
      </c>
      <c r="C537" s="122"/>
      <c r="D537" s="275" t="s">
        <v>1550</v>
      </c>
      <c r="E537" s="96" t="s">
        <v>17</v>
      </c>
      <c r="G537" s="99" t="s">
        <v>1551</v>
      </c>
      <c r="I537" s="101" t="s">
        <v>454</v>
      </c>
      <c r="Z537" s="280" t="s">
        <v>1552</v>
      </c>
      <c r="AJ537" s="108"/>
      <c r="AK537" s="56"/>
      <c r="AL537" s="56"/>
    </row>
    <row r="538" spans="1:39" s="56" customFormat="1" ht="77.25" customHeight="1">
      <c r="C538" s="96"/>
      <c r="D538" s="275" t="s">
        <v>1553</v>
      </c>
      <c r="E538" s="275"/>
      <c r="F538" s="281" t="s">
        <v>102</v>
      </c>
      <c r="G538" s="121" t="s">
        <v>1554</v>
      </c>
      <c r="H538" s="100"/>
      <c r="I538" s="101"/>
      <c r="J538" s="87"/>
      <c r="K538" s="87"/>
      <c r="L538" s="87"/>
      <c r="M538" s="87"/>
      <c r="N538" s="87"/>
      <c r="O538" s="87"/>
      <c r="P538" s="87"/>
      <c r="Q538" s="87"/>
      <c r="R538" s="87"/>
      <c r="S538" s="87"/>
      <c r="T538" s="87"/>
      <c r="U538" s="87"/>
      <c r="V538" s="87"/>
      <c r="W538" s="102"/>
      <c r="X538" s="102"/>
      <c r="Y538" s="96"/>
      <c r="Z538" s="280"/>
      <c r="AA538" s="99"/>
      <c r="AB538" s="99"/>
      <c r="AC538" s="99"/>
      <c r="AD538" s="99"/>
      <c r="AE538" s="99"/>
      <c r="AF538" s="99"/>
      <c r="AG538" s="106"/>
      <c r="AH538" s="99"/>
      <c r="AI538" s="103"/>
      <c r="AJ538" s="116"/>
      <c r="AM538" s="57"/>
    </row>
    <row r="539" spans="1:39" ht="28.8">
      <c r="A539" s="56" t="s">
        <v>458</v>
      </c>
      <c r="B539" s="56"/>
      <c r="C539" s="282"/>
      <c r="D539" s="81" t="s">
        <v>1555</v>
      </c>
      <c r="E539" s="82"/>
      <c r="F539" s="83"/>
      <c r="G539" s="84" t="s">
        <v>1556</v>
      </c>
      <c r="H539" s="85" t="s">
        <v>41</v>
      </c>
      <c r="I539" s="86"/>
      <c r="W539" s="88"/>
      <c r="X539" s="88"/>
      <c r="Y539" s="89"/>
      <c r="Z539" s="90"/>
      <c r="AA539" s="91"/>
      <c r="AB539" s="91"/>
      <c r="AC539" s="91"/>
      <c r="AD539" s="91"/>
      <c r="AE539" s="91"/>
      <c r="AF539" s="84"/>
      <c r="AG539" s="92"/>
      <c r="AH539" s="91"/>
      <c r="AI539" s="93"/>
      <c r="AJ539" s="108"/>
      <c r="AK539" s="79"/>
      <c r="AL539" s="79"/>
    </row>
    <row r="540" spans="1:39">
      <c r="A540" s="56" t="s">
        <v>458</v>
      </c>
      <c r="B540" s="54" t="s">
        <v>948</v>
      </c>
      <c r="C540" s="122"/>
      <c r="D540" s="275" t="s">
        <v>1557</v>
      </c>
      <c r="E540" s="96" t="s">
        <v>11</v>
      </c>
      <c r="G540" s="99" t="s">
        <v>1558</v>
      </c>
      <c r="I540" s="101" t="s">
        <v>481</v>
      </c>
      <c r="Z540" s="264" t="s">
        <v>504</v>
      </c>
      <c r="AJ540" s="172"/>
      <c r="AK540" s="56"/>
      <c r="AL540" s="56"/>
    </row>
    <row r="541" spans="1:39">
      <c r="A541" s="56" t="s">
        <v>458</v>
      </c>
      <c r="B541" s="54" t="s">
        <v>948</v>
      </c>
      <c r="C541" s="122"/>
      <c r="D541" s="275" t="s">
        <v>1559</v>
      </c>
      <c r="E541" s="96" t="s">
        <v>11</v>
      </c>
      <c r="G541" s="99" t="s">
        <v>1560</v>
      </c>
      <c r="I541" s="101" t="s">
        <v>454</v>
      </c>
      <c r="Z541" s="280" t="s">
        <v>902</v>
      </c>
      <c r="AJ541" s="116"/>
      <c r="AK541" s="56"/>
      <c r="AL541" s="56"/>
    </row>
    <row r="542" spans="1:39" s="56" customFormat="1" ht="34.5" customHeight="1">
      <c r="A542" s="56" t="s">
        <v>458</v>
      </c>
      <c r="C542" s="80"/>
      <c r="D542" s="81" t="s">
        <v>1561</v>
      </c>
      <c r="E542" s="82"/>
      <c r="F542" s="83"/>
      <c r="G542" s="84" t="s">
        <v>1562</v>
      </c>
      <c r="H542" s="85" t="s">
        <v>41</v>
      </c>
      <c r="I542" s="86"/>
      <c r="J542" s="87"/>
      <c r="K542" s="87"/>
      <c r="L542" s="87"/>
      <c r="M542" s="87"/>
      <c r="N542" s="87"/>
      <c r="O542" s="87"/>
      <c r="P542" s="87"/>
      <c r="Q542" s="87"/>
      <c r="R542" s="87"/>
      <c r="S542" s="87"/>
      <c r="T542" s="87"/>
      <c r="U542" s="87"/>
      <c r="V542" s="87"/>
      <c r="W542" s="88"/>
      <c r="X542" s="88"/>
      <c r="Y542" s="89"/>
      <c r="Z542" s="90"/>
      <c r="AA542" s="91"/>
      <c r="AB542" s="91"/>
      <c r="AC542" s="91"/>
      <c r="AD542" s="91"/>
      <c r="AE542" s="91"/>
      <c r="AF542" s="84"/>
      <c r="AG542" s="92"/>
      <c r="AH542" s="91"/>
      <c r="AI542" s="93"/>
      <c r="AJ542" s="116"/>
      <c r="AM542" s="57"/>
    </row>
    <row r="543" spans="1:39">
      <c r="A543" s="56" t="s">
        <v>458</v>
      </c>
      <c r="B543" s="54" t="s">
        <v>948</v>
      </c>
      <c r="C543" s="122"/>
      <c r="D543" s="275" t="s">
        <v>1563</v>
      </c>
      <c r="E543" s="96" t="s">
        <v>11</v>
      </c>
      <c r="G543" s="99" t="s">
        <v>1564</v>
      </c>
      <c r="I543" s="101" t="s">
        <v>481</v>
      </c>
      <c r="Z543" s="264" t="s">
        <v>504</v>
      </c>
      <c r="AJ543" s="108"/>
      <c r="AK543" s="79"/>
      <c r="AL543" s="79"/>
    </row>
    <row r="544" spans="1:39" ht="28.35" customHeight="1">
      <c r="A544" s="56" t="s">
        <v>458</v>
      </c>
      <c r="B544" s="54" t="s">
        <v>948</v>
      </c>
      <c r="C544" s="122"/>
      <c r="D544" s="275" t="s">
        <v>1565</v>
      </c>
      <c r="E544" s="96" t="s">
        <v>11</v>
      </c>
      <c r="G544" s="99" t="s">
        <v>1566</v>
      </c>
      <c r="I544" s="101" t="s">
        <v>481</v>
      </c>
      <c r="Z544" s="264" t="s">
        <v>504</v>
      </c>
      <c r="AJ544" s="116"/>
      <c r="AK544" s="79"/>
      <c r="AL544" s="79"/>
    </row>
    <row r="545" spans="1:39" ht="28.35" customHeight="1">
      <c r="A545" s="56" t="s">
        <v>458</v>
      </c>
      <c r="B545" s="54" t="s">
        <v>948</v>
      </c>
      <c r="C545" s="122"/>
      <c r="D545" s="275" t="s">
        <v>317</v>
      </c>
      <c r="E545" s="96" t="s">
        <v>11</v>
      </c>
      <c r="G545" s="99" t="s">
        <v>1567</v>
      </c>
      <c r="I545" s="101" t="s">
        <v>14</v>
      </c>
      <c r="Z545" s="280" t="s">
        <v>996</v>
      </c>
      <c r="AJ545" s="116"/>
      <c r="AK545" s="79"/>
      <c r="AL545" s="79"/>
    </row>
    <row r="546" spans="1:39" s="56" customFormat="1" ht="73.2" customHeight="1">
      <c r="A546" s="56" t="s">
        <v>458</v>
      </c>
      <c r="C546" s="96"/>
      <c r="D546" s="275" t="s">
        <v>1568</v>
      </c>
      <c r="E546" s="275"/>
      <c r="F546" s="281" t="s">
        <v>1350</v>
      </c>
      <c r="G546" s="121" t="s">
        <v>1569</v>
      </c>
      <c r="H546" s="100"/>
      <c r="I546" s="101"/>
      <c r="J546" s="87"/>
      <c r="K546" s="87"/>
      <c r="L546" s="87"/>
      <c r="M546" s="87"/>
      <c r="N546" s="87"/>
      <c r="O546" s="87"/>
      <c r="P546" s="87"/>
      <c r="Q546" s="87"/>
      <c r="R546" s="87"/>
      <c r="S546" s="87"/>
      <c r="T546" s="87"/>
      <c r="U546" s="87"/>
      <c r="V546" s="87"/>
      <c r="W546" s="102"/>
      <c r="X546" s="102"/>
      <c r="Y546" s="96"/>
      <c r="Z546" s="280"/>
      <c r="AA546" s="99"/>
      <c r="AB546" s="99"/>
      <c r="AC546" s="99"/>
      <c r="AD546" s="99"/>
      <c r="AE546" s="99"/>
      <c r="AF546" s="99"/>
      <c r="AG546" s="106"/>
      <c r="AH546" s="99"/>
      <c r="AI546" s="103"/>
      <c r="AJ546" s="116"/>
      <c r="AK546" s="79"/>
      <c r="AL546" s="79"/>
      <c r="AM546" s="57"/>
    </row>
    <row r="547" spans="1:39" ht="49.95" customHeight="1">
      <c r="A547" s="56" t="s">
        <v>458</v>
      </c>
      <c r="B547" s="56"/>
      <c r="C547" s="282"/>
      <c r="D547" s="81" t="s">
        <v>1570</v>
      </c>
      <c r="E547" s="82"/>
      <c r="F547" s="83"/>
      <c r="G547" s="84" t="s">
        <v>1571</v>
      </c>
      <c r="H547" s="85" t="s">
        <v>41</v>
      </c>
      <c r="I547" s="86"/>
      <c r="W547" s="88"/>
      <c r="X547" s="88"/>
      <c r="Y547" s="89"/>
      <c r="Z547" s="90"/>
      <c r="AA547" s="91"/>
      <c r="AB547" s="91"/>
      <c r="AC547" s="91"/>
      <c r="AD547" s="91"/>
      <c r="AE547" s="91"/>
      <c r="AF547" s="84"/>
      <c r="AG547" s="92"/>
      <c r="AH547" s="91"/>
      <c r="AI547" s="93"/>
      <c r="AJ547" s="171"/>
      <c r="AK547" s="185"/>
      <c r="AL547" s="185"/>
    </row>
    <row r="548" spans="1:39" ht="28.8">
      <c r="A548" s="56" t="s">
        <v>458</v>
      </c>
      <c r="C548" s="122"/>
      <c r="D548" s="275" t="s">
        <v>1572</v>
      </c>
      <c r="E548" s="96"/>
      <c r="F548" s="281" t="s">
        <v>1350</v>
      </c>
      <c r="G548" s="121" t="s">
        <v>1573</v>
      </c>
      <c r="AJ548" s="116"/>
      <c r="AK548" s="79"/>
      <c r="AL548" s="79"/>
    </row>
    <row r="549" spans="1:39" ht="30.6" customHeight="1">
      <c r="A549" s="56" t="s">
        <v>458</v>
      </c>
      <c r="B549" s="54" t="s">
        <v>689</v>
      </c>
      <c r="C549" s="122"/>
      <c r="D549" s="275" t="s">
        <v>1574</v>
      </c>
      <c r="E549" s="96" t="s">
        <v>17</v>
      </c>
      <c r="F549" s="281"/>
      <c r="G549" s="121" t="s">
        <v>1575</v>
      </c>
      <c r="H549" s="271"/>
      <c r="I549" s="101" t="s">
        <v>14</v>
      </c>
      <c r="Z549" s="280" t="s">
        <v>1576</v>
      </c>
      <c r="AJ549" s="116"/>
      <c r="AK549" s="79"/>
      <c r="AL549" s="79"/>
    </row>
    <row r="550" spans="1:39" ht="30.6" customHeight="1">
      <c r="A550" s="56" t="s">
        <v>458</v>
      </c>
      <c r="B550" s="54" t="s">
        <v>689</v>
      </c>
      <c r="C550" s="122"/>
      <c r="D550" s="275" t="s">
        <v>1577</v>
      </c>
      <c r="E550" s="96" t="s">
        <v>17</v>
      </c>
      <c r="F550" s="281"/>
      <c r="G550" s="121" t="s">
        <v>1578</v>
      </c>
      <c r="H550" s="271"/>
      <c r="I550" s="101" t="s">
        <v>454</v>
      </c>
      <c r="Z550" s="280" t="s">
        <v>921</v>
      </c>
      <c r="AJ550" s="116"/>
      <c r="AK550" s="79"/>
      <c r="AL550" s="79"/>
    </row>
    <row r="551" spans="1:39" ht="30.6" customHeight="1">
      <c r="A551" s="56" t="s">
        <v>458</v>
      </c>
      <c r="B551" s="54" t="s">
        <v>689</v>
      </c>
      <c r="C551" s="122"/>
      <c r="D551" s="275" t="s">
        <v>1579</v>
      </c>
      <c r="E551" s="96" t="s">
        <v>17</v>
      </c>
      <c r="F551" s="281"/>
      <c r="G551" s="121" t="s">
        <v>1580</v>
      </c>
      <c r="H551" s="271"/>
      <c r="I551" s="101" t="s">
        <v>14</v>
      </c>
      <c r="Z551" s="280" t="s">
        <v>921</v>
      </c>
      <c r="AJ551" s="116"/>
      <c r="AK551" s="79"/>
      <c r="AL551" s="79"/>
    </row>
    <row r="552" spans="1:39" ht="30.6" customHeight="1">
      <c r="A552" s="56" t="s">
        <v>458</v>
      </c>
      <c r="B552" s="54" t="s">
        <v>689</v>
      </c>
      <c r="C552" s="122"/>
      <c r="D552" s="275" t="s">
        <v>1581</v>
      </c>
      <c r="E552" s="96" t="s">
        <v>17</v>
      </c>
      <c r="F552" s="281"/>
      <c r="G552" s="121" t="s">
        <v>1582</v>
      </c>
      <c r="H552" s="271"/>
      <c r="I552" s="101" t="s">
        <v>454</v>
      </c>
      <c r="Z552" s="280" t="s">
        <v>921</v>
      </c>
      <c r="AJ552" s="116"/>
      <c r="AK552" s="79"/>
      <c r="AL552" s="79"/>
    </row>
    <row r="553" spans="1:39" s="56" customFormat="1" ht="45.75" customHeight="1">
      <c r="A553" s="56" t="s">
        <v>458</v>
      </c>
      <c r="C553" s="96"/>
      <c r="D553" s="275" t="s">
        <v>1583</v>
      </c>
      <c r="E553" s="275"/>
      <c r="F553" s="281" t="s">
        <v>1350</v>
      </c>
      <c r="G553" s="121" t="s">
        <v>1584</v>
      </c>
      <c r="H553" s="100"/>
      <c r="I553" s="101"/>
      <c r="J553" s="87"/>
      <c r="K553" s="87"/>
      <c r="L553" s="87"/>
      <c r="M553" s="87"/>
      <c r="N553" s="87"/>
      <c r="O553" s="87"/>
      <c r="P553" s="87"/>
      <c r="Q553" s="87"/>
      <c r="R553" s="87"/>
      <c r="S553" s="87"/>
      <c r="T553" s="87"/>
      <c r="U553" s="87"/>
      <c r="V553" s="87"/>
      <c r="W553" s="102"/>
      <c r="X553" s="102"/>
      <c r="Y553" s="96"/>
      <c r="Z553" s="280"/>
      <c r="AA553" s="99"/>
      <c r="AB553" s="99"/>
      <c r="AC553" s="99"/>
      <c r="AD553" s="99"/>
      <c r="AE553" s="99"/>
      <c r="AF553" s="99"/>
      <c r="AG553" s="106"/>
      <c r="AH553" s="99"/>
      <c r="AI553" s="103"/>
      <c r="AJ553" s="116"/>
      <c r="AM553" s="57"/>
    </row>
    <row r="554" spans="1:39" ht="28.8">
      <c r="A554" s="56" t="s">
        <v>458</v>
      </c>
      <c r="B554" s="56"/>
      <c r="C554" s="282"/>
      <c r="D554" s="81" t="s">
        <v>1585</v>
      </c>
      <c r="E554" s="82"/>
      <c r="F554" s="83"/>
      <c r="G554" s="84" t="s">
        <v>1586</v>
      </c>
      <c r="H554" s="85" t="s">
        <v>41</v>
      </c>
      <c r="I554" s="86"/>
      <c r="W554" s="88"/>
      <c r="X554" s="88"/>
      <c r="Y554" s="89"/>
      <c r="Z554" s="90"/>
      <c r="AA554" s="91"/>
      <c r="AB554" s="91"/>
      <c r="AC554" s="91"/>
      <c r="AD554" s="91"/>
      <c r="AE554" s="91"/>
      <c r="AF554" s="84"/>
      <c r="AG554" s="92"/>
      <c r="AH554" s="91"/>
      <c r="AI554" s="209"/>
      <c r="AJ554" s="108"/>
      <c r="AK554" s="79"/>
      <c r="AL554" s="79"/>
    </row>
    <row r="555" spans="1:39" ht="42" customHeight="1">
      <c r="A555" s="56" t="s">
        <v>458</v>
      </c>
      <c r="B555" s="54" t="s">
        <v>948</v>
      </c>
      <c r="C555" s="122"/>
      <c r="D555" s="275" t="s">
        <v>1587</v>
      </c>
      <c r="E555" s="96" t="s">
        <v>11</v>
      </c>
      <c r="G555" s="99" t="s">
        <v>1588</v>
      </c>
      <c r="I555" s="101" t="s">
        <v>454</v>
      </c>
      <c r="AI555" s="179"/>
      <c r="AJ555" s="108"/>
      <c r="AK555" s="79"/>
      <c r="AL555" s="79"/>
    </row>
    <row r="556" spans="1:39" ht="42" customHeight="1">
      <c r="A556" s="56" t="s">
        <v>458</v>
      </c>
      <c r="B556" s="54" t="s">
        <v>172</v>
      </c>
      <c r="C556" s="122"/>
      <c r="D556" s="275" t="s">
        <v>1589</v>
      </c>
      <c r="E556" s="96" t="s">
        <v>11</v>
      </c>
      <c r="G556" s="99" t="s">
        <v>1590</v>
      </c>
      <c r="I556" s="101" t="s">
        <v>172</v>
      </c>
      <c r="AI556" s="179"/>
      <c r="AJ556" s="116"/>
      <c r="AK556" s="79"/>
      <c r="AL556" s="79"/>
    </row>
    <row r="557" spans="1:39" ht="57.6">
      <c r="A557" s="56" t="s">
        <v>458</v>
      </c>
      <c r="B557" s="56"/>
      <c r="C557" s="282"/>
      <c r="D557" s="81" t="s">
        <v>1591</v>
      </c>
      <c r="E557" s="82"/>
      <c r="F557" s="83"/>
      <c r="G557" s="84" t="s">
        <v>1592</v>
      </c>
      <c r="H557" s="85" t="s">
        <v>41</v>
      </c>
      <c r="I557" s="86"/>
      <c r="W557" s="88"/>
      <c r="X557" s="88"/>
      <c r="Y557" s="89"/>
      <c r="Z557" s="90"/>
      <c r="AA557" s="91"/>
      <c r="AB557" s="91"/>
      <c r="AC557" s="91"/>
      <c r="AD557" s="91"/>
      <c r="AE557" s="91"/>
      <c r="AF557" s="84"/>
      <c r="AG557" s="92"/>
      <c r="AH557" s="91"/>
      <c r="AI557" s="209"/>
      <c r="AJ557" s="116"/>
      <c r="AK557" s="79"/>
      <c r="AL557" s="79"/>
    </row>
    <row r="558" spans="1:39" s="56" customFormat="1" ht="49.35" customHeight="1">
      <c r="A558" s="56" t="s">
        <v>458</v>
      </c>
      <c r="B558" s="54" t="s">
        <v>540</v>
      </c>
      <c r="C558" s="96"/>
      <c r="D558" s="97" t="s">
        <v>1593</v>
      </c>
      <c r="E558" s="96" t="s">
        <v>11</v>
      </c>
      <c r="F558" s="100"/>
      <c r="G558" s="141" t="s">
        <v>1594</v>
      </c>
      <c r="H558" s="100"/>
      <c r="I558" s="101" t="s">
        <v>481</v>
      </c>
      <c r="J558" s="87"/>
      <c r="K558" s="87"/>
      <c r="L558" s="87"/>
      <c r="M558" s="87"/>
      <c r="N558" s="87"/>
      <c r="O558" s="87"/>
      <c r="P558" s="87"/>
      <c r="Q558" s="87"/>
      <c r="R558" s="87"/>
      <c r="S558" s="87"/>
      <c r="T558" s="87"/>
      <c r="U558" s="87"/>
      <c r="V558" s="87"/>
      <c r="W558" s="102"/>
      <c r="X558" s="102"/>
      <c r="Y558" s="96"/>
      <c r="Z558" s="280"/>
      <c r="AA558" s="99"/>
      <c r="AB558" s="99"/>
      <c r="AC558" s="99"/>
      <c r="AD558" s="99"/>
      <c r="AE558" s="99"/>
      <c r="AF558" s="99"/>
      <c r="AG558" s="106"/>
      <c r="AH558" s="99"/>
      <c r="AI558" s="103"/>
      <c r="AJ558" s="116"/>
      <c r="AK558" s="79"/>
      <c r="AL558" s="79"/>
      <c r="AM558" s="57"/>
    </row>
    <row r="559" spans="1:39" s="56" customFormat="1" ht="66.599999999999994" customHeight="1">
      <c r="A559" s="54" t="s">
        <v>458</v>
      </c>
      <c r="B559" s="54"/>
      <c r="C559" s="122"/>
      <c r="D559" s="97" t="s">
        <v>1595</v>
      </c>
      <c r="E559" s="96"/>
      <c r="F559" s="153" t="s">
        <v>1596</v>
      </c>
      <c r="G559" s="144" t="s">
        <v>1597</v>
      </c>
      <c r="H559" s="100"/>
      <c r="I559" s="101" t="s">
        <v>759</v>
      </c>
      <c r="J559" s="87"/>
      <c r="K559" s="87"/>
      <c r="L559" s="87"/>
      <c r="M559" s="87"/>
      <c r="N559" s="87"/>
      <c r="O559" s="87"/>
      <c r="P559" s="87"/>
      <c r="Q559" s="87"/>
      <c r="R559" s="87"/>
      <c r="S559" s="87"/>
      <c r="T559" s="87"/>
      <c r="U559" s="87"/>
      <c r="V559" s="87"/>
      <c r="W559" s="102"/>
      <c r="X559" s="102"/>
      <c r="Y559" s="96"/>
      <c r="Z559" s="280"/>
      <c r="AA559" s="99"/>
      <c r="AB559" s="99"/>
      <c r="AC559" s="99"/>
      <c r="AD559" s="99"/>
      <c r="AE559" s="99"/>
      <c r="AF559" s="99"/>
      <c r="AG559" s="106"/>
      <c r="AH559" s="99"/>
      <c r="AI559" s="103"/>
      <c r="AJ559" s="116"/>
      <c r="AK559" s="79"/>
      <c r="AL559" s="79"/>
      <c r="AM559" s="57"/>
    </row>
    <row r="560" spans="1:39" ht="67.5" customHeight="1">
      <c r="A560" s="56" t="s">
        <v>458</v>
      </c>
      <c r="B560" s="56"/>
      <c r="C560" s="282"/>
      <c r="D560" s="81" t="s">
        <v>1598</v>
      </c>
      <c r="E560" s="82"/>
      <c r="F560" s="83"/>
      <c r="G560" s="84" t="s">
        <v>1599</v>
      </c>
      <c r="H560" s="85" t="s">
        <v>41</v>
      </c>
      <c r="I560" s="86"/>
      <c r="W560" s="88"/>
      <c r="X560" s="88"/>
      <c r="Y560" s="89"/>
      <c r="Z560" s="90"/>
      <c r="AA560" s="91"/>
      <c r="AB560" s="91"/>
      <c r="AC560" s="91"/>
      <c r="AD560" s="91"/>
      <c r="AE560" s="91"/>
      <c r="AF560" s="84"/>
      <c r="AG560" s="92"/>
      <c r="AH560" s="91"/>
      <c r="AI560" s="93"/>
      <c r="AJ560" s="108"/>
      <c r="AK560" s="79"/>
      <c r="AL560" s="79"/>
    </row>
    <row r="561" spans="1:39" s="56" customFormat="1" ht="57" customHeight="1">
      <c r="A561" s="56" t="s">
        <v>458</v>
      </c>
      <c r="B561" s="54" t="s">
        <v>540</v>
      </c>
      <c r="C561" s="96"/>
      <c r="D561" s="97" t="s">
        <v>1600</v>
      </c>
      <c r="E561" s="96" t="s">
        <v>11</v>
      </c>
      <c r="F561" s="100"/>
      <c r="G561" s="99" t="s">
        <v>1601</v>
      </c>
      <c r="H561" s="100"/>
      <c r="I561" s="101" t="s">
        <v>481</v>
      </c>
      <c r="J561" s="87"/>
      <c r="K561" s="87"/>
      <c r="L561" s="87"/>
      <c r="M561" s="87"/>
      <c r="N561" s="87"/>
      <c r="O561" s="87"/>
      <c r="P561" s="87"/>
      <c r="Q561" s="87"/>
      <c r="R561" s="87"/>
      <c r="S561" s="87"/>
      <c r="T561" s="87"/>
      <c r="U561" s="87"/>
      <c r="V561" s="87"/>
      <c r="W561" s="102"/>
      <c r="X561" s="102"/>
      <c r="Y561" s="96"/>
      <c r="Z561" s="280"/>
      <c r="AA561" s="99"/>
      <c r="AB561" s="99"/>
      <c r="AC561" s="99"/>
      <c r="AD561" s="99"/>
      <c r="AE561" s="99"/>
      <c r="AF561" s="99"/>
      <c r="AG561" s="106"/>
      <c r="AH561" s="99"/>
      <c r="AI561" s="103"/>
      <c r="AJ561" s="172"/>
      <c r="AM561" s="57"/>
    </row>
    <row r="562" spans="1:39" s="56" customFormat="1" ht="57" customHeight="1">
      <c r="A562" s="56" t="s">
        <v>458</v>
      </c>
      <c r="B562" s="54" t="s">
        <v>540</v>
      </c>
      <c r="C562" s="122"/>
      <c r="D562" s="97" t="s">
        <v>1602</v>
      </c>
      <c r="E562" s="96" t="s">
        <v>11</v>
      </c>
      <c r="F562" s="100"/>
      <c r="G562" s="99" t="s">
        <v>1603</v>
      </c>
      <c r="H562" s="100"/>
      <c r="I562" s="101" t="s">
        <v>481</v>
      </c>
      <c r="J562" s="87"/>
      <c r="K562" s="87"/>
      <c r="L562" s="87"/>
      <c r="M562" s="87"/>
      <c r="N562" s="87"/>
      <c r="O562" s="87"/>
      <c r="P562" s="87"/>
      <c r="Q562" s="87"/>
      <c r="R562" s="87"/>
      <c r="S562" s="87"/>
      <c r="T562" s="87"/>
      <c r="U562" s="87"/>
      <c r="V562" s="87"/>
      <c r="W562" s="102"/>
      <c r="X562" s="102"/>
      <c r="Y562" s="96"/>
      <c r="Z562" s="280"/>
      <c r="AA562" s="99"/>
      <c r="AB562" s="99"/>
      <c r="AC562" s="99"/>
      <c r="AD562" s="99"/>
      <c r="AE562" s="99"/>
      <c r="AF562" s="99"/>
      <c r="AG562" s="106"/>
      <c r="AH562" s="99"/>
      <c r="AI562" s="103"/>
      <c r="AJ562" s="172"/>
      <c r="AM562" s="57"/>
    </row>
    <row r="563" spans="1:39" ht="43.2">
      <c r="A563" s="56" t="s">
        <v>458</v>
      </c>
      <c r="B563" s="56"/>
      <c r="C563" s="282"/>
      <c r="D563" s="234" t="s">
        <v>1604</v>
      </c>
      <c r="E563" s="203"/>
      <c r="F563" s="83"/>
      <c r="G563" s="84" t="s">
        <v>1605</v>
      </c>
      <c r="H563" s="85" t="s">
        <v>41</v>
      </c>
      <c r="I563" s="86"/>
      <c r="W563" s="88"/>
      <c r="X563" s="88"/>
      <c r="Y563" s="89"/>
      <c r="Z563" s="90"/>
      <c r="AA563" s="91"/>
      <c r="AB563" s="91"/>
      <c r="AC563" s="91"/>
      <c r="AD563" s="91"/>
      <c r="AE563" s="91"/>
      <c r="AF563" s="84"/>
      <c r="AG563" s="92"/>
      <c r="AH563" s="91"/>
      <c r="AI563" s="93"/>
      <c r="AJ563" s="108"/>
      <c r="AK563" s="79"/>
      <c r="AL563" s="79"/>
    </row>
    <row r="564" spans="1:39" s="56" customFormat="1" ht="34.5" customHeight="1">
      <c r="A564" s="56" t="s">
        <v>458</v>
      </c>
      <c r="B564" s="54" t="s">
        <v>540</v>
      </c>
      <c r="C564" s="96"/>
      <c r="D564" s="97" t="s">
        <v>1606</v>
      </c>
      <c r="E564" s="96" t="s">
        <v>11</v>
      </c>
      <c r="F564" s="100"/>
      <c r="G564" s="99" t="s">
        <v>1607</v>
      </c>
      <c r="H564" s="100"/>
      <c r="I564" s="101" t="s">
        <v>481</v>
      </c>
      <c r="J564" s="87"/>
      <c r="K564" s="87"/>
      <c r="L564" s="87"/>
      <c r="M564" s="87"/>
      <c r="N564" s="87"/>
      <c r="O564" s="87"/>
      <c r="P564" s="87"/>
      <c r="Q564" s="87"/>
      <c r="R564" s="87"/>
      <c r="S564" s="87"/>
      <c r="T564" s="87"/>
      <c r="U564" s="87"/>
      <c r="V564" s="87"/>
      <c r="W564" s="102"/>
      <c r="X564" s="102"/>
      <c r="Y564" s="96"/>
      <c r="Z564" s="280"/>
      <c r="AA564" s="99"/>
      <c r="AB564" s="99"/>
      <c r="AC564" s="99"/>
      <c r="AD564" s="99"/>
      <c r="AE564" s="99"/>
      <c r="AF564" s="99"/>
      <c r="AG564" s="106"/>
      <c r="AH564" s="99"/>
      <c r="AI564" s="103"/>
      <c r="AJ564" s="116"/>
      <c r="AK564" s="79"/>
      <c r="AL564" s="79"/>
      <c r="AM564" s="57"/>
    </row>
    <row r="565" spans="1:39" ht="57.6">
      <c r="A565" s="56" t="s">
        <v>458</v>
      </c>
      <c r="B565" s="56"/>
      <c r="C565" s="282"/>
      <c r="D565" s="234" t="s">
        <v>1608</v>
      </c>
      <c r="E565" s="203"/>
      <c r="F565" s="83"/>
      <c r="G565" s="84" t="s">
        <v>1609</v>
      </c>
      <c r="H565" s="85" t="s">
        <v>41</v>
      </c>
      <c r="I565" s="86"/>
      <c r="W565" s="88"/>
      <c r="X565" s="88"/>
      <c r="Y565" s="89"/>
      <c r="Z565" s="90"/>
      <c r="AA565" s="91"/>
      <c r="AB565" s="91"/>
      <c r="AC565" s="91"/>
      <c r="AD565" s="91"/>
      <c r="AE565" s="91"/>
      <c r="AF565" s="84"/>
      <c r="AG565" s="92"/>
      <c r="AH565" s="91"/>
      <c r="AI565" s="93"/>
      <c r="AJ565" s="108"/>
      <c r="AK565" s="108"/>
      <c r="AL565" s="79"/>
    </row>
    <row r="566" spans="1:39" s="56" customFormat="1" ht="34.5" customHeight="1">
      <c r="A566" s="56" t="s">
        <v>458</v>
      </c>
      <c r="B566" s="54" t="s">
        <v>540</v>
      </c>
      <c r="C566" s="96"/>
      <c r="D566" s="97" t="s">
        <v>1610</v>
      </c>
      <c r="E566" s="96" t="s">
        <v>11</v>
      </c>
      <c r="F566" s="100"/>
      <c r="G566" s="99" t="s">
        <v>1611</v>
      </c>
      <c r="H566" s="100"/>
      <c r="I566" s="101" t="s">
        <v>481</v>
      </c>
      <c r="J566" s="87"/>
      <c r="K566" s="87"/>
      <c r="L566" s="87"/>
      <c r="M566" s="87"/>
      <c r="N566" s="87"/>
      <c r="O566" s="87"/>
      <c r="P566" s="87"/>
      <c r="Q566" s="87"/>
      <c r="R566" s="87"/>
      <c r="S566" s="87"/>
      <c r="T566" s="87"/>
      <c r="U566" s="87"/>
      <c r="V566" s="87"/>
      <c r="W566" s="102"/>
      <c r="X566" s="102"/>
      <c r="Y566" s="96"/>
      <c r="Z566" s="280"/>
      <c r="AA566" s="99"/>
      <c r="AB566" s="99"/>
      <c r="AC566" s="99"/>
      <c r="AD566" s="99"/>
      <c r="AE566" s="99"/>
      <c r="AF566" s="99"/>
      <c r="AG566" s="106"/>
      <c r="AH566" s="99"/>
      <c r="AI566" s="103"/>
      <c r="AJ566" s="116"/>
      <c r="AK566" s="79"/>
      <c r="AL566" s="79"/>
      <c r="AM566" s="57"/>
    </row>
    <row r="567" spans="1:39" s="56" customFormat="1" ht="34.5" customHeight="1">
      <c r="A567" s="56" t="s">
        <v>458</v>
      </c>
      <c r="B567" s="54" t="s">
        <v>540</v>
      </c>
      <c r="C567" s="122"/>
      <c r="D567" s="97" t="s">
        <v>1612</v>
      </c>
      <c r="E567" s="96" t="s">
        <v>11</v>
      </c>
      <c r="F567" s="100"/>
      <c r="G567" s="99" t="s">
        <v>1613</v>
      </c>
      <c r="H567" s="100"/>
      <c r="I567" s="101" t="s">
        <v>481</v>
      </c>
      <c r="J567" s="87"/>
      <c r="K567" s="87"/>
      <c r="L567" s="87"/>
      <c r="M567" s="87"/>
      <c r="N567" s="87"/>
      <c r="O567" s="87"/>
      <c r="P567" s="87"/>
      <c r="Q567" s="87"/>
      <c r="R567" s="87"/>
      <c r="S567" s="87"/>
      <c r="T567" s="87"/>
      <c r="U567" s="87"/>
      <c r="V567" s="87"/>
      <c r="W567" s="102"/>
      <c r="X567" s="102"/>
      <c r="Y567" s="96"/>
      <c r="Z567" s="280"/>
      <c r="AA567" s="99"/>
      <c r="AB567" s="99"/>
      <c r="AC567" s="99"/>
      <c r="AD567" s="99"/>
      <c r="AE567" s="99"/>
      <c r="AF567" s="99"/>
      <c r="AG567" s="106"/>
      <c r="AH567" s="99"/>
      <c r="AI567" s="103"/>
      <c r="AJ567" s="116"/>
      <c r="AK567" s="79"/>
      <c r="AL567" s="79"/>
      <c r="AM567" s="57"/>
    </row>
    <row r="568" spans="1:39" ht="43.2">
      <c r="A568" s="56" t="s">
        <v>458</v>
      </c>
      <c r="B568" s="56"/>
      <c r="C568" s="282"/>
      <c r="D568" s="234" t="s">
        <v>1614</v>
      </c>
      <c r="E568" s="203"/>
      <c r="F568" s="83"/>
      <c r="G568" s="84" t="s">
        <v>1615</v>
      </c>
      <c r="H568" s="85" t="s">
        <v>41</v>
      </c>
      <c r="I568" s="86"/>
      <c r="W568" s="88"/>
      <c r="X568" s="88"/>
      <c r="Y568" s="89"/>
      <c r="Z568" s="90"/>
      <c r="AA568" s="91"/>
      <c r="AB568" s="91"/>
      <c r="AC568" s="91"/>
      <c r="AD568" s="91"/>
      <c r="AE568" s="91"/>
      <c r="AF568" s="84"/>
      <c r="AG568" s="92"/>
      <c r="AH568" s="91"/>
      <c r="AI568" s="93"/>
      <c r="AJ568" s="108"/>
      <c r="AL568" s="56"/>
    </row>
    <row r="569" spans="1:39" s="56" customFormat="1" ht="25.2" customHeight="1">
      <c r="A569" s="56" t="s">
        <v>458</v>
      </c>
      <c r="B569" s="54" t="s">
        <v>540</v>
      </c>
      <c r="C569" s="96"/>
      <c r="D569" s="97" t="s">
        <v>1616</v>
      </c>
      <c r="E569" s="96" t="s">
        <v>11</v>
      </c>
      <c r="F569" s="153"/>
      <c r="G569" s="109" t="s">
        <v>1617</v>
      </c>
      <c r="H569" s="100"/>
      <c r="I569" s="101" t="s">
        <v>481</v>
      </c>
      <c r="J569" s="87"/>
      <c r="K569" s="87"/>
      <c r="L569" s="87"/>
      <c r="M569" s="87"/>
      <c r="N569" s="87"/>
      <c r="O569" s="87"/>
      <c r="P569" s="87"/>
      <c r="Q569" s="87"/>
      <c r="R569" s="87"/>
      <c r="S569" s="87"/>
      <c r="T569" s="87"/>
      <c r="U569" s="87"/>
      <c r="V569" s="87"/>
      <c r="W569" s="102"/>
      <c r="X569" s="102"/>
      <c r="Y569" s="96"/>
      <c r="Z569" s="280"/>
      <c r="AA569" s="99"/>
      <c r="AB569" s="99"/>
      <c r="AC569" s="99"/>
      <c r="AD569" s="99"/>
      <c r="AE569" s="99"/>
      <c r="AF569" s="99"/>
      <c r="AG569" s="106"/>
      <c r="AH569" s="99"/>
      <c r="AI569" s="103"/>
      <c r="AJ569" s="116"/>
      <c r="AK569" s="79"/>
      <c r="AL569" s="79"/>
      <c r="AM569" s="57"/>
    </row>
    <row r="570" spans="1:39" s="56" customFormat="1" ht="51.6" customHeight="1">
      <c r="A570" s="56" t="s">
        <v>458</v>
      </c>
      <c r="C570" s="122"/>
      <c r="D570" s="97" t="s">
        <v>1618</v>
      </c>
      <c r="E570" s="96"/>
      <c r="F570" s="153" t="s">
        <v>102</v>
      </c>
      <c r="G570" s="109" t="s">
        <v>1619</v>
      </c>
      <c r="H570" s="100"/>
      <c r="I570" s="101"/>
      <c r="J570" s="87"/>
      <c r="K570" s="87"/>
      <c r="L570" s="87"/>
      <c r="M570" s="87"/>
      <c r="N570" s="87"/>
      <c r="O570" s="87"/>
      <c r="P570" s="87"/>
      <c r="Q570" s="87"/>
      <c r="R570" s="87"/>
      <c r="S570" s="87"/>
      <c r="T570" s="87"/>
      <c r="U570" s="87"/>
      <c r="V570" s="87"/>
      <c r="W570" s="102"/>
      <c r="X570" s="102"/>
      <c r="Y570" s="96"/>
      <c r="Z570" s="280"/>
      <c r="AA570" s="99"/>
      <c r="AB570" s="99"/>
      <c r="AC570" s="99"/>
      <c r="AD570" s="99"/>
      <c r="AE570" s="99"/>
      <c r="AF570" s="99"/>
      <c r="AG570" s="106"/>
      <c r="AH570" s="99"/>
      <c r="AI570" s="103"/>
      <c r="AJ570" s="116"/>
      <c r="AK570" s="79"/>
      <c r="AL570" s="79"/>
      <c r="AM570" s="57"/>
    </row>
    <row r="571" spans="1:39" s="56" customFormat="1" ht="34.5" customHeight="1">
      <c r="A571" s="56" t="s">
        <v>458</v>
      </c>
      <c r="B571" s="54" t="s">
        <v>540</v>
      </c>
      <c r="C571" s="122"/>
      <c r="D571" s="97" t="s">
        <v>1620</v>
      </c>
      <c r="E571" s="96" t="s">
        <v>11</v>
      </c>
      <c r="F571" s="100"/>
      <c r="G571" s="99" t="s">
        <v>1621</v>
      </c>
      <c r="H571" s="100"/>
      <c r="I571" s="101" t="s">
        <v>481</v>
      </c>
      <c r="J571" s="87"/>
      <c r="K571" s="87"/>
      <c r="L571" s="87"/>
      <c r="M571" s="87"/>
      <c r="N571" s="87"/>
      <c r="O571" s="87"/>
      <c r="P571" s="87"/>
      <c r="Q571" s="87"/>
      <c r="R571" s="87"/>
      <c r="S571" s="87"/>
      <c r="T571" s="87"/>
      <c r="U571" s="87"/>
      <c r="V571" s="87"/>
      <c r="W571" s="102"/>
      <c r="X571" s="102"/>
      <c r="Y571" s="96"/>
      <c r="Z571" s="280"/>
      <c r="AA571" s="99"/>
      <c r="AB571" s="99"/>
      <c r="AC571" s="99"/>
      <c r="AD571" s="99"/>
      <c r="AE571" s="99"/>
      <c r="AF571" s="99"/>
      <c r="AG571" s="106"/>
      <c r="AH571" s="99"/>
      <c r="AI571" s="103"/>
      <c r="AJ571" s="116"/>
      <c r="AK571" s="79"/>
      <c r="AL571" s="79"/>
      <c r="AM571" s="57"/>
    </row>
    <row r="572" spans="1:39" s="56" customFormat="1" ht="34.5" customHeight="1">
      <c r="A572" s="56" t="s">
        <v>458</v>
      </c>
      <c r="B572" s="54" t="s">
        <v>540</v>
      </c>
      <c r="C572" s="122"/>
      <c r="D572" s="97" t="s">
        <v>1622</v>
      </c>
      <c r="E572" s="96" t="s">
        <v>11</v>
      </c>
      <c r="F572" s="100"/>
      <c r="G572" s="99" t="s">
        <v>1623</v>
      </c>
      <c r="H572" s="100"/>
      <c r="I572" s="101" t="s">
        <v>481</v>
      </c>
      <c r="J572" s="87"/>
      <c r="K572" s="87"/>
      <c r="L572" s="87"/>
      <c r="M572" s="87"/>
      <c r="N572" s="87"/>
      <c r="O572" s="87"/>
      <c r="P572" s="87"/>
      <c r="Q572" s="87"/>
      <c r="R572" s="87"/>
      <c r="S572" s="87"/>
      <c r="T572" s="87"/>
      <c r="U572" s="87"/>
      <c r="V572" s="87"/>
      <c r="W572" s="102"/>
      <c r="X572" s="102"/>
      <c r="Y572" s="96"/>
      <c r="Z572" s="280"/>
      <c r="AA572" s="99"/>
      <c r="AB572" s="99"/>
      <c r="AC572" s="99"/>
      <c r="AD572" s="99"/>
      <c r="AE572" s="99"/>
      <c r="AF572" s="99"/>
      <c r="AG572" s="106"/>
      <c r="AH572" s="99"/>
      <c r="AI572" s="103"/>
      <c r="AJ572" s="116"/>
      <c r="AK572" s="79"/>
      <c r="AL572" s="79"/>
      <c r="AM572" s="57"/>
    </row>
    <row r="573" spans="1:39" s="56" customFormat="1" ht="43.95" customHeight="1">
      <c r="A573" s="56" t="s">
        <v>458</v>
      </c>
      <c r="C573" s="122"/>
      <c r="D573" s="97" t="s">
        <v>1624</v>
      </c>
      <c r="E573" s="96"/>
      <c r="F573" s="153" t="s">
        <v>1350</v>
      </c>
      <c r="G573" s="144" t="s">
        <v>1625</v>
      </c>
      <c r="H573" s="100"/>
      <c r="I573" s="101" t="s">
        <v>481</v>
      </c>
      <c r="J573" s="87"/>
      <c r="K573" s="87"/>
      <c r="L573" s="87"/>
      <c r="M573" s="87"/>
      <c r="N573" s="87"/>
      <c r="O573" s="87"/>
      <c r="P573" s="87"/>
      <c r="Q573" s="87"/>
      <c r="R573" s="87"/>
      <c r="S573" s="87"/>
      <c r="T573" s="87"/>
      <c r="U573" s="87"/>
      <c r="V573" s="87"/>
      <c r="W573" s="102"/>
      <c r="X573" s="102"/>
      <c r="Y573" s="96"/>
      <c r="Z573" s="280"/>
      <c r="AA573" s="99"/>
      <c r="AB573" s="99"/>
      <c r="AC573" s="99"/>
      <c r="AD573" s="99"/>
      <c r="AE573" s="99"/>
      <c r="AF573" s="99"/>
      <c r="AG573" s="106"/>
      <c r="AH573" s="99"/>
      <c r="AI573" s="103"/>
      <c r="AJ573" s="116"/>
      <c r="AK573" s="79"/>
      <c r="AL573" s="79"/>
      <c r="AM573" s="57"/>
    </row>
    <row r="574" spans="1:39" ht="55.35" customHeight="1">
      <c r="A574" s="56" t="s">
        <v>458</v>
      </c>
      <c r="B574" s="56"/>
      <c r="C574" s="282"/>
      <c r="D574" s="234" t="s">
        <v>1626</v>
      </c>
      <c r="E574" s="203"/>
      <c r="F574" s="83"/>
      <c r="G574" s="84" t="s">
        <v>1627</v>
      </c>
      <c r="H574" s="85" t="s">
        <v>41</v>
      </c>
      <c r="I574" s="86"/>
      <c r="W574" s="88"/>
      <c r="X574" s="88"/>
      <c r="Y574" s="89"/>
      <c r="Z574" s="90"/>
      <c r="AA574" s="91"/>
      <c r="AB574" s="91"/>
      <c r="AC574" s="91"/>
      <c r="AD574" s="91"/>
      <c r="AE574" s="91"/>
      <c r="AF574" s="84"/>
      <c r="AG574" s="92"/>
      <c r="AH574" s="91"/>
      <c r="AI574" s="93"/>
      <c r="AJ574" s="108"/>
      <c r="AK574" s="108"/>
      <c r="AL574" s="79"/>
    </row>
    <row r="575" spans="1:39" s="56" customFormat="1" ht="48" customHeight="1">
      <c r="A575" s="56" t="s">
        <v>458</v>
      </c>
      <c r="B575" s="54" t="s">
        <v>540</v>
      </c>
      <c r="C575" s="96"/>
      <c r="D575" s="97" t="s">
        <v>1628</v>
      </c>
      <c r="E575" s="96" t="s">
        <v>11</v>
      </c>
      <c r="F575" s="100"/>
      <c r="G575" s="99" t="s">
        <v>1629</v>
      </c>
      <c r="H575" s="100"/>
      <c r="I575" s="101" t="s">
        <v>481</v>
      </c>
      <c r="J575" s="87"/>
      <c r="K575" s="87"/>
      <c r="L575" s="87"/>
      <c r="M575" s="87"/>
      <c r="N575" s="87"/>
      <c r="O575" s="87"/>
      <c r="P575" s="87"/>
      <c r="Q575" s="87"/>
      <c r="R575" s="87"/>
      <c r="S575" s="87"/>
      <c r="T575" s="87"/>
      <c r="U575" s="87"/>
      <c r="V575" s="87"/>
      <c r="W575" s="102"/>
      <c r="X575" s="102"/>
      <c r="Y575" s="96"/>
      <c r="Z575" s="280"/>
      <c r="AA575" s="99"/>
      <c r="AB575" s="99"/>
      <c r="AC575" s="99"/>
      <c r="AD575" s="99"/>
      <c r="AE575" s="99"/>
      <c r="AF575" s="99"/>
      <c r="AG575" s="106"/>
      <c r="AH575" s="99"/>
      <c r="AI575" s="103"/>
      <c r="AJ575" s="116"/>
      <c r="AK575" s="79"/>
      <c r="AL575" s="79"/>
      <c r="AM575" s="57"/>
    </row>
    <row r="576" spans="1:39" s="56" customFormat="1" ht="34.5" customHeight="1">
      <c r="A576" s="56" t="s">
        <v>458</v>
      </c>
      <c r="B576" s="54" t="s">
        <v>540</v>
      </c>
      <c r="C576" s="122"/>
      <c r="D576" s="97" t="s">
        <v>1630</v>
      </c>
      <c r="E576" s="96" t="s">
        <v>11</v>
      </c>
      <c r="F576" s="100"/>
      <c r="G576" s="99" t="s">
        <v>1631</v>
      </c>
      <c r="H576" s="100"/>
      <c r="I576" s="101" t="s">
        <v>481</v>
      </c>
      <c r="J576" s="87"/>
      <c r="K576" s="87"/>
      <c r="L576" s="87"/>
      <c r="M576" s="87"/>
      <c r="N576" s="87"/>
      <c r="O576" s="87"/>
      <c r="P576" s="87"/>
      <c r="Q576" s="87"/>
      <c r="R576" s="87"/>
      <c r="S576" s="87"/>
      <c r="T576" s="87"/>
      <c r="U576" s="87"/>
      <c r="V576" s="87"/>
      <c r="W576" s="102"/>
      <c r="X576" s="102"/>
      <c r="Y576" s="96"/>
      <c r="Z576" s="280"/>
      <c r="AA576" s="99"/>
      <c r="AB576" s="99"/>
      <c r="AC576" s="99"/>
      <c r="AD576" s="99"/>
      <c r="AE576" s="99"/>
      <c r="AF576" s="99"/>
      <c r="AG576" s="106"/>
      <c r="AH576" s="99"/>
      <c r="AI576" s="103"/>
      <c r="AJ576" s="116"/>
      <c r="AK576" s="79"/>
      <c r="AL576" s="79"/>
      <c r="AM576" s="57"/>
    </row>
    <row r="577" spans="1:39" ht="28.8">
      <c r="A577" s="56" t="s">
        <v>458</v>
      </c>
      <c r="C577" s="282"/>
      <c r="D577" s="234" t="s">
        <v>1632</v>
      </c>
      <c r="E577" s="203"/>
      <c r="F577" s="83"/>
      <c r="G577" s="84" t="s">
        <v>1633</v>
      </c>
      <c r="H577" s="85" t="s">
        <v>41</v>
      </c>
      <c r="I577" s="86"/>
      <c r="W577" s="88"/>
      <c r="X577" s="88"/>
      <c r="Y577" s="89"/>
      <c r="Z577" s="90"/>
      <c r="AA577" s="91"/>
      <c r="AB577" s="91"/>
      <c r="AC577" s="91"/>
      <c r="AD577" s="91"/>
      <c r="AE577" s="91"/>
      <c r="AF577" s="84"/>
      <c r="AG577" s="92"/>
      <c r="AH577" s="91"/>
      <c r="AI577" s="93"/>
      <c r="AJ577" s="171"/>
      <c r="AK577" s="171"/>
      <c r="AL577" s="185"/>
    </row>
    <row r="578" spans="1:39" s="56" customFormat="1" ht="34.5" customHeight="1">
      <c r="A578" s="56" t="s">
        <v>458</v>
      </c>
      <c r="B578" s="54" t="s">
        <v>540</v>
      </c>
      <c r="C578" s="96"/>
      <c r="D578" s="97" t="s">
        <v>1634</v>
      </c>
      <c r="E578" s="96" t="s">
        <v>11</v>
      </c>
      <c r="F578" s="100"/>
      <c r="G578" s="99" t="s">
        <v>1635</v>
      </c>
      <c r="H578" s="100"/>
      <c r="I578" s="101" t="s">
        <v>454</v>
      </c>
      <c r="J578" s="87"/>
      <c r="K578" s="87"/>
      <c r="L578" s="87"/>
      <c r="M578" s="87"/>
      <c r="N578" s="87"/>
      <c r="O578" s="87"/>
      <c r="P578" s="87"/>
      <c r="Q578" s="87"/>
      <c r="R578" s="87"/>
      <c r="S578" s="87"/>
      <c r="T578" s="87"/>
      <c r="U578" s="87"/>
      <c r="V578" s="87"/>
      <c r="W578" s="102"/>
      <c r="X578" s="102"/>
      <c r="Y578" s="96"/>
      <c r="Z578" s="280" t="s">
        <v>1636</v>
      </c>
      <c r="AA578" s="99"/>
      <c r="AB578" s="99"/>
      <c r="AC578" s="99"/>
      <c r="AD578" s="99"/>
      <c r="AE578" s="99"/>
      <c r="AF578" s="99"/>
      <c r="AG578" s="106"/>
      <c r="AH578" s="99"/>
      <c r="AI578" s="103"/>
      <c r="AJ578" s="116"/>
      <c r="AM578" s="57"/>
    </row>
    <row r="579" spans="1:39" ht="43.2">
      <c r="A579" s="56" t="s">
        <v>458</v>
      </c>
      <c r="C579" s="282"/>
      <c r="D579" s="234" t="s">
        <v>1637</v>
      </c>
      <c r="E579" s="203"/>
      <c r="F579" s="83"/>
      <c r="G579" s="84" t="s">
        <v>1638</v>
      </c>
      <c r="H579" s="85" t="s">
        <v>41</v>
      </c>
      <c r="I579" s="86"/>
      <c r="W579" s="88"/>
      <c r="X579" s="88"/>
      <c r="Y579" s="89"/>
      <c r="Z579" s="90"/>
      <c r="AA579" s="91"/>
      <c r="AB579" s="91"/>
      <c r="AC579" s="91"/>
      <c r="AD579" s="91"/>
      <c r="AE579" s="91"/>
      <c r="AF579" s="84"/>
      <c r="AG579" s="92"/>
      <c r="AH579" s="91"/>
      <c r="AI579" s="93"/>
      <c r="AJ579" s="108"/>
      <c r="AK579" s="108"/>
      <c r="AL579" s="79"/>
    </row>
    <row r="580" spans="1:39" s="56" customFormat="1" ht="34.5" customHeight="1">
      <c r="A580" s="56" t="s">
        <v>458</v>
      </c>
      <c r="B580" s="54" t="s">
        <v>540</v>
      </c>
      <c r="C580" s="96"/>
      <c r="D580" s="97" t="s">
        <v>1639</v>
      </c>
      <c r="E580" s="96" t="s">
        <v>11</v>
      </c>
      <c r="F580" s="100"/>
      <c r="G580" s="99" t="s">
        <v>1640</v>
      </c>
      <c r="H580" s="100"/>
      <c r="I580" s="101" t="s">
        <v>481</v>
      </c>
      <c r="J580" s="87"/>
      <c r="K580" s="87"/>
      <c r="L580" s="87"/>
      <c r="M580" s="87"/>
      <c r="N580" s="87"/>
      <c r="O580" s="87"/>
      <c r="P580" s="87"/>
      <c r="Q580" s="87"/>
      <c r="R580" s="87"/>
      <c r="S580" s="87"/>
      <c r="T580" s="87"/>
      <c r="U580" s="87"/>
      <c r="V580" s="87"/>
      <c r="W580" s="102"/>
      <c r="X580" s="102"/>
      <c r="Y580" s="96"/>
      <c r="Z580" s="280"/>
      <c r="AA580" s="99"/>
      <c r="AB580" s="99"/>
      <c r="AC580" s="99"/>
      <c r="AD580" s="99"/>
      <c r="AE580" s="99"/>
      <c r="AF580" s="99"/>
      <c r="AG580" s="106"/>
      <c r="AH580" s="99"/>
      <c r="AI580" s="103"/>
      <c r="AJ580" s="116"/>
      <c r="AM580" s="57"/>
    </row>
    <row r="581" spans="1:39" s="56" customFormat="1" ht="34.5" customHeight="1">
      <c r="A581" s="56" t="s">
        <v>458</v>
      </c>
      <c r="B581" s="54" t="s">
        <v>540</v>
      </c>
      <c r="C581" s="96"/>
      <c r="D581" s="97" t="s">
        <v>1641</v>
      </c>
      <c r="E581" s="96" t="s">
        <v>11</v>
      </c>
      <c r="F581" s="100"/>
      <c r="G581" s="99" t="s">
        <v>1642</v>
      </c>
      <c r="H581" s="100"/>
      <c r="I581" s="101" t="s">
        <v>481</v>
      </c>
      <c r="J581" s="87"/>
      <c r="K581" s="87"/>
      <c r="L581" s="87"/>
      <c r="M581" s="87"/>
      <c r="N581" s="87"/>
      <c r="O581" s="87"/>
      <c r="P581" s="87"/>
      <c r="Q581" s="87"/>
      <c r="R581" s="87"/>
      <c r="S581" s="87"/>
      <c r="T581" s="87"/>
      <c r="U581" s="87"/>
      <c r="V581" s="87"/>
      <c r="W581" s="102"/>
      <c r="X581" s="102"/>
      <c r="Y581" s="96"/>
      <c r="Z581" s="280"/>
      <c r="AA581" s="99"/>
      <c r="AB581" s="99"/>
      <c r="AC581" s="99"/>
      <c r="AD581" s="99"/>
      <c r="AE581" s="99"/>
      <c r="AF581" s="99"/>
      <c r="AG581" s="106"/>
      <c r="AH581" s="99"/>
      <c r="AI581" s="283"/>
      <c r="AJ581" s="116"/>
      <c r="AM581" s="57"/>
    </row>
    <row r="582" spans="1:39" s="56" customFormat="1" ht="34.5" customHeight="1">
      <c r="A582" s="56" t="s">
        <v>458</v>
      </c>
      <c r="B582" s="54" t="s">
        <v>540</v>
      </c>
      <c r="C582" s="96"/>
      <c r="D582" s="97" t="s">
        <v>1643</v>
      </c>
      <c r="E582" s="96" t="s">
        <v>11</v>
      </c>
      <c r="F582" s="100"/>
      <c r="G582" s="99" t="s">
        <v>1644</v>
      </c>
      <c r="H582" s="100"/>
      <c r="I582" s="101" t="s">
        <v>481</v>
      </c>
      <c r="J582" s="87"/>
      <c r="K582" s="87"/>
      <c r="L582" s="87"/>
      <c r="M582" s="87"/>
      <c r="N582" s="87"/>
      <c r="O582" s="87"/>
      <c r="P582" s="87"/>
      <c r="Q582" s="87"/>
      <c r="R582" s="87"/>
      <c r="S582" s="87"/>
      <c r="T582" s="87"/>
      <c r="U582" s="87"/>
      <c r="V582" s="87"/>
      <c r="W582" s="102"/>
      <c r="X582" s="102"/>
      <c r="Y582" s="96"/>
      <c r="Z582" s="280"/>
      <c r="AA582" s="99"/>
      <c r="AB582" s="99"/>
      <c r="AC582" s="99"/>
      <c r="AD582" s="99"/>
      <c r="AE582" s="99"/>
      <c r="AF582" s="99"/>
      <c r="AG582" s="106"/>
      <c r="AH582" s="99"/>
      <c r="AI582" s="283"/>
      <c r="AJ582" s="116"/>
      <c r="AM582" s="57"/>
    </row>
    <row r="583" spans="1:39" s="56" customFormat="1" ht="34.5" customHeight="1">
      <c r="A583" s="56" t="s">
        <v>458</v>
      </c>
      <c r="B583" s="54" t="s">
        <v>540</v>
      </c>
      <c r="C583" s="96"/>
      <c r="D583" s="97" t="s">
        <v>1645</v>
      </c>
      <c r="E583" s="96" t="s">
        <v>11</v>
      </c>
      <c r="F583" s="100"/>
      <c r="G583" s="99" t="s">
        <v>1646</v>
      </c>
      <c r="H583" s="100"/>
      <c r="I583" s="101" t="s">
        <v>481</v>
      </c>
      <c r="J583" s="87"/>
      <c r="K583" s="87"/>
      <c r="L583" s="87"/>
      <c r="M583" s="87"/>
      <c r="N583" s="87"/>
      <c r="O583" s="87"/>
      <c r="P583" s="87"/>
      <c r="Q583" s="87"/>
      <c r="R583" s="87"/>
      <c r="S583" s="87"/>
      <c r="T583" s="87"/>
      <c r="U583" s="87"/>
      <c r="V583" s="87"/>
      <c r="W583" s="102"/>
      <c r="X583" s="102"/>
      <c r="Y583" s="96"/>
      <c r="Z583" s="280"/>
      <c r="AA583" s="99"/>
      <c r="AB583" s="99"/>
      <c r="AC583" s="99"/>
      <c r="AD583" s="99"/>
      <c r="AE583" s="99"/>
      <c r="AF583" s="99"/>
      <c r="AG583" s="106"/>
      <c r="AH583" s="99"/>
      <c r="AI583" s="283"/>
      <c r="AJ583" s="116"/>
      <c r="AM583" s="57"/>
    </row>
    <row r="584" spans="1:39" s="56" customFormat="1" ht="82.35" customHeight="1">
      <c r="A584" s="54" t="s">
        <v>621</v>
      </c>
      <c r="B584" s="54"/>
      <c r="C584" s="96"/>
      <c r="D584" s="97" t="s">
        <v>1647</v>
      </c>
      <c r="E584" s="96"/>
      <c r="F584" s="284" t="s">
        <v>1350</v>
      </c>
      <c r="G584" s="175" t="s">
        <v>1648</v>
      </c>
      <c r="H584" s="100"/>
      <c r="I584" s="101"/>
      <c r="J584" s="87"/>
      <c r="K584" s="87"/>
      <c r="L584" s="87"/>
      <c r="M584" s="87"/>
      <c r="N584" s="87"/>
      <c r="O584" s="87"/>
      <c r="P584" s="87"/>
      <c r="Q584" s="87"/>
      <c r="R584" s="87"/>
      <c r="S584" s="87"/>
      <c r="T584" s="87"/>
      <c r="U584" s="87"/>
      <c r="V584" s="87"/>
      <c r="W584" s="102"/>
      <c r="X584" s="102"/>
      <c r="Y584" s="96"/>
      <c r="Z584" s="280"/>
      <c r="AA584" s="99"/>
      <c r="AB584" s="99"/>
      <c r="AC584" s="99"/>
      <c r="AD584" s="99"/>
      <c r="AE584" s="99"/>
      <c r="AF584" s="99"/>
      <c r="AG584" s="106"/>
      <c r="AH584" s="99"/>
      <c r="AI584" s="283"/>
      <c r="AJ584" s="116"/>
      <c r="AM584" s="57"/>
    </row>
    <row r="585" spans="1:39" s="67" customFormat="1" ht="228" customHeight="1">
      <c r="A585" s="56"/>
      <c r="B585" s="56"/>
      <c r="C585" s="80"/>
      <c r="D585" s="81" t="s">
        <v>1649</v>
      </c>
      <c r="E585" s="82"/>
      <c r="F585" s="83" t="s">
        <v>1650</v>
      </c>
      <c r="G585" s="84" t="s">
        <v>1651</v>
      </c>
      <c r="H585" s="85" t="s">
        <v>41</v>
      </c>
      <c r="I585" s="86" t="s">
        <v>1652</v>
      </c>
      <c r="J585" s="87"/>
      <c r="K585" s="87"/>
      <c r="L585" s="87"/>
      <c r="M585" s="87"/>
      <c r="N585" s="87"/>
      <c r="O585" s="87"/>
      <c r="P585" s="87"/>
      <c r="Q585" s="87"/>
      <c r="R585" s="87"/>
      <c r="S585" s="87"/>
      <c r="T585" s="87"/>
      <c r="U585" s="87"/>
      <c r="V585" s="87"/>
      <c r="W585" s="88"/>
      <c r="X585" s="88"/>
      <c r="Y585" s="89"/>
      <c r="Z585" s="90"/>
      <c r="AA585" s="91"/>
      <c r="AB585" s="91"/>
      <c r="AC585" s="91"/>
      <c r="AD585" s="91"/>
      <c r="AE585" s="91"/>
      <c r="AF585" s="84"/>
      <c r="AG585" s="92"/>
      <c r="AH585" s="91"/>
      <c r="AI585" s="113"/>
      <c r="AJ585" s="116"/>
      <c r="AK585" s="79"/>
      <c r="AL585" s="79"/>
      <c r="AM585" s="165"/>
    </row>
    <row r="586" spans="1:39" s="67" customFormat="1">
      <c r="A586" s="56"/>
      <c r="B586" s="56"/>
      <c r="C586" s="96"/>
      <c r="D586" s="97" t="s">
        <v>1653</v>
      </c>
      <c r="E586" s="97"/>
      <c r="F586" s="98"/>
      <c r="G586" s="105"/>
      <c r="H586" s="100"/>
      <c r="I586" s="101"/>
      <c r="J586" s="87"/>
      <c r="K586" s="87"/>
      <c r="L586" s="87"/>
      <c r="M586" s="87"/>
      <c r="N586" s="87"/>
      <c r="O586" s="87"/>
      <c r="P586" s="87"/>
      <c r="Q586" s="87"/>
      <c r="R586" s="87"/>
      <c r="S586" s="87"/>
      <c r="T586" s="87"/>
      <c r="U586" s="87"/>
      <c r="V586" s="87"/>
      <c r="W586" s="102"/>
      <c r="X586" s="102"/>
      <c r="Y586" s="96"/>
      <c r="Z586" s="280"/>
      <c r="AA586" s="99"/>
      <c r="AB586" s="99"/>
      <c r="AC586" s="99"/>
      <c r="AD586" s="99"/>
      <c r="AE586" s="99"/>
      <c r="AF586" s="99"/>
      <c r="AG586" s="106"/>
      <c r="AH586" s="99"/>
      <c r="AI586" s="283"/>
      <c r="AJ586" s="116"/>
      <c r="AK586" s="79"/>
      <c r="AL586" s="79"/>
      <c r="AM586" s="165"/>
    </row>
    <row r="587" spans="1:39" s="67" customFormat="1" ht="187.2">
      <c r="A587" s="56"/>
      <c r="B587" s="56"/>
      <c r="C587" s="80"/>
      <c r="D587" s="81" t="s">
        <v>1654</v>
      </c>
      <c r="E587" s="82"/>
      <c r="F587" s="83" t="s">
        <v>1655</v>
      </c>
      <c r="G587" s="84" t="s">
        <v>1656</v>
      </c>
      <c r="H587" s="85" t="s">
        <v>41</v>
      </c>
      <c r="I587" s="86" t="s">
        <v>1652</v>
      </c>
      <c r="J587" s="87"/>
      <c r="K587" s="87"/>
      <c r="L587" s="87"/>
      <c r="M587" s="87"/>
      <c r="N587" s="87"/>
      <c r="O587" s="87"/>
      <c r="P587" s="87"/>
      <c r="Q587" s="87"/>
      <c r="R587" s="87"/>
      <c r="S587" s="87"/>
      <c r="T587" s="87"/>
      <c r="U587" s="87"/>
      <c r="V587" s="87"/>
      <c r="W587" s="88"/>
      <c r="X587" s="88"/>
      <c r="Y587" s="89"/>
      <c r="Z587" s="90"/>
      <c r="AA587" s="91"/>
      <c r="AB587" s="91"/>
      <c r="AC587" s="91"/>
      <c r="AD587" s="91"/>
      <c r="AE587" s="91"/>
      <c r="AF587" s="84"/>
      <c r="AG587" s="92"/>
      <c r="AH587" s="91"/>
      <c r="AI587" s="113"/>
      <c r="AJ587" s="116"/>
      <c r="AK587" s="79"/>
      <c r="AL587" s="79"/>
      <c r="AM587" s="165"/>
    </row>
    <row r="588" spans="1:39" s="67" customFormat="1">
      <c r="A588" s="56"/>
      <c r="B588" s="56"/>
      <c r="C588" s="96"/>
      <c r="D588" s="97" t="s">
        <v>1657</v>
      </c>
      <c r="E588" s="97"/>
      <c r="F588" s="98"/>
      <c r="G588" s="105"/>
      <c r="H588" s="100"/>
      <c r="I588" s="101"/>
      <c r="J588" s="87"/>
      <c r="K588" s="87"/>
      <c r="L588" s="87"/>
      <c r="M588" s="87"/>
      <c r="N588" s="87"/>
      <c r="O588" s="87"/>
      <c r="P588" s="87"/>
      <c r="Q588" s="87"/>
      <c r="R588" s="87"/>
      <c r="S588" s="87"/>
      <c r="T588" s="87"/>
      <c r="U588" s="87"/>
      <c r="V588" s="87"/>
      <c r="W588" s="102"/>
      <c r="X588" s="102"/>
      <c r="Y588" s="96"/>
      <c r="Z588" s="280"/>
      <c r="AA588" s="99"/>
      <c r="AB588" s="99"/>
      <c r="AC588" s="99"/>
      <c r="AD588" s="99"/>
      <c r="AE588" s="99"/>
      <c r="AF588" s="99"/>
      <c r="AG588" s="106"/>
      <c r="AH588" s="99"/>
      <c r="AI588" s="283"/>
      <c r="AJ588" s="116"/>
      <c r="AK588" s="79"/>
      <c r="AL588" s="79"/>
      <c r="AM588" s="165"/>
    </row>
    <row r="589" spans="1:39" s="56" customFormat="1" ht="28.8">
      <c r="C589" s="80"/>
      <c r="D589" s="81" t="s">
        <v>1658</v>
      </c>
      <c r="E589" s="82"/>
      <c r="F589" s="83" t="s">
        <v>1659</v>
      </c>
      <c r="G589" s="84" t="s">
        <v>1660</v>
      </c>
      <c r="H589" s="85" t="s">
        <v>41</v>
      </c>
      <c r="I589" s="86" t="s">
        <v>1652</v>
      </c>
      <c r="J589" s="87"/>
      <c r="K589" s="87"/>
      <c r="L589" s="87"/>
      <c r="M589" s="87"/>
      <c r="N589" s="87"/>
      <c r="O589" s="87"/>
      <c r="P589" s="87"/>
      <c r="Q589" s="87"/>
      <c r="R589" s="87"/>
      <c r="S589" s="87"/>
      <c r="T589" s="87"/>
      <c r="U589" s="87"/>
      <c r="V589" s="87"/>
      <c r="W589" s="88"/>
      <c r="X589" s="88"/>
      <c r="Y589" s="89"/>
      <c r="Z589" s="90"/>
      <c r="AA589" s="91"/>
      <c r="AB589" s="91"/>
      <c r="AC589" s="91"/>
      <c r="AD589" s="91"/>
      <c r="AE589" s="91"/>
      <c r="AF589" s="84"/>
      <c r="AG589" s="92"/>
      <c r="AH589" s="91"/>
      <c r="AI589" s="113"/>
      <c r="AJ589" s="116"/>
      <c r="AK589" s="79"/>
      <c r="AL589" s="79"/>
      <c r="AM589" s="57"/>
    </row>
    <row r="590" spans="1:39" s="56" customFormat="1">
      <c r="C590" s="96"/>
      <c r="D590" s="97" t="s">
        <v>1661</v>
      </c>
      <c r="E590" s="97"/>
      <c r="F590" s="98"/>
      <c r="G590" s="105"/>
      <c r="H590" s="100"/>
      <c r="I590" s="101"/>
      <c r="J590" s="87"/>
      <c r="K590" s="87"/>
      <c r="L590" s="87"/>
      <c r="M590" s="87"/>
      <c r="N590" s="87"/>
      <c r="O590" s="87"/>
      <c r="P590" s="87"/>
      <c r="Q590" s="87"/>
      <c r="R590" s="87"/>
      <c r="S590" s="87"/>
      <c r="T590" s="87"/>
      <c r="U590" s="87"/>
      <c r="V590" s="87"/>
      <c r="W590" s="102"/>
      <c r="X590" s="102"/>
      <c r="Y590" s="96"/>
      <c r="Z590" s="280"/>
      <c r="AA590" s="99"/>
      <c r="AB590" s="99"/>
      <c r="AC590" s="99"/>
      <c r="AD590" s="99"/>
      <c r="AE590" s="99"/>
      <c r="AF590" s="99"/>
      <c r="AG590" s="106"/>
      <c r="AH590" s="99"/>
      <c r="AI590" s="283"/>
      <c r="AJ590" s="116"/>
      <c r="AK590" s="79"/>
      <c r="AL590" s="79"/>
      <c r="AM590" s="57"/>
    </row>
    <row r="591" spans="1:39" s="56" customFormat="1" ht="28.8">
      <c r="C591" s="80"/>
      <c r="D591" s="81" t="s">
        <v>1662</v>
      </c>
      <c r="E591" s="82"/>
      <c r="F591" s="83"/>
      <c r="G591" s="84" t="s">
        <v>1663</v>
      </c>
      <c r="H591" s="85" t="s">
        <v>41</v>
      </c>
      <c r="I591" s="86" t="s">
        <v>1652</v>
      </c>
      <c r="J591" s="87"/>
      <c r="K591" s="87"/>
      <c r="L591" s="87"/>
      <c r="M591" s="87"/>
      <c r="N591" s="87"/>
      <c r="O591" s="87"/>
      <c r="P591" s="87"/>
      <c r="Q591" s="87"/>
      <c r="R591" s="87"/>
      <c r="S591" s="87"/>
      <c r="T591" s="87"/>
      <c r="U591" s="87"/>
      <c r="V591" s="87"/>
      <c r="W591" s="88"/>
      <c r="X591" s="88"/>
      <c r="Y591" s="89"/>
      <c r="Z591" s="90"/>
      <c r="AA591" s="91"/>
      <c r="AB591" s="91"/>
      <c r="AC591" s="91"/>
      <c r="AD591" s="91"/>
      <c r="AE591" s="91"/>
      <c r="AF591" s="84"/>
      <c r="AG591" s="92"/>
      <c r="AH591" s="91"/>
      <c r="AI591" s="113"/>
      <c r="AJ591" s="116"/>
      <c r="AK591" s="79"/>
      <c r="AL591" s="79"/>
      <c r="AM591" s="57"/>
    </row>
    <row r="592" spans="1:39" s="56" customFormat="1" ht="101.1" customHeight="1">
      <c r="C592" s="96"/>
      <c r="D592" s="97" t="s">
        <v>1664</v>
      </c>
      <c r="E592" s="97"/>
      <c r="F592" s="98"/>
      <c r="G592" s="105"/>
      <c r="H592" s="100"/>
      <c r="I592" s="101"/>
      <c r="J592" s="87"/>
      <c r="K592" s="87"/>
      <c r="L592" s="87"/>
      <c r="M592" s="87"/>
      <c r="N592" s="87"/>
      <c r="O592" s="87"/>
      <c r="P592" s="87"/>
      <c r="Q592" s="87"/>
      <c r="R592" s="87"/>
      <c r="S592" s="87"/>
      <c r="T592" s="87"/>
      <c r="U592" s="87"/>
      <c r="V592" s="87"/>
      <c r="W592" s="102"/>
      <c r="X592" s="102"/>
      <c r="Y592" s="96"/>
      <c r="Z592" s="280"/>
      <c r="AA592" s="99"/>
      <c r="AB592" s="99"/>
      <c r="AC592" s="99"/>
      <c r="AD592" s="99"/>
      <c r="AE592" s="99"/>
      <c r="AF592" s="99"/>
      <c r="AG592" s="106"/>
      <c r="AH592" s="99"/>
      <c r="AI592" s="103"/>
      <c r="AJ592" s="116"/>
      <c r="AK592" s="79"/>
      <c r="AL592" s="79"/>
      <c r="AM592" s="57"/>
    </row>
    <row r="593" spans="3:38" s="56" customFormat="1" ht="28.8">
      <c r="C593" s="80"/>
      <c r="D593" s="81" t="s">
        <v>1665</v>
      </c>
      <c r="E593" s="82"/>
      <c r="F593" s="83" t="s">
        <v>1666</v>
      </c>
      <c r="G593" s="84" t="s">
        <v>1667</v>
      </c>
      <c r="H593" s="85" t="s">
        <v>41</v>
      </c>
      <c r="I593" s="86" t="s">
        <v>1652</v>
      </c>
      <c r="J593" s="87"/>
      <c r="K593" s="87"/>
      <c r="L593" s="87"/>
      <c r="M593" s="87"/>
      <c r="N593" s="87"/>
      <c r="O593" s="87"/>
      <c r="P593" s="87"/>
      <c r="Q593" s="87"/>
      <c r="R593" s="87"/>
      <c r="S593" s="87"/>
      <c r="T593" s="87"/>
      <c r="U593" s="87"/>
      <c r="V593" s="87"/>
      <c r="W593" s="88"/>
      <c r="X593" s="88"/>
      <c r="Y593" s="89"/>
      <c r="Z593" s="90"/>
      <c r="AA593" s="91"/>
      <c r="AB593" s="91"/>
      <c r="AC593" s="91"/>
      <c r="AD593" s="91"/>
      <c r="AE593" s="91"/>
      <c r="AF593" s="84"/>
      <c r="AG593" s="92"/>
      <c r="AH593" s="91"/>
      <c r="AI593" s="113"/>
      <c r="AJ593" s="108"/>
      <c r="AK593" s="108"/>
      <c r="AL593" s="108"/>
    </row>
    <row r="594" spans="3:38" s="56" customFormat="1">
      <c r="C594" s="96"/>
      <c r="D594" s="97" t="s">
        <v>1668</v>
      </c>
      <c r="E594" s="97"/>
      <c r="F594" s="98"/>
      <c r="G594" s="105"/>
      <c r="H594" s="100"/>
      <c r="I594" s="101"/>
      <c r="J594" s="87"/>
      <c r="K594" s="87"/>
      <c r="L594" s="87"/>
      <c r="M594" s="87"/>
      <c r="N594" s="87"/>
      <c r="O594" s="87"/>
      <c r="P594" s="87"/>
      <c r="Q594" s="87"/>
      <c r="R594" s="87"/>
      <c r="S594" s="87"/>
      <c r="T594" s="87"/>
      <c r="U594" s="87"/>
      <c r="V594" s="87"/>
      <c r="W594" s="102"/>
      <c r="X594" s="102"/>
      <c r="Y594" s="96"/>
      <c r="Z594" s="280"/>
      <c r="AA594" s="99"/>
      <c r="AB594" s="99"/>
      <c r="AC594" s="99"/>
      <c r="AD594" s="99"/>
      <c r="AE594" s="99"/>
      <c r="AF594" s="99"/>
      <c r="AG594" s="106"/>
      <c r="AH594" s="99"/>
      <c r="AI594" s="283"/>
      <c r="AJ594" s="116"/>
      <c r="AK594" s="79"/>
      <c r="AL594" s="79"/>
    </row>
    <row r="595" spans="3:38" s="56" customFormat="1" ht="100.8">
      <c r="C595" s="80"/>
      <c r="D595" s="81" t="s">
        <v>1669</v>
      </c>
      <c r="E595" s="82"/>
      <c r="F595" s="83" t="s">
        <v>1670</v>
      </c>
      <c r="G595" s="84" t="s">
        <v>1671</v>
      </c>
      <c r="H595" s="85" t="s">
        <v>41</v>
      </c>
      <c r="I595" s="86" t="s">
        <v>1652</v>
      </c>
      <c r="J595" s="87"/>
      <c r="K595" s="87"/>
      <c r="L595" s="87"/>
      <c r="M595" s="87"/>
      <c r="N595" s="87"/>
      <c r="O595" s="87"/>
      <c r="P595" s="87"/>
      <c r="Q595" s="87"/>
      <c r="R595" s="87"/>
      <c r="S595" s="87"/>
      <c r="T595" s="87"/>
      <c r="U595" s="87"/>
      <c r="V595" s="87"/>
      <c r="W595" s="88"/>
      <c r="X595" s="88"/>
      <c r="Y595" s="89"/>
      <c r="Z595" s="90"/>
      <c r="AA595" s="91"/>
      <c r="AB595" s="91"/>
      <c r="AC595" s="91"/>
      <c r="AD595" s="91"/>
      <c r="AE595" s="91"/>
      <c r="AF595" s="84"/>
      <c r="AG595" s="92"/>
      <c r="AH595" s="91"/>
      <c r="AI595" s="113"/>
      <c r="AJ595" s="116"/>
      <c r="AK595" s="79"/>
      <c r="AL595" s="79"/>
    </row>
    <row r="596" spans="3:38" s="56" customFormat="1">
      <c r="C596" s="96"/>
      <c r="D596" s="97" t="s">
        <v>1672</v>
      </c>
      <c r="E596" s="97"/>
      <c r="F596" s="98"/>
      <c r="G596" s="105"/>
      <c r="H596" s="100"/>
      <c r="I596" s="101"/>
      <c r="J596" s="87"/>
      <c r="K596" s="87"/>
      <c r="L596" s="87"/>
      <c r="M596" s="87"/>
      <c r="N596" s="87"/>
      <c r="O596" s="87"/>
      <c r="P596" s="87"/>
      <c r="Q596" s="87"/>
      <c r="R596" s="87"/>
      <c r="S596" s="87"/>
      <c r="T596" s="87"/>
      <c r="U596" s="87"/>
      <c r="V596" s="87"/>
      <c r="W596" s="102"/>
      <c r="X596" s="102"/>
      <c r="Y596" s="96"/>
      <c r="Z596" s="280"/>
      <c r="AA596" s="99"/>
      <c r="AB596" s="99"/>
      <c r="AC596" s="99"/>
      <c r="AD596" s="99"/>
      <c r="AE596" s="99"/>
      <c r="AF596" s="99"/>
      <c r="AG596" s="106"/>
      <c r="AH596" s="99"/>
      <c r="AI596" s="283"/>
      <c r="AJ596" s="116"/>
      <c r="AK596" s="79"/>
      <c r="AL596" s="79"/>
    </row>
    <row r="597" spans="3:38" s="56" customFormat="1" ht="43.2">
      <c r="C597" s="80"/>
      <c r="D597" s="81" t="s">
        <v>1673</v>
      </c>
      <c r="E597" s="82"/>
      <c r="F597" s="83" t="s">
        <v>1674</v>
      </c>
      <c r="G597" s="84" t="s">
        <v>1675</v>
      </c>
      <c r="H597" s="85" t="s">
        <v>41</v>
      </c>
      <c r="I597" s="86" t="s">
        <v>1652</v>
      </c>
      <c r="J597" s="87"/>
      <c r="K597" s="87"/>
      <c r="L597" s="87"/>
      <c r="M597" s="87"/>
      <c r="N597" s="87"/>
      <c r="O597" s="87"/>
      <c r="P597" s="87"/>
      <c r="Q597" s="87"/>
      <c r="R597" s="87"/>
      <c r="S597" s="87"/>
      <c r="T597" s="87"/>
      <c r="U597" s="87"/>
      <c r="V597" s="87"/>
      <c r="W597" s="88"/>
      <c r="X597" s="88"/>
      <c r="Y597" s="89"/>
      <c r="Z597" s="90"/>
      <c r="AA597" s="91"/>
      <c r="AB597" s="91"/>
      <c r="AC597" s="91"/>
      <c r="AD597" s="91"/>
      <c r="AE597" s="91"/>
      <c r="AF597" s="84"/>
      <c r="AG597" s="92"/>
      <c r="AH597" s="91"/>
      <c r="AI597" s="113"/>
      <c r="AJ597" s="116"/>
      <c r="AK597" s="79"/>
      <c r="AL597" s="79"/>
    </row>
    <row r="598" spans="3:38" s="56" customFormat="1">
      <c r="C598" s="96"/>
      <c r="D598" s="97" t="s">
        <v>1676</v>
      </c>
      <c r="E598" s="97"/>
      <c r="F598" s="100"/>
      <c r="G598" s="57"/>
      <c r="H598" s="100"/>
      <c r="I598" s="101"/>
      <c r="J598" s="87"/>
      <c r="K598" s="87"/>
      <c r="L598" s="87"/>
      <c r="M598" s="87"/>
      <c r="N598" s="87"/>
      <c r="O598" s="87"/>
      <c r="P598" s="87"/>
      <c r="Q598" s="87"/>
      <c r="R598" s="87"/>
      <c r="S598" s="87"/>
      <c r="T598" s="87"/>
      <c r="U598" s="87"/>
      <c r="V598" s="87"/>
      <c r="W598" s="102"/>
      <c r="X598" s="102"/>
      <c r="Y598" s="96"/>
      <c r="Z598" s="280"/>
      <c r="AA598" s="99"/>
      <c r="AB598" s="99"/>
      <c r="AC598" s="99"/>
      <c r="AD598" s="99"/>
      <c r="AE598" s="99"/>
      <c r="AF598" s="99"/>
      <c r="AG598" s="106"/>
      <c r="AH598" s="99"/>
      <c r="AI598" s="283"/>
      <c r="AJ598" s="116"/>
      <c r="AK598" s="79"/>
      <c r="AL598" s="79"/>
    </row>
    <row r="599" spans="3:38">
      <c r="C599" s="122"/>
      <c r="D599" s="285"/>
      <c r="E599" s="285"/>
    </row>
    <row r="600" spans="3:38">
      <c r="C600" s="122"/>
      <c r="D600" s="285"/>
      <c r="E600" s="285"/>
    </row>
    <row r="601" spans="3:38">
      <c r="C601" s="122"/>
      <c r="D601" s="285"/>
      <c r="E601" s="285"/>
    </row>
    <row r="602" spans="3:38">
      <c r="C602" s="122"/>
      <c r="D602" s="285"/>
      <c r="E602" s="285"/>
    </row>
    <row r="603" spans="3:38">
      <c r="C603" s="122"/>
      <c r="D603" s="285"/>
      <c r="E603" s="285"/>
    </row>
    <row r="604" spans="3:38">
      <c r="C604" s="122"/>
      <c r="D604" s="285"/>
      <c r="E604" s="285"/>
    </row>
    <row r="605" spans="3:38">
      <c r="C605" s="122"/>
      <c r="D605" s="285"/>
      <c r="E605" s="285"/>
    </row>
    <row r="606" spans="3:38">
      <c r="C606" s="122"/>
      <c r="D606" s="285"/>
      <c r="E606" s="285"/>
    </row>
    <row r="607" spans="3:38">
      <c r="C607" s="122"/>
      <c r="D607" s="285"/>
      <c r="E607" s="285"/>
    </row>
    <row r="608" spans="3:38">
      <c r="C608" s="122"/>
      <c r="D608" s="285"/>
      <c r="E608" s="285"/>
    </row>
    <row r="609" spans="3:5">
      <c r="C609" s="122"/>
      <c r="D609" s="285"/>
      <c r="E609" s="285"/>
    </row>
    <row r="610" spans="3:5">
      <c r="C610" s="122"/>
      <c r="D610" s="285"/>
      <c r="E610" s="285"/>
    </row>
    <row r="611" spans="3:5">
      <c r="C611" s="122"/>
      <c r="D611" s="285"/>
      <c r="E611" s="285"/>
    </row>
    <row r="612" spans="3:5">
      <c r="C612" s="122"/>
      <c r="D612" s="285"/>
      <c r="E612" s="285"/>
    </row>
    <row r="613" spans="3:5">
      <c r="C613" s="122"/>
      <c r="D613" s="285"/>
      <c r="E613" s="285"/>
    </row>
    <row r="614" spans="3:5">
      <c r="C614" s="122"/>
      <c r="D614" s="285"/>
      <c r="E614" s="285"/>
    </row>
    <row r="615" spans="3:5">
      <c r="C615" s="122"/>
      <c r="D615" s="285"/>
      <c r="E615" s="285"/>
    </row>
    <row r="616" spans="3:5">
      <c r="C616" s="122"/>
      <c r="D616" s="285"/>
      <c r="E616" s="285"/>
    </row>
    <row r="617" spans="3:5">
      <c r="C617" s="122"/>
      <c r="D617" s="285"/>
      <c r="E617" s="285"/>
    </row>
    <row r="618" spans="3:5">
      <c r="C618" s="122"/>
      <c r="D618" s="285"/>
      <c r="E618" s="285"/>
    </row>
    <row r="619" spans="3:5">
      <c r="C619" s="122"/>
      <c r="D619" s="285"/>
      <c r="E619" s="285"/>
    </row>
    <row r="620" spans="3:5">
      <c r="C620" s="122"/>
      <c r="D620" s="285"/>
      <c r="E620" s="285"/>
    </row>
    <row r="621" spans="3:5">
      <c r="C621" s="122"/>
      <c r="D621" s="285"/>
      <c r="E621" s="285"/>
    </row>
    <row r="622" spans="3:5">
      <c r="C622" s="122"/>
      <c r="D622" s="285"/>
      <c r="E622" s="285"/>
    </row>
    <row r="623" spans="3:5">
      <c r="C623" s="122"/>
      <c r="D623" s="285"/>
      <c r="E623" s="285"/>
    </row>
    <row r="624" spans="3:5">
      <c r="C624" s="122"/>
      <c r="D624" s="285"/>
      <c r="E624" s="285"/>
    </row>
    <row r="625" spans="3:5">
      <c r="C625" s="122"/>
      <c r="D625" s="285"/>
      <c r="E625" s="285"/>
    </row>
    <row r="626" spans="3:5">
      <c r="C626" s="122"/>
      <c r="D626" s="285"/>
      <c r="E626" s="285"/>
    </row>
    <row r="627" spans="3:5">
      <c r="C627" s="122"/>
      <c r="D627" s="285"/>
      <c r="E627" s="285"/>
    </row>
    <row r="628" spans="3:5">
      <c r="C628" s="122"/>
      <c r="D628" s="285"/>
      <c r="E628" s="285"/>
    </row>
    <row r="629" spans="3:5">
      <c r="C629" s="122"/>
      <c r="D629" s="285"/>
      <c r="E629" s="285"/>
    </row>
    <row r="630" spans="3:5">
      <c r="C630" s="122"/>
      <c r="D630" s="285"/>
      <c r="E630" s="285"/>
    </row>
    <row r="631" spans="3:5">
      <c r="C631" s="122"/>
      <c r="D631" s="285"/>
      <c r="E631" s="285"/>
    </row>
    <row r="632" spans="3:5">
      <c r="C632" s="122"/>
      <c r="D632" s="285"/>
      <c r="E632" s="285"/>
    </row>
    <row r="633" spans="3:5">
      <c r="C633" s="122"/>
      <c r="D633" s="285"/>
      <c r="E633" s="285"/>
    </row>
    <row r="634" spans="3:5">
      <c r="C634" s="122"/>
      <c r="D634" s="285"/>
      <c r="E634" s="285"/>
    </row>
    <row r="635" spans="3:5">
      <c r="C635" s="122"/>
      <c r="D635" s="285"/>
      <c r="E635" s="285"/>
    </row>
    <row r="636" spans="3:5">
      <c r="C636" s="122"/>
      <c r="D636" s="285"/>
      <c r="E636" s="285"/>
    </row>
    <row r="637" spans="3:5">
      <c r="C637" s="122"/>
      <c r="D637" s="285"/>
      <c r="E637" s="285"/>
    </row>
    <row r="638" spans="3:5">
      <c r="C638" s="122"/>
      <c r="D638" s="285"/>
      <c r="E638" s="285"/>
    </row>
    <row r="639" spans="3:5">
      <c r="C639" s="122"/>
      <c r="D639" s="285"/>
      <c r="E639" s="285"/>
    </row>
    <row r="640" spans="3:5">
      <c r="C640" s="122"/>
      <c r="D640" s="285"/>
      <c r="E640" s="285"/>
    </row>
    <row r="641" spans="3:5">
      <c r="C641" s="122"/>
      <c r="D641" s="285"/>
      <c r="E641" s="285"/>
    </row>
    <row r="642" spans="3:5">
      <c r="C642" s="122"/>
      <c r="D642" s="285"/>
      <c r="E642" s="285"/>
    </row>
    <row r="643" spans="3:5">
      <c r="C643" s="122"/>
      <c r="D643" s="285"/>
      <c r="E643" s="285"/>
    </row>
    <row r="644" spans="3:5">
      <c r="C644" s="122"/>
      <c r="D644" s="285"/>
      <c r="E644" s="285"/>
    </row>
    <row r="645" spans="3:5">
      <c r="C645" s="122"/>
      <c r="D645" s="285"/>
      <c r="E645" s="285"/>
    </row>
    <row r="646" spans="3:5">
      <c r="C646" s="122"/>
      <c r="D646" s="285"/>
      <c r="E646" s="285"/>
    </row>
    <row r="647" spans="3:5">
      <c r="C647" s="122"/>
      <c r="D647" s="285"/>
      <c r="E647" s="285"/>
    </row>
    <row r="648" spans="3:5">
      <c r="C648" s="122"/>
      <c r="D648" s="285"/>
      <c r="E648" s="285"/>
    </row>
    <row r="649" spans="3:5">
      <c r="C649" s="122"/>
      <c r="D649" s="285"/>
      <c r="E649" s="285"/>
    </row>
    <row r="650" spans="3:5">
      <c r="C650" s="122"/>
      <c r="D650" s="285"/>
      <c r="E650" s="285"/>
    </row>
    <row r="651" spans="3:5">
      <c r="C651" s="122"/>
      <c r="D651" s="285"/>
      <c r="E651" s="285"/>
    </row>
    <row r="652" spans="3:5">
      <c r="C652" s="122"/>
      <c r="D652" s="285"/>
      <c r="E652" s="285"/>
    </row>
    <row r="653" spans="3:5">
      <c r="C653" s="122"/>
      <c r="D653" s="285"/>
      <c r="E653" s="285"/>
    </row>
    <row r="654" spans="3:5">
      <c r="C654" s="122"/>
      <c r="D654" s="285"/>
      <c r="E654" s="285"/>
    </row>
    <row r="655" spans="3:5">
      <c r="C655" s="122"/>
      <c r="D655" s="285"/>
      <c r="E655" s="285"/>
    </row>
    <row r="656" spans="3:5">
      <c r="C656" s="122"/>
      <c r="D656" s="285"/>
      <c r="E656" s="285"/>
    </row>
    <row r="657" spans="3:5">
      <c r="C657" s="122"/>
      <c r="D657" s="285"/>
      <c r="E657" s="285"/>
    </row>
    <row r="658" spans="3:5">
      <c r="C658" s="122"/>
      <c r="D658" s="285"/>
      <c r="E658" s="285"/>
    </row>
    <row r="659" spans="3:5">
      <c r="C659" s="122"/>
      <c r="D659" s="285"/>
      <c r="E659" s="285"/>
    </row>
    <row r="660" spans="3:5">
      <c r="C660" s="122"/>
      <c r="D660" s="285"/>
      <c r="E660" s="285"/>
    </row>
    <row r="661" spans="3:5">
      <c r="C661" s="122"/>
      <c r="D661" s="285"/>
      <c r="E661" s="285"/>
    </row>
    <row r="662" spans="3:5">
      <c r="C662" s="122"/>
      <c r="D662" s="285"/>
      <c r="E662" s="285"/>
    </row>
    <row r="663" spans="3:5">
      <c r="C663" s="122"/>
      <c r="D663" s="285"/>
      <c r="E663" s="285"/>
    </row>
    <row r="664" spans="3:5">
      <c r="C664" s="122"/>
      <c r="D664" s="285"/>
      <c r="E664" s="285"/>
    </row>
    <row r="665" spans="3:5">
      <c r="C665" s="122"/>
      <c r="D665" s="285"/>
      <c r="E665" s="285"/>
    </row>
    <row r="666" spans="3:5">
      <c r="C666" s="122"/>
      <c r="D666" s="285"/>
      <c r="E666" s="285"/>
    </row>
    <row r="667" spans="3:5">
      <c r="C667" s="122"/>
      <c r="D667" s="285"/>
      <c r="E667" s="285"/>
    </row>
    <row r="668" spans="3:5">
      <c r="C668" s="122"/>
      <c r="D668" s="285"/>
      <c r="E668" s="285"/>
    </row>
    <row r="669" spans="3:5">
      <c r="C669" s="122"/>
      <c r="D669" s="285"/>
      <c r="E669" s="285"/>
    </row>
    <row r="670" spans="3:5">
      <c r="C670" s="122"/>
      <c r="D670" s="285"/>
      <c r="E670" s="285"/>
    </row>
    <row r="671" spans="3:5">
      <c r="C671" s="122"/>
      <c r="D671" s="285"/>
      <c r="E671" s="285"/>
    </row>
    <row r="672" spans="3:5">
      <c r="C672" s="122"/>
      <c r="D672" s="285"/>
      <c r="E672" s="285"/>
    </row>
    <row r="673" spans="3:5">
      <c r="C673" s="122"/>
      <c r="D673" s="285"/>
      <c r="E673" s="285"/>
    </row>
    <row r="674" spans="3:5">
      <c r="C674" s="122"/>
      <c r="D674" s="285"/>
      <c r="E674" s="285"/>
    </row>
    <row r="675" spans="3:5">
      <c r="C675" s="122"/>
      <c r="D675" s="285"/>
      <c r="E675" s="285"/>
    </row>
    <row r="676" spans="3:5">
      <c r="C676" s="122"/>
      <c r="D676" s="285"/>
      <c r="E676" s="285"/>
    </row>
    <row r="677" spans="3:5">
      <c r="C677" s="122"/>
      <c r="D677" s="285"/>
      <c r="E677" s="285"/>
    </row>
    <row r="678" spans="3:5">
      <c r="C678" s="122"/>
      <c r="D678" s="285"/>
      <c r="E678" s="285"/>
    </row>
    <row r="679" spans="3:5">
      <c r="C679" s="122"/>
      <c r="D679" s="285"/>
      <c r="E679" s="285"/>
    </row>
    <row r="680" spans="3:5">
      <c r="C680" s="122"/>
      <c r="D680" s="285"/>
      <c r="E680" s="285"/>
    </row>
    <row r="681" spans="3:5">
      <c r="C681" s="122"/>
      <c r="D681" s="285"/>
      <c r="E681" s="285"/>
    </row>
    <row r="682" spans="3:5">
      <c r="C682" s="122"/>
      <c r="D682" s="285"/>
      <c r="E682" s="285"/>
    </row>
    <row r="683" spans="3:5">
      <c r="C683" s="122"/>
      <c r="D683" s="285"/>
      <c r="E683" s="285"/>
    </row>
    <row r="684" spans="3:5">
      <c r="C684" s="122"/>
      <c r="D684" s="285"/>
      <c r="E684" s="285"/>
    </row>
    <row r="685" spans="3:5">
      <c r="C685" s="122"/>
      <c r="D685" s="285"/>
      <c r="E685" s="285"/>
    </row>
    <row r="686" spans="3:5">
      <c r="C686" s="122"/>
      <c r="D686" s="285"/>
      <c r="E686" s="285"/>
    </row>
    <row r="687" spans="3:5">
      <c r="C687" s="122"/>
      <c r="D687" s="285"/>
      <c r="E687" s="285"/>
    </row>
    <row r="688" spans="3:5">
      <c r="C688" s="122"/>
      <c r="D688" s="285"/>
      <c r="E688" s="285"/>
    </row>
    <row r="689" spans="3:5">
      <c r="C689" s="122"/>
      <c r="D689" s="285"/>
      <c r="E689" s="285"/>
    </row>
    <row r="690" spans="3:5">
      <c r="C690" s="122"/>
      <c r="D690" s="285"/>
      <c r="E690" s="285"/>
    </row>
    <row r="691" spans="3:5">
      <c r="C691" s="122"/>
      <c r="D691" s="285"/>
      <c r="E691" s="285"/>
    </row>
    <row r="692" spans="3:5">
      <c r="C692" s="122"/>
      <c r="D692" s="285"/>
      <c r="E692" s="285"/>
    </row>
    <row r="693" spans="3:5">
      <c r="C693" s="122"/>
      <c r="D693" s="285"/>
      <c r="E693" s="285"/>
    </row>
    <row r="694" spans="3:5">
      <c r="C694" s="122"/>
      <c r="D694" s="285"/>
      <c r="E694" s="285"/>
    </row>
    <row r="695" spans="3:5">
      <c r="C695" s="122"/>
      <c r="D695" s="285"/>
      <c r="E695" s="285"/>
    </row>
    <row r="696" spans="3:5">
      <c r="C696" s="122"/>
      <c r="D696" s="285"/>
      <c r="E696" s="285"/>
    </row>
    <row r="697" spans="3:5">
      <c r="C697" s="122"/>
      <c r="D697" s="285"/>
      <c r="E697" s="285"/>
    </row>
    <row r="698" spans="3:5">
      <c r="C698" s="122"/>
      <c r="D698" s="285"/>
      <c r="E698" s="285"/>
    </row>
    <row r="699" spans="3:5">
      <c r="C699" s="122"/>
      <c r="D699" s="285"/>
      <c r="E699" s="285"/>
    </row>
    <row r="700" spans="3:5">
      <c r="C700" s="122"/>
      <c r="D700" s="285"/>
      <c r="E700" s="285"/>
    </row>
    <row r="701" spans="3:5">
      <c r="C701" s="122"/>
      <c r="D701" s="285"/>
      <c r="E701" s="285"/>
    </row>
    <row r="702" spans="3:5">
      <c r="C702" s="122"/>
      <c r="D702" s="285"/>
      <c r="E702" s="285"/>
    </row>
    <row r="703" spans="3:5">
      <c r="C703" s="122"/>
      <c r="D703" s="285"/>
      <c r="E703" s="285"/>
    </row>
    <row r="704" spans="3:5">
      <c r="C704" s="122"/>
      <c r="D704" s="285"/>
      <c r="E704" s="285"/>
    </row>
    <row r="705" spans="3:5">
      <c r="C705" s="122"/>
      <c r="D705" s="285"/>
      <c r="E705" s="285"/>
    </row>
    <row r="706" spans="3:5">
      <c r="C706" s="122"/>
      <c r="D706" s="285"/>
      <c r="E706" s="285"/>
    </row>
    <row r="707" spans="3:5">
      <c r="C707" s="122"/>
      <c r="D707" s="285"/>
      <c r="E707" s="285"/>
    </row>
    <row r="708" spans="3:5">
      <c r="C708" s="122"/>
      <c r="D708" s="285"/>
      <c r="E708" s="285"/>
    </row>
    <row r="709" spans="3:5">
      <c r="C709" s="122"/>
      <c r="D709" s="285"/>
      <c r="E709" s="285"/>
    </row>
    <row r="710" spans="3:5">
      <c r="C710" s="122"/>
      <c r="D710" s="285"/>
      <c r="E710" s="285"/>
    </row>
    <row r="711" spans="3:5">
      <c r="C711" s="122"/>
      <c r="D711" s="285"/>
      <c r="E711" s="285"/>
    </row>
    <row r="712" spans="3:5">
      <c r="C712" s="122"/>
      <c r="D712" s="285"/>
      <c r="E712" s="285"/>
    </row>
    <row r="713" spans="3:5">
      <c r="C713" s="122"/>
      <c r="D713" s="285"/>
      <c r="E713" s="285"/>
    </row>
    <row r="714" spans="3:5">
      <c r="C714" s="122"/>
      <c r="D714" s="285"/>
      <c r="E714" s="285"/>
    </row>
    <row r="715" spans="3:5">
      <c r="C715" s="122"/>
      <c r="D715" s="285"/>
      <c r="E715" s="285"/>
    </row>
    <row r="716" spans="3:5">
      <c r="C716" s="122"/>
      <c r="D716" s="285"/>
      <c r="E716" s="285"/>
    </row>
    <row r="717" spans="3:5">
      <c r="C717" s="122"/>
      <c r="D717" s="285"/>
      <c r="E717" s="285"/>
    </row>
    <row r="718" spans="3:5">
      <c r="C718" s="122"/>
      <c r="D718" s="285"/>
      <c r="E718" s="285"/>
    </row>
    <row r="719" spans="3:5">
      <c r="C719" s="122"/>
      <c r="D719" s="285"/>
      <c r="E719" s="285"/>
    </row>
    <row r="720" spans="3:5">
      <c r="C720" s="122"/>
      <c r="D720" s="285"/>
      <c r="E720" s="285"/>
    </row>
    <row r="721" spans="3:5">
      <c r="C721" s="122"/>
      <c r="D721" s="285"/>
      <c r="E721" s="285"/>
    </row>
    <row r="722" spans="3:5">
      <c r="C722" s="122"/>
      <c r="D722" s="285"/>
      <c r="E722" s="285"/>
    </row>
    <row r="723" spans="3:5">
      <c r="C723" s="122"/>
      <c r="D723" s="285"/>
      <c r="E723" s="285"/>
    </row>
    <row r="724" spans="3:5">
      <c r="C724" s="122"/>
      <c r="D724" s="285"/>
      <c r="E724" s="285"/>
    </row>
    <row r="725" spans="3:5">
      <c r="C725" s="122"/>
      <c r="D725" s="285"/>
      <c r="E725" s="285"/>
    </row>
    <row r="726" spans="3:5">
      <c r="C726" s="122"/>
      <c r="D726" s="285"/>
      <c r="E726" s="285"/>
    </row>
    <row r="727" spans="3:5">
      <c r="C727" s="122"/>
      <c r="D727" s="285"/>
      <c r="E727" s="285"/>
    </row>
    <row r="728" spans="3:5">
      <c r="C728" s="122"/>
      <c r="D728" s="285"/>
      <c r="E728" s="285"/>
    </row>
    <row r="729" spans="3:5">
      <c r="C729" s="122"/>
      <c r="D729" s="285"/>
      <c r="E729" s="285"/>
    </row>
    <row r="730" spans="3:5">
      <c r="C730" s="122"/>
      <c r="D730" s="285"/>
      <c r="E730" s="285"/>
    </row>
    <row r="731" spans="3:5">
      <c r="C731" s="122"/>
      <c r="D731" s="285"/>
      <c r="E731" s="285"/>
    </row>
    <row r="732" spans="3:5">
      <c r="C732" s="122"/>
      <c r="D732" s="285"/>
      <c r="E732" s="285"/>
    </row>
    <row r="733" spans="3:5">
      <c r="C733" s="122"/>
      <c r="D733" s="285"/>
      <c r="E733" s="285"/>
    </row>
    <row r="734" spans="3:5">
      <c r="C734" s="122"/>
      <c r="D734" s="285"/>
      <c r="E734" s="285"/>
    </row>
    <row r="735" spans="3:5">
      <c r="C735" s="122"/>
      <c r="D735" s="285"/>
      <c r="E735" s="285"/>
    </row>
    <row r="736" spans="3:5">
      <c r="C736" s="122"/>
      <c r="D736" s="285"/>
      <c r="E736" s="285"/>
    </row>
    <row r="737" spans="3:5">
      <c r="C737" s="122"/>
      <c r="D737" s="285"/>
      <c r="E737" s="285"/>
    </row>
    <row r="738" spans="3:5">
      <c r="C738" s="122"/>
      <c r="D738" s="285"/>
      <c r="E738" s="285"/>
    </row>
    <row r="739" spans="3:5">
      <c r="C739" s="122"/>
      <c r="D739" s="285"/>
      <c r="E739" s="285"/>
    </row>
    <row r="740" spans="3:5">
      <c r="C740" s="122"/>
      <c r="D740" s="285"/>
      <c r="E740" s="285"/>
    </row>
    <row r="741" spans="3:5">
      <c r="C741" s="122"/>
      <c r="D741" s="285"/>
      <c r="E741" s="285"/>
    </row>
    <row r="742" spans="3:5">
      <c r="C742" s="122"/>
      <c r="D742" s="285"/>
      <c r="E742" s="285"/>
    </row>
    <row r="743" spans="3:5">
      <c r="C743" s="122"/>
      <c r="D743" s="285"/>
      <c r="E743" s="285"/>
    </row>
    <row r="744" spans="3:5">
      <c r="C744" s="122"/>
      <c r="D744" s="285"/>
      <c r="E744" s="285"/>
    </row>
    <row r="745" spans="3:5">
      <c r="C745" s="122"/>
      <c r="D745" s="285"/>
      <c r="E745" s="285"/>
    </row>
    <row r="746" spans="3:5">
      <c r="C746" s="122"/>
      <c r="D746" s="285"/>
      <c r="E746" s="285"/>
    </row>
    <row r="747" spans="3:5">
      <c r="C747" s="122"/>
      <c r="D747" s="285"/>
      <c r="E747" s="285"/>
    </row>
    <row r="748" spans="3:5">
      <c r="C748" s="122"/>
      <c r="D748" s="285"/>
      <c r="E748" s="285"/>
    </row>
    <row r="749" spans="3:5">
      <c r="C749" s="122"/>
      <c r="D749" s="285"/>
      <c r="E749" s="285"/>
    </row>
    <row r="750" spans="3:5">
      <c r="C750" s="122"/>
      <c r="D750" s="285"/>
      <c r="E750" s="285"/>
    </row>
    <row r="751" spans="3:5">
      <c r="C751" s="122"/>
      <c r="D751" s="285"/>
      <c r="E751" s="285"/>
    </row>
    <row r="752" spans="3:5">
      <c r="C752" s="122"/>
      <c r="D752" s="285"/>
      <c r="E752" s="285"/>
    </row>
    <row r="753" spans="3:5">
      <c r="C753" s="122"/>
      <c r="D753" s="285"/>
      <c r="E753" s="285"/>
    </row>
    <row r="754" spans="3:5">
      <c r="C754" s="122"/>
      <c r="D754" s="285"/>
      <c r="E754" s="285"/>
    </row>
    <row r="755" spans="3:5">
      <c r="C755" s="122"/>
      <c r="D755" s="285"/>
      <c r="E755" s="285"/>
    </row>
    <row r="756" spans="3:5">
      <c r="C756" s="122"/>
      <c r="D756" s="285"/>
      <c r="E756" s="285"/>
    </row>
    <row r="757" spans="3:5">
      <c r="C757" s="122"/>
      <c r="D757" s="285"/>
      <c r="E757" s="285"/>
    </row>
    <row r="758" spans="3:5">
      <c r="C758" s="122"/>
      <c r="D758" s="285"/>
      <c r="E758" s="285"/>
    </row>
    <row r="759" spans="3:5">
      <c r="C759" s="122"/>
      <c r="D759" s="285"/>
      <c r="E759" s="285"/>
    </row>
    <row r="760" spans="3:5">
      <c r="C760" s="122"/>
      <c r="D760" s="285"/>
      <c r="E760" s="285"/>
    </row>
    <row r="761" spans="3:5">
      <c r="C761" s="122"/>
      <c r="D761" s="285"/>
      <c r="E761" s="285"/>
    </row>
    <row r="762" spans="3:5">
      <c r="C762" s="122"/>
      <c r="D762" s="285"/>
      <c r="E762" s="285"/>
    </row>
    <row r="763" spans="3:5">
      <c r="C763" s="122"/>
      <c r="D763" s="285"/>
      <c r="E763" s="285"/>
    </row>
    <row r="764" spans="3:5">
      <c r="C764" s="122"/>
      <c r="D764" s="285"/>
      <c r="E764" s="285"/>
    </row>
    <row r="765" spans="3:5">
      <c r="C765" s="122"/>
      <c r="D765" s="285"/>
      <c r="E765" s="285"/>
    </row>
    <row r="766" spans="3:5">
      <c r="C766" s="122"/>
      <c r="D766" s="285"/>
      <c r="E766" s="285"/>
    </row>
    <row r="767" spans="3:5">
      <c r="C767" s="122"/>
      <c r="D767" s="285"/>
      <c r="E767" s="285"/>
    </row>
    <row r="768" spans="3:5">
      <c r="C768" s="122"/>
      <c r="D768" s="285"/>
      <c r="E768" s="285"/>
    </row>
    <row r="769" spans="3:5">
      <c r="C769" s="122"/>
      <c r="D769" s="285"/>
      <c r="E769" s="285"/>
    </row>
    <row r="770" spans="3:5">
      <c r="C770" s="122"/>
      <c r="D770" s="285"/>
      <c r="E770" s="285"/>
    </row>
    <row r="771" spans="3:5">
      <c r="C771" s="122"/>
      <c r="D771" s="285"/>
      <c r="E771" s="285"/>
    </row>
    <row r="772" spans="3:5">
      <c r="C772" s="122"/>
      <c r="D772" s="285"/>
      <c r="E772" s="285"/>
    </row>
    <row r="773" spans="3:5">
      <c r="C773" s="122"/>
      <c r="D773" s="285"/>
      <c r="E773" s="285"/>
    </row>
    <row r="774" spans="3:5">
      <c r="C774" s="122"/>
      <c r="D774" s="285"/>
      <c r="E774" s="285"/>
    </row>
    <row r="775" spans="3:5">
      <c r="C775" s="122"/>
      <c r="D775" s="285"/>
      <c r="E775" s="285"/>
    </row>
    <row r="776" spans="3:5">
      <c r="C776" s="122"/>
      <c r="D776" s="285"/>
      <c r="E776" s="285"/>
    </row>
    <row r="777" spans="3:5">
      <c r="C777" s="122"/>
      <c r="D777" s="285"/>
      <c r="E777" s="285"/>
    </row>
    <row r="778" spans="3:5">
      <c r="C778" s="122"/>
      <c r="D778" s="285"/>
      <c r="E778" s="285"/>
    </row>
    <row r="779" spans="3:5">
      <c r="C779" s="122"/>
      <c r="D779" s="285"/>
      <c r="E779" s="285"/>
    </row>
    <row r="780" spans="3:5">
      <c r="C780" s="122"/>
      <c r="D780" s="285"/>
      <c r="E780" s="285"/>
    </row>
    <row r="781" spans="3:5">
      <c r="C781" s="122"/>
      <c r="D781" s="285"/>
      <c r="E781" s="285"/>
    </row>
    <row r="782" spans="3:5">
      <c r="C782" s="122"/>
      <c r="D782" s="285"/>
      <c r="E782" s="285"/>
    </row>
    <row r="783" spans="3:5">
      <c r="C783" s="122"/>
      <c r="D783" s="285"/>
      <c r="E783" s="285"/>
    </row>
    <row r="784" spans="3:5">
      <c r="C784" s="122"/>
      <c r="D784" s="285"/>
      <c r="E784" s="285"/>
    </row>
    <row r="785" spans="3:5">
      <c r="C785" s="122"/>
      <c r="D785" s="285"/>
      <c r="E785" s="285"/>
    </row>
    <row r="786" spans="3:5">
      <c r="C786" s="122"/>
      <c r="D786" s="285"/>
      <c r="E786" s="285"/>
    </row>
    <row r="787" spans="3:5">
      <c r="C787" s="122"/>
      <c r="D787" s="285"/>
      <c r="E787" s="285"/>
    </row>
    <row r="788" spans="3:5">
      <c r="C788" s="122"/>
      <c r="D788" s="285"/>
      <c r="E788" s="285"/>
    </row>
    <row r="789" spans="3:5">
      <c r="C789" s="122"/>
      <c r="D789" s="285"/>
      <c r="E789" s="285"/>
    </row>
    <row r="790" spans="3:5">
      <c r="C790" s="122"/>
      <c r="D790" s="285"/>
      <c r="E790" s="285"/>
    </row>
    <row r="791" spans="3:5">
      <c r="C791" s="122"/>
      <c r="D791" s="285"/>
      <c r="E791" s="285"/>
    </row>
    <row r="792" spans="3:5">
      <c r="C792" s="122"/>
      <c r="D792" s="285"/>
      <c r="E792" s="285"/>
    </row>
    <row r="793" spans="3:5">
      <c r="C793" s="122"/>
      <c r="D793" s="285"/>
      <c r="E793" s="285"/>
    </row>
    <row r="794" spans="3:5">
      <c r="C794" s="122"/>
      <c r="D794" s="285"/>
      <c r="E794" s="285"/>
    </row>
    <row r="795" spans="3:5">
      <c r="C795" s="122"/>
      <c r="D795" s="285"/>
      <c r="E795" s="285"/>
    </row>
    <row r="796" spans="3:5">
      <c r="C796" s="122"/>
      <c r="D796" s="285"/>
      <c r="E796" s="285"/>
    </row>
    <row r="797" spans="3:5">
      <c r="C797" s="122"/>
      <c r="D797" s="285"/>
      <c r="E797" s="285"/>
    </row>
    <row r="798" spans="3:5">
      <c r="C798" s="122"/>
      <c r="D798" s="285"/>
      <c r="E798" s="285"/>
    </row>
    <row r="799" spans="3:5">
      <c r="C799" s="122"/>
      <c r="D799" s="285"/>
      <c r="E799" s="285"/>
    </row>
    <row r="800" spans="3:5">
      <c r="C800" s="122"/>
      <c r="D800" s="285"/>
      <c r="E800" s="285"/>
    </row>
    <row r="801" spans="3:5">
      <c r="C801" s="122"/>
      <c r="D801" s="285"/>
      <c r="E801" s="285"/>
    </row>
    <row r="802" spans="3:5">
      <c r="C802" s="122"/>
      <c r="D802" s="285"/>
      <c r="E802" s="285"/>
    </row>
    <row r="803" spans="3:5">
      <c r="C803" s="122"/>
      <c r="D803" s="285"/>
      <c r="E803" s="285"/>
    </row>
    <row r="804" spans="3:5">
      <c r="C804" s="122"/>
      <c r="D804" s="285"/>
      <c r="E804" s="285"/>
    </row>
    <row r="805" spans="3:5">
      <c r="C805" s="122"/>
      <c r="D805" s="285"/>
      <c r="E805" s="285"/>
    </row>
    <row r="806" spans="3:5">
      <c r="C806" s="122"/>
      <c r="D806" s="285"/>
      <c r="E806" s="285"/>
    </row>
    <row r="807" spans="3:5">
      <c r="C807" s="122"/>
      <c r="D807" s="285"/>
      <c r="E807" s="285"/>
    </row>
    <row r="808" spans="3:5">
      <c r="C808" s="122"/>
      <c r="D808" s="285"/>
      <c r="E808" s="285"/>
    </row>
    <row r="809" spans="3:5">
      <c r="C809" s="122"/>
      <c r="D809" s="285"/>
      <c r="E809" s="285"/>
    </row>
    <row r="810" spans="3:5">
      <c r="C810" s="122"/>
      <c r="D810" s="285"/>
      <c r="E810" s="285"/>
    </row>
    <row r="811" spans="3:5">
      <c r="C811" s="122"/>
      <c r="D811" s="285"/>
      <c r="E811" s="285"/>
    </row>
    <row r="812" spans="3:5">
      <c r="C812" s="122"/>
      <c r="D812" s="285"/>
      <c r="E812" s="285"/>
    </row>
    <row r="813" spans="3:5">
      <c r="C813" s="122"/>
      <c r="D813" s="285"/>
      <c r="E813" s="285"/>
    </row>
    <row r="814" spans="3:5">
      <c r="C814" s="122"/>
      <c r="D814" s="285"/>
      <c r="E814" s="285"/>
    </row>
    <row r="815" spans="3:5">
      <c r="C815" s="122"/>
      <c r="D815" s="285"/>
      <c r="E815" s="285"/>
    </row>
    <row r="816" spans="3:5">
      <c r="C816" s="122"/>
      <c r="D816" s="285"/>
      <c r="E816" s="285"/>
    </row>
    <row r="817" spans="3:5">
      <c r="C817" s="122"/>
      <c r="D817" s="285"/>
      <c r="E817" s="285"/>
    </row>
    <row r="818" spans="3:5">
      <c r="C818" s="122"/>
      <c r="D818" s="285"/>
      <c r="E818" s="285"/>
    </row>
    <row r="819" spans="3:5">
      <c r="C819" s="122"/>
      <c r="D819" s="285"/>
      <c r="E819" s="285"/>
    </row>
    <row r="820" spans="3:5">
      <c r="C820" s="122"/>
      <c r="D820" s="285"/>
      <c r="E820" s="285"/>
    </row>
    <row r="821" spans="3:5">
      <c r="C821" s="122"/>
      <c r="D821" s="285"/>
      <c r="E821" s="285"/>
    </row>
    <row r="822" spans="3:5">
      <c r="C822" s="122"/>
      <c r="D822" s="285"/>
      <c r="E822" s="285"/>
    </row>
    <row r="823" spans="3:5">
      <c r="C823" s="122"/>
      <c r="D823" s="285"/>
      <c r="E823" s="285"/>
    </row>
    <row r="824" spans="3:5">
      <c r="C824" s="122"/>
      <c r="D824" s="285"/>
      <c r="E824" s="285"/>
    </row>
    <row r="825" spans="3:5">
      <c r="C825" s="122"/>
      <c r="D825" s="285"/>
      <c r="E825" s="285"/>
    </row>
    <row r="826" spans="3:5">
      <c r="C826" s="122"/>
      <c r="D826" s="285"/>
      <c r="E826" s="285"/>
    </row>
    <row r="827" spans="3:5">
      <c r="C827" s="122"/>
      <c r="D827" s="285"/>
      <c r="E827" s="285"/>
    </row>
    <row r="828" spans="3:5">
      <c r="C828" s="122"/>
      <c r="D828" s="285"/>
      <c r="E828" s="285"/>
    </row>
    <row r="829" spans="3:5">
      <c r="C829" s="122"/>
      <c r="D829" s="285"/>
      <c r="E829" s="285"/>
    </row>
    <row r="830" spans="3:5">
      <c r="C830" s="122"/>
      <c r="D830" s="285"/>
      <c r="E830" s="285"/>
    </row>
    <row r="831" spans="3:5">
      <c r="C831" s="122"/>
      <c r="D831" s="285"/>
      <c r="E831" s="285"/>
    </row>
    <row r="832" spans="3:5">
      <c r="C832" s="122"/>
      <c r="D832" s="285"/>
      <c r="E832" s="285"/>
    </row>
    <row r="833" spans="3:5">
      <c r="C833" s="122"/>
      <c r="D833" s="285"/>
      <c r="E833" s="285"/>
    </row>
    <row r="834" spans="3:5">
      <c r="C834" s="122"/>
      <c r="D834" s="285"/>
      <c r="E834" s="285"/>
    </row>
    <row r="835" spans="3:5">
      <c r="C835" s="122"/>
      <c r="D835" s="285"/>
      <c r="E835" s="285"/>
    </row>
    <row r="836" spans="3:5">
      <c r="C836" s="122"/>
      <c r="D836" s="285"/>
      <c r="E836" s="285"/>
    </row>
    <row r="837" spans="3:5">
      <c r="C837" s="122"/>
      <c r="D837" s="285"/>
      <c r="E837" s="285"/>
    </row>
    <row r="838" spans="3:5">
      <c r="C838" s="122"/>
      <c r="D838" s="285"/>
      <c r="E838" s="285"/>
    </row>
    <row r="839" spans="3:5">
      <c r="C839" s="122"/>
      <c r="D839" s="285"/>
      <c r="E839" s="285"/>
    </row>
    <row r="840" spans="3:5">
      <c r="C840" s="122"/>
      <c r="D840" s="285"/>
      <c r="E840" s="285"/>
    </row>
    <row r="841" spans="3:5">
      <c r="C841" s="122"/>
      <c r="D841" s="285"/>
      <c r="E841" s="285"/>
    </row>
    <row r="842" spans="3:5">
      <c r="C842" s="122"/>
      <c r="D842" s="285"/>
      <c r="E842" s="285"/>
    </row>
    <row r="843" spans="3:5">
      <c r="C843" s="122"/>
      <c r="D843" s="285"/>
      <c r="E843" s="285"/>
    </row>
    <row r="844" spans="3:5">
      <c r="C844" s="122"/>
      <c r="D844" s="285"/>
      <c r="E844" s="285"/>
    </row>
    <row r="845" spans="3:5">
      <c r="C845" s="122"/>
      <c r="D845" s="285"/>
      <c r="E845" s="285"/>
    </row>
    <row r="846" spans="3:5">
      <c r="C846" s="122"/>
      <c r="D846" s="285"/>
      <c r="E846" s="285"/>
    </row>
    <row r="847" spans="3:5">
      <c r="C847" s="122"/>
      <c r="D847" s="285"/>
      <c r="E847" s="285"/>
    </row>
    <row r="848" spans="3:5">
      <c r="C848" s="122"/>
      <c r="D848" s="285"/>
      <c r="E848" s="285"/>
    </row>
    <row r="849" spans="3:5">
      <c r="C849" s="122"/>
      <c r="D849" s="285"/>
      <c r="E849" s="285"/>
    </row>
    <row r="850" spans="3:5">
      <c r="C850" s="122"/>
      <c r="D850" s="285"/>
      <c r="E850" s="285"/>
    </row>
    <row r="851" spans="3:5">
      <c r="C851" s="122"/>
      <c r="D851" s="285"/>
      <c r="E851" s="285"/>
    </row>
    <row r="852" spans="3:5">
      <c r="C852" s="122"/>
      <c r="D852" s="285"/>
      <c r="E852" s="285"/>
    </row>
    <row r="853" spans="3:5">
      <c r="C853" s="122"/>
      <c r="D853" s="285"/>
      <c r="E853" s="285"/>
    </row>
    <row r="854" spans="3:5">
      <c r="C854" s="122"/>
      <c r="D854" s="285"/>
      <c r="E854" s="285"/>
    </row>
    <row r="855" spans="3:5">
      <c r="C855" s="122"/>
      <c r="D855" s="285"/>
      <c r="E855" s="285"/>
    </row>
    <row r="856" spans="3:5">
      <c r="C856" s="122"/>
      <c r="D856" s="285"/>
      <c r="E856" s="285"/>
    </row>
    <row r="857" spans="3:5">
      <c r="C857" s="122"/>
      <c r="D857" s="285"/>
      <c r="E857" s="285"/>
    </row>
    <row r="858" spans="3:5">
      <c r="C858" s="122"/>
      <c r="D858" s="285"/>
      <c r="E858" s="285"/>
    </row>
    <row r="859" spans="3:5">
      <c r="C859" s="122"/>
      <c r="D859" s="285"/>
      <c r="E859" s="285"/>
    </row>
    <row r="860" spans="3:5">
      <c r="C860" s="122"/>
      <c r="D860" s="285"/>
      <c r="E860" s="285"/>
    </row>
    <row r="861" spans="3:5">
      <c r="C861" s="122"/>
      <c r="D861" s="285"/>
      <c r="E861" s="285"/>
    </row>
    <row r="862" spans="3:5">
      <c r="C862" s="122"/>
      <c r="D862" s="285"/>
      <c r="E862" s="285"/>
    </row>
    <row r="863" spans="3:5">
      <c r="C863" s="122"/>
      <c r="D863" s="285"/>
      <c r="E863" s="285"/>
    </row>
    <row r="864" spans="3:5">
      <c r="C864" s="122"/>
      <c r="D864" s="285"/>
      <c r="E864" s="285"/>
    </row>
    <row r="865" spans="3:5">
      <c r="C865" s="122"/>
      <c r="D865" s="285"/>
      <c r="E865" s="285"/>
    </row>
    <row r="866" spans="3:5">
      <c r="C866" s="122"/>
      <c r="D866" s="285"/>
      <c r="E866" s="285"/>
    </row>
    <row r="867" spans="3:5">
      <c r="C867" s="122"/>
      <c r="D867" s="285"/>
      <c r="E867" s="285"/>
    </row>
    <row r="868" spans="3:5">
      <c r="C868" s="122"/>
      <c r="D868" s="285"/>
      <c r="E868" s="285"/>
    </row>
    <row r="869" spans="3:5">
      <c r="C869" s="122"/>
      <c r="D869" s="285"/>
      <c r="E869" s="285"/>
    </row>
    <row r="870" spans="3:5">
      <c r="C870" s="122"/>
      <c r="D870" s="285"/>
      <c r="E870" s="285"/>
    </row>
    <row r="871" spans="3:5">
      <c r="C871" s="122"/>
      <c r="D871" s="285"/>
      <c r="E871" s="285"/>
    </row>
    <row r="872" spans="3:5">
      <c r="C872" s="122"/>
      <c r="D872" s="285"/>
      <c r="E872" s="285"/>
    </row>
    <row r="873" spans="3:5">
      <c r="C873" s="122"/>
      <c r="D873" s="285"/>
      <c r="E873" s="285"/>
    </row>
    <row r="874" spans="3:5">
      <c r="C874" s="122"/>
      <c r="D874" s="285"/>
      <c r="E874" s="285"/>
    </row>
    <row r="875" spans="3:5">
      <c r="C875" s="122"/>
      <c r="D875" s="285"/>
      <c r="E875" s="285"/>
    </row>
    <row r="876" spans="3:5">
      <c r="C876" s="122"/>
      <c r="D876" s="285"/>
      <c r="E876" s="285"/>
    </row>
    <row r="877" spans="3:5">
      <c r="C877" s="122"/>
      <c r="D877" s="285"/>
      <c r="E877" s="285"/>
    </row>
    <row r="878" spans="3:5">
      <c r="C878" s="122"/>
      <c r="D878" s="285"/>
      <c r="E878" s="285"/>
    </row>
    <row r="879" spans="3:5">
      <c r="C879" s="122"/>
      <c r="D879" s="285"/>
      <c r="E879" s="285"/>
    </row>
    <row r="880" spans="3:5">
      <c r="C880" s="122"/>
      <c r="D880" s="285"/>
      <c r="E880" s="285"/>
    </row>
    <row r="881" spans="3:5">
      <c r="C881" s="122"/>
      <c r="D881" s="285"/>
      <c r="E881" s="285"/>
    </row>
    <row r="882" spans="3:5">
      <c r="C882" s="122"/>
      <c r="D882" s="285"/>
      <c r="E882" s="285"/>
    </row>
    <row r="883" spans="3:5">
      <c r="C883" s="122"/>
      <c r="D883" s="285"/>
      <c r="E883" s="285"/>
    </row>
    <row r="884" spans="3:5">
      <c r="C884" s="122"/>
      <c r="D884" s="285"/>
      <c r="E884" s="285"/>
    </row>
    <row r="885" spans="3:5">
      <c r="C885" s="122"/>
      <c r="D885" s="285"/>
      <c r="E885" s="285"/>
    </row>
    <row r="886" spans="3:5">
      <c r="C886" s="122"/>
      <c r="D886" s="285"/>
      <c r="E886" s="285"/>
    </row>
    <row r="887" spans="3:5">
      <c r="C887" s="122"/>
      <c r="D887" s="285"/>
      <c r="E887" s="285"/>
    </row>
    <row r="888" spans="3:5">
      <c r="C888" s="122"/>
      <c r="D888" s="285"/>
      <c r="E888" s="285"/>
    </row>
    <row r="889" spans="3:5">
      <c r="C889" s="122"/>
      <c r="D889" s="285"/>
      <c r="E889" s="285"/>
    </row>
    <row r="890" spans="3:5">
      <c r="C890" s="122"/>
      <c r="D890" s="285"/>
      <c r="E890" s="285"/>
    </row>
    <row r="891" spans="3:5">
      <c r="C891" s="122"/>
      <c r="D891" s="285"/>
      <c r="E891" s="285"/>
    </row>
    <row r="892" spans="3:5">
      <c r="C892" s="122"/>
      <c r="D892" s="285"/>
      <c r="E892" s="285"/>
    </row>
    <row r="893" spans="3:5">
      <c r="C893" s="122"/>
      <c r="D893" s="285"/>
      <c r="E893" s="285"/>
    </row>
    <row r="894" spans="3:5">
      <c r="C894" s="122"/>
      <c r="D894" s="285"/>
      <c r="E894" s="285"/>
    </row>
    <row r="895" spans="3:5">
      <c r="C895" s="122"/>
      <c r="D895" s="285"/>
      <c r="E895" s="285"/>
    </row>
    <row r="896" spans="3:5">
      <c r="C896" s="122"/>
      <c r="D896" s="285"/>
      <c r="E896" s="285"/>
    </row>
    <row r="897" spans="3:5">
      <c r="C897" s="122"/>
      <c r="D897" s="285"/>
      <c r="E897" s="285"/>
    </row>
    <row r="898" spans="3:5">
      <c r="C898" s="122"/>
      <c r="D898" s="285"/>
      <c r="E898" s="285"/>
    </row>
    <row r="899" spans="3:5">
      <c r="C899" s="122"/>
      <c r="D899" s="285"/>
      <c r="E899" s="285"/>
    </row>
    <row r="900" spans="3:5">
      <c r="C900" s="122"/>
      <c r="D900" s="285"/>
      <c r="E900" s="285"/>
    </row>
    <row r="901" spans="3:5">
      <c r="C901" s="122"/>
      <c r="D901" s="285"/>
      <c r="E901" s="285"/>
    </row>
    <row r="902" spans="3:5">
      <c r="C902" s="122"/>
      <c r="D902" s="285"/>
      <c r="E902" s="285"/>
    </row>
  </sheetData>
  <autoFilter ref="A7:AI598" xr:uid="{00000000-0001-0000-0100-000000000000}"/>
  <phoneticPr fontId="2" type="noConversion"/>
  <conditionalFormatting sqref="D513:E515 AI513:AI515 D517:E517 D519:E520 D522:E523 AI522:AI523 AI525 AI527:AI533 AI535">
    <cfRule type="cellIs" dxfId="406" priority="366" stopIfTrue="1" operator="equal">
      <formula>"Configuration"</formula>
    </cfRule>
    <cfRule type="cellIs" dxfId="405" priority="367" stopIfTrue="1" operator="equal">
      <formula>"Standard"</formula>
    </cfRule>
    <cfRule type="cellIs" dxfId="404" priority="368" stopIfTrue="1" operator="equal">
      <formula>"Customisation/Extension"</formula>
    </cfRule>
  </conditionalFormatting>
  <conditionalFormatting sqref="E516">
    <cfRule type="cellIs" dxfId="403" priority="1" stopIfTrue="1" operator="equal">
      <formula>"Configuration"</formula>
    </cfRule>
    <cfRule type="cellIs" dxfId="402" priority="2" stopIfTrue="1" operator="equal">
      <formula>"Standard"</formula>
    </cfRule>
    <cfRule type="cellIs" dxfId="401" priority="3" stopIfTrue="1" operator="equal">
      <formula>"Customisation/Extension"</formula>
    </cfRule>
  </conditionalFormatting>
  <conditionalFormatting sqref="H132 H354:I367 H395:I397">
    <cfRule type="cellIs" dxfId="400" priority="16" stopIfTrue="1" operator="equal">
      <formula>"Must"</formula>
    </cfRule>
  </conditionalFormatting>
  <conditionalFormatting sqref="H178">
    <cfRule type="cellIs" dxfId="399" priority="15" stopIfTrue="1" operator="equal">
      <formula>"Must"</formula>
    </cfRule>
  </conditionalFormatting>
  <conditionalFormatting sqref="H9:I12 I13 H14:I14 I17 H19:I19 H21:I22 H24:I24 I25 H27:I27 I28 I30 H32:I33 I34 I36 H37:I38 I39 H40:I41 I42 H43:I45 I46 H47:I47 I48 H49:I50 I51 H52:I53 I54 H55:I55 I56 H57:I57 I58 H59:I61 I62 H63:I65 I66 H67:I68 I69 H70:I70 I71 H73:I74 I76 H78:I79 H81:I81 H83:I83 I85 I87 H88:I88 H90:I90 H92:I92 I93 I95 H96:I96 I97 H98:I98 H100:I102 I103 I105 H107:I107 I108 I110 I112 I114 H116:I116 H118:I118 I120 I122 H130:I130 I131 H133:I133 H135:I135 H137:I137 H139:I140 I141 H142:H143 H145:I145 H147:I147 H148 H149:I150 H152:I152 H154:I156 H158:I158 H160:I160 H162:I163 H165:I165 H167:I167 H169:I169 H171:I171 H173:I173 I174:I175 I177 H179:I180 I181:I191 H189 H192:I192 H194:I194 H196:I196 H198:I199 H201:I202 H204:I213 I214 H215:I220 I222 H223:I227 H229:I232 I233 H234:I236 H238:I238 H240:I240 H242:I254 I255 I257 I259 H260:I260 H262:I263 I264 I266 H267:I267 H269:I269 H271:I271 I273 H275:I275 I277 H278:I278 I280 H282:I282 H284:I284 H286:I286 H288:I288 H290:I291 H293:I293 H295:I295 I296 H297:I297 I298:I299 H300:I300 I301 H303:I303 I305 H307:I308 I309 H310:I310 I311:I313 H314:I319 I320 H322:I323 I324:I326 H325 H328:I328 H330:I330 I332 I334:I335 H336:I336 H338:I338 I339 I341 H342:I342 I344 H345:I346 I347 H349:I349 I350 H351:I352 I353 H369:I369 H371:I371 H373:I374 H376:I381 H383:I383 H385:I387 H389:I389 H391:I393 I398 I400 I402 H406:I410 I413 H415:I415 H417:I417 H419:I420 H422:I423 H425:I426 I427 H429:I429 H431:I431 I432 H434:I434 H436:I437 H439:I439 I440 H442:I442 H444:I444 I445 H447:I447 I448 I450 H451:I451 I453 I455 I457 H458:I459 I460 H461:I461 I463 I465 I467 H469:I470 H472:I472 H474:I474 I475 I477 I479 I482 H484:I484 I486 H487:I487 I488 I490 H492:I492 H494:I495 I497 H498:I498 I499 H501:I501 H503:I504 H506:I507 I509 H510:I511 I513 H514:I514 I515 H517:I517 H519:I520 H522:I522 I523 H525:I525 H527:I530 I531 H532:I532 I533 I535 H537:I537 I539 H540:I541 H543:I545 I547 H548:I552 I554 H555:I556 I557 I560 I563 I565 I568 I574 I577 I579 I585 H586:I586 I587 H588:I588 I589 H590:I590 I591 I593 H594:I594 I595 H596:I596 I597 H598:I598 I599:I1048576">
    <cfRule type="cellIs" dxfId="398" priority="361" stopIfTrue="1" operator="equal">
      <formula>"Must"</formula>
    </cfRule>
  </conditionalFormatting>
  <conditionalFormatting sqref="H123:I128">
    <cfRule type="cellIs" dxfId="397" priority="17" stopIfTrue="1" operator="equal">
      <formula>"Must"</formula>
    </cfRule>
  </conditionalFormatting>
  <conditionalFormatting sqref="I1:I1048576">
    <cfRule type="cellIs" dxfId="396" priority="371" stopIfTrue="1" operator="equal">
      <formula>"Extension"</formula>
    </cfRule>
    <cfRule type="cellIs" dxfId="395" priority="369" stopIfTrue="1" operator="equal">
      <formula>"Standard"</formula>
    </cfRule>
    <cfRule type="cellIs" dxfId="394" priority="370" stopIfTrue="1" operator="equal">
      <formula>"Configuration"</formula>
    </cfRule>
  </conditionalFormatting>
  <conditionalFormatting sqref="J9">
    <cfRule type="cellIs" dxfId="393" priority="14" stopIfTrue="1" operator="equal">
      <formula>"Yes"</formula>
    </cfRule>
  </conditionalFormatting>
  <conditionalFormatting sqref="J8:V647">
    <cfRule type="cellIs" dxfId="392" priority="80" stopIfTrue="1" operator="equal">
      <formula>"ü"</formula>
    </cfRule>
    <cfRule type="cellIs" dxfId="391" priority="78" stopIfTrue="1" operator="equal">
      <formula>"x"</formula>
    </cfRule>
  </conditionalFormatting>
  <conditionalFormatting sqref="K8:L9 M9:V9">
    <cfRule type="cellIs" dxfId="390" priority="79" stopIfTrue="1" operator="equal">
      <formula>"Yes"</formula>
    </cfRule>
  </conditionalFormatting>
  <conditionalFormatting sqref="M14">
    <cfRule type="cellIs" dxfId="389" priority="6" stopIfTrue="1" operator="equal">
      <formula>"Yes"</formula>
    </cfRule>
    <cfRule type="cellIs" dxfId="388" priority="7" stopIfTrue="1" operator="equal">
      <formula>"ü"</formula>
    </cfRule>
  </conditionalFormatting>
  <conditionalFormatting sqref="M8:V9">
    <cfRule type="cellIs" dxfId="387" priority="81" stopIfTrue="1" operator="equal">
      <formula>"ü"</formula>
    </cfRule>
  </conditionalFormatting>
  <conditionalFormatting sqref="O14:Q14">
    <cfRule type="cellIs" dxfId="386" priority="4" stopIfTrue="1" operator="equal">
      <formula>"Yes"</formula>
    </cfRule>
    <cfRule type="cellIs" dxfId="385" priority="5" stopIfTrue="1" operator="equal">
      <formula>"ü"</formula>
    </cfRule>
  </conditionalFormatting>
  <conditionalFormatting sqref="Q12">
    <cfRule type="cellIs" dxfId="384" priority="12" stopIfTrue="1" operator="equal">
      <formula>"Yes"</formula>
    </cfRule>
    <cfRule type="cellIs" dxfId="383" priority="13" stopIfTrue="1" operator="equal">
      <formula>"ü"</formula>
    </cfRule>
  </conditionalFormatting>
  <conditionalFormatting sqref="U14">
    <cfRule type="cellIs" dxfId="382" priority="8" stopIfTrue="1" operator="equal">
      <formula>"Yes"</formula>
    </cfRule>
    <cfRule type="cellIs" dxfId="381" priority="9" stopIfTrue="1" operator="equal">
      <formula>"ü"</formula>
    </cfRule>
  </conditionalFormatting>
  <conditionalFormatting sqref="U12:V12">
    <cfRule type="cellIs" dxfId="380" priority="11" stopIfTrue="1" operator="equal">
      <formula>"ü"</formula>
    </cfRule>
    <cfRule type="cellIs" dxfId="379" priority="10" stopIfTrue="1" operator="equal">
      <formula>"Yes"</formula>
    </cfRule>
  </conditionalFormatting>
  <conditionalFormatting sqref="W8:X281 W283:X64705">
    <cfRule type="expression" dxfId="378" priority="343" stopIfTrue="1">
      <formula>OR(W8="Customisation",W8="Extension")</formula>
    </cfRule>
    <cfRule type="cellIs" dxfId="377" priority="342" stopIfTrue="1" operator="equal">
      <formula>"Configuration"</formula>
    </cfRule>
    <cfRule type="cellIs" dxfId="376" priority="341" stopIfTrue="1" operator="equal">
      <formula>"Standard"</formula>
    </cfRule>
  </conditionalFormatting>
  <conditionalFormatting sqref="Y8:Y256 Y270:Y272 Y283:Y285 Y444 Y277:Y281 Y307:Y311 Y313:Y320 Y334:Y336 Y344:Y347 Y349:Y367 Y395:Y398 Y465 Y547:Y552 Y585:Y64705">
    <cfRule type="cellIs" dxfId="375" priority="373" stopIfTrue="1" operator="equal">
      <formula>#REF!</formula>
    </cfRule>
  </conditionalFormatting>
  <conditionalFormatting sqref="Y16">
    <cfRule type="cellIs" dxfId="374" priority="91" stopIfTrue="1" operator="equal">
      <formula>#REF!</formula>
    </cfRule>
    <cfRule type="cellIs" dxfId="373" priority="90" stopIfTrue="1" operator="equal">
      <formula>#REF!</formula>
    </cfRule>
  </conditionalFormatting>
  <conditionalFormatting sqref="Y38:Y70">
    <cfRule type="cellIs" dxfId="372" priority="87" stopIfTrue="1" operator="equal">
      <formula>#REF!</formula>
    </cfRule>
    <cfRule type="cellIs" dxfId="371" priority="86" stopIfTrue="1" operator="equal">
      <formula>#REF!</formula>
    </cfRule>
  </conditionalFormatting>
  <conditionalFormatting sqref="Y45">
    <cfRule type="cellIs" dxfId="370" priority="85" stopIfTrue="1" operator="equal">
      <formula>#REF!</formula>
    </cfRule>
    <cfRule type="cellIs" dxfId="369" priority="84" stopIfTrue="1" operator="equal">
      <formula>#REF!</formula>
    </cfRule>
  </conditionalFormatting>
  <conditionalFormatting sqref="Y257:Y260">
    <cfRule type="cellIs" dxfId="368" priority="360" stopIfTrue="1" operator="equal">
      <formula>#REF!</formula>
    </cfRule>
  </conditionalFormatting>
  <conditionalFormatting sqref="Y258">
    <cfRule type="cellIs" dxfId="367" priority="359" stopIfTrue="1" operator="equal">
      <formula>#REF!</formula>
    </cfRule>
  </conditionalFormatting>
  <conditionalFormatting sqref="Y261 Y402:Y427">
    <cfRule type="cellIs" dxfId="366" priority="357" stopIfTrue="1" operator="equal">
      <formula>#REF!</formula>
    </cfRule>
  </conditionalFormatting>
  <conditionalFormatting sqref="Y261">
    <cfRule type="cellIs" dxfId="365" priority="356" stopIfTrue="1" operator="equal">
      <formula>#REF!</formula>
    </cfRule>
  </conditionalFormatting>
  <conditionalFormatting sqref="Y261:Y264">
    <cfRule type="cellIs" dxfId="364" priority="358" stopIfTrue="1" operator="equal">
      <formula>#REF!</formula>
    </cfRule>
  </conditionalFormatting>
  <conditionalFormatting sqref="Y265">
    <cfRule type="cellIs" dxfId="363" priority="354" stopIfTrue="1" operator="equal">
      <formula>#REF!</formula>
    </cfRule>
    <cfRule type="cellIs" dxfId="362" priority="353" stopIfTrue="1" operator="equal">
      <formula>#REF!</formula>
    </cfRule>
  </conditionalFormatting>
  <conditionalFormatting sqref="Y265:Y267">
    <cfRule type="cellIs" dxfId="361" priority="355" stopIfTrue="1" operator="equal">
      <formula>#REF!</formula>
    </cfRule>
  </conditionalFormatting>
  <conditionalFormatting sqref="Y268">
    <cfRule type="cellIs" dxfId="360" priority="351" stopIfTrue="1" operator="equal">
      <formula>#REF!</formula>
    </cfRule>
    <cfRule type="cellIs" dxfId="359" priority="350" stopIfTrue="1" operator="equal">
      <formula>#REF!</formula>
    </cfRule>
  </conditionalFormatting>
  <conditionalFormatting sqref="Y268:Y269">
    <cfRule type="cellIs" dxfId="358" priority="352" stopIfTrue="1" operator="equal">
      <formula>#REF!</formula>
    </cfRule>
  </conditionalFormatting>
  <conditionalFormatting sqref="Y270:Y272 Y283:Y285 Y376:Y381 Y429 Y434 Y436:Y437 Y439:Y440 Y469:Y470 Y482">
    <cfRule type="cellIs" dxfId="357" priority="374" stopIfTrue="1" operator="equal">
      <formula>#REF!</formula>
    </cfRule>
  </conditionalFormatting>
  <conditionalFormatting sqref="Y271 Y284 Y262:Y264 Y266:Y267 Y269 Y273 Y275 Y286 Y383 Y385:Y387 Y389 Y391:Y393 Y429 Y431:Y432 Y434 Y436:Y437 Y439:Y440 Y442 Y467 Y469:Y470 Y472 Y474:Y475 Y477 Y447:Y448 Y450:Y451 Y453 Y455 Y457:Y461 Y463 Y482 Y484 Y486:Y488 Y490 Y492 Y494:Y495 Y497:Y499 Y501 Y503:Y504 Y506:Y507 Y509:Y511 Y513:Y515 Y517 Y519:Y520 Y522:Y523 Y525 Y527:Y533 Y535 Y537 Y539:Y541 Y543:Y545 Y554:Y557 Y560 Y563 Y565 Y568 Y574 Y577 Y579 Y12 Y27 Y102">
    <cfRule type="cellIs" dxfId="356" priority="363" stopIfTrue="1" operator="equal">
      <formula>#REF!</formula>
    </cfRule>
  </conditionalFormatting>
  <conditionalFormatting sqref="Y271 Y284">
    <cfRule type="cellIs" dxfId="355" priority="362" stopIfTrue="1" operator="equal">
      <formula>#REF!</formula>
    </cfRule>
  </conditionalFormatting>
  <conditionalFormatting sqref="Y273:Y275">
    <cfRule type="cellIs" dxfId="354" priority="349" stopIfTrue="1" operator="equal">
      <formula>#REF!</formula>
    </cfRule>
  </conditionalFormatting>
  <conditionalFormatting sqref="Y274">
    <cfRule type="cellIs" dxfId="353" priority="347" stopIfTrue="1" operator="equal">
      <formula>#REF!</formula>
    </cfRule>
    <cfRule type="cellIs" dxfId="352" priority="348" stopIfTrue="1" operator="equal">
      <formula>#REF!</formula>
    </cfRule>
  </conditionalFormatting>
  <conditionalFormatting sqref="Y276:Y281">
    <cfRule type="cellIs" dxfId="351" priority="344" stopIfTrue="1" operator="equal">
      <formula>#REF!</formula>
    </cfRule>
    <cfRule type="cellIs" dxfId="350" priority="345" stopIfTrue="1" operator="equal">
      <formula>#REF!</formula>
    </cfRule>
    <cfRule type="cellIs" dxfId="349" priority="346" stopIfTrue="1" operator="equal">
      <formula>#REF!</formula>
    </cfRule>
  </conditionalFormatting>
  <conditionalFormatting sqref="Y283:Y285 Y8:Y260 Y270:Y272 Y442:Y445 Y403:Y427">
    <cfRule type="cellIs" dxfId="348" priority="372" stopIfTrue="1" operator="equal">
      <formula>#REF!</formula>
    </cfRule>
  </conditionalFormatting>
  <conditionalFormatting sqref="Y284 Y286 Y288 Y290:Y291 Y293 Y295:Y297 Y299:Y301 Y303 Y322:Y323 Y325:Y326 Y328 Y330 Y332 Y338:Y339 Y341:Y342 Y369 Y371 Y373:Y374 Y376:Y381">
    <cfRule type="cellIs" dxfId="347" priority="365" stopIfTrue="1" operator="equal">
      <formula>#REF!</formula>
    </cfRule>
  </conditionalFormatting>
  <conditionalFormatting sqref="Y284 Y286">
    <cfRule type="cellIs" dxfId="346" priority="364" stopIfTrue="1" operator="equal">
      <formula>#REF!</formula>
    </cfRule>
  </conditionalFormatting>
  <conditionalFormatting sqref="Y286:Y288">
    <cfRule type="cellIs" dxfId="345" priority="340" stopIfTrue="1" operator="equal">
      <formula>#REF!</formula>
    </cfRule>
  </conditionalFormatting>
  <conditionalFormatting sqref="Y287">
    <cfRule type="cellIs" dxfId="344" priority="339" stopIfTrue="1" operator="equal">
      <formula>#REF!</formula>
    </cfRule>
    <cfRule type="cellIs" dxfId="343" priority="338" stopIfTrue="1" operator="equal">
      <formula>#REF!</formula>
    </cfRule>
  </conditionalFormatting>
  <conditionalFormatting sqref="Y289">
    <cfRule type="cellIs" dxfId="342" priority="336" stopIfTrue="1" operator="equal">
      <formula>#REF!</formula>
    </cfRule>
    <cfRule type="cellIs" dxfId="341" priority="335" stopIfTrue="1" operator="equal">
      <formula>#REF!</formula>
    </cfRule>
  </conditionalFormatting>
  <conditionalFormatting sqref="Y289:Y291">
    <cfRule type="cellIs" dxfId="340" priority="337" stopIfTrue="1" operator="equal">
      <formula>#REF!</formula>
    </cfRule>
  </conditionalFormatting>
  <conditionalFormatting sqref="Y292">
    <cfRule type="cellIs" dxfId="339" priority="332" stopIfTrue="1" operator="equal">
      <formula>#REF!</formula>
    </cfRule>
    <cfRule type="cellIs" dxfId="338" priority="333" stopIfTrue="1" operator="equal">
      <formula>#REF!</formula>
    </cfRule>
  </conditionalFormatting>
  <conditionalFormatting sqref="Y292:Y293">
    <cfRule type="cellIs" dxfId="337" priority="334" stopIfTrue="1" operator="equal">
      <formula>#REF!</formula>
    </cfRule>
  </conditionalFormatting>
  <conditionalFormatting sqref="Y294">
    <cfRule type="cellIs" dxfId="336" priority="329" stopIfTrue="1" operator="equal">
      <formula>#REF!</formula>
    </cfRule>
    <cfRule type="cellIs" dxfId="335" priority="330" stopIfTrue="1" operator="equal">
      <formula>#REF!</formula>
    </cfRule>
  </conditionalFormatting>
  <conditionalFormatting sqref="Y294:Y297">
    <cfRule type="cellIs" dxfId="334" priority="331" stopIfTrue="1" operator="equal">
      <formula>#REF!</formula>
    </cfRule>
  </conditionalFormatting>
  <conditionalFormatting sqref="Y298">
    <cfRule type="cellIs" dxfId="333" priority="326" stopIfTrue="1" operator="equal">
      <formula>#REF!</formula>
    </cfRule>
    <cfRule type="cellIs" dxfId="332" priority="327" stopIfTrue="1" operator="equal">
      <formula>#REF!</formula>
    </cfRule>
  </conditionalFormatting>
  <conditionalFormatting sqref="Y298:Y301">
    <cfRule type="cellIs" dxfId="331" priority="328" stopIfTrue="1" operator="equal">
      <formula>#REF!</formula>
    </cfRule>
  </conditionalFormatting>
  <conditionalFormatting sqref="Y302">
    <cfRule type="cellIs" dxfId="330" priority="323" stopIfTrue="1" operator="equal">
      <formula>#REF!</formula>
    </cfRule>
    <cfRule type="cellIs" dxfId="329" priority="324" stopIfTrue="1" operator="equal">
      <formula>#REF!</formula>
    </cfRule>
  </conditionalFormatting>
  <conditionalFormatting sqref="Y302:Y320">
    <cfRule type="cellIs" dxfId="328" priority="325" stopIfTrue="1" operator="equal">
      <formula>#REF!</formula>
    </cfRule>
  </conditionalFormatting>
  <conditionalFormatting sqref="Y304">
    <cfRule type="cellIs" dxfId="327" priority="321" stopIfTrue="1" operator="equal">
      <formula>#REF!</formula>
    </cfRule>
  </conditionalFormatting>
  <conditionalFormatting sqref="Y304:Y305">
    <cfRule type="cellIs" dxfId="326" priority="322" stopIfTrue="1" operator="equal">
      <formula>#REF!</formula>
    </cfRule>
  </conditionalFormatting>
  <conditionalFormatting sqref="Y306">
    <cfRule type="cellIs" dxfId="325" priority="320" stopIfTrue="1" operator="equal">
      <formula>#REF!</formula>
    </cfRule>
    <cfRule type="cellIs" dxfId="324" priority="319" stopIfTrue="1" operator="equal">
      <formula>#REF!</formula>
    </cfRule>
  </conditionalFormatting>
  <conditionalFormatting sqref="Y312">
    <cfRule type="cellIs" dxfId="323" priority="318" stopIfTrue="1" operator="equal">
      <formula>#REF!</formula>
    </cfRule>
    <cfRule type="cellIs" dxfId="322" priority="317" stopIfTrue="1" operator="equal">
      <formula>#REF!</formula>
    </cfRule>
  </conditionalFormatting>
  <conditionalFormatting sqref="Y314:Y318">
    <cfRule type="cellIs" dxfId="321" priority="82" stopIfTrue="1" operator="equal">
      <formula>#REF!</formula>
    </cfRule>
    <cfRule type="cellIs" dxfId="320" priority="83" stopIfTrue="1" operator="equal">
      <formula>#REF!</formula>
    </cfRule>
  </conditionalFormatting>
  <conditionalFormatting sqref="Y317">
    <cfRule type="cellIs" dxfId="319" priority="89" stopIfTrue="1" operator="equal">
      <formula>#REF!</formula>
    </cfRule>
    <cfRule type="cellIs" dxfId="318" priority="88" stopIfTrue="1" operator="equal">
      <formula>#REF!</formula>
    </cfRule>
  </conditionalFormatting>
  <conditionalFormatting sqref="Y321">
    <cfRule type="cellIs" dxfId="317" priority="315" stopIfTrue="1" operator="equal">
      <formula>#REF!</formula>
    </cfRule>
    <cfRule type="cellIs" dxfId="316" priority="314" stopIfTrue="1" operator="equal">
      <formula>#REF!</formula>
    </cfRule>
  </conditionalFormatting>
  <conditionalFormatting sqref="Y321:Y323">
    <cfRule type="cellIs" dxfId="315" priority="316" stopIfTrue="1" operator="equal">
      <formula>#REF!</formula>
    </cfRule>
  </conditionalFormatting>
  <conditionalFormatting sqref="Y324">
    <cfRule type="cellIs" dxfId="314" priority="312" stopIfTrue="1" operator="equal">
      <formula>#REF!</formula>
    </cfRule>
    <cfRule type="cellIs" dxfId="313" priority="311" stopIfTrue="1" operator="equal">
      <formula>#REF!</formula>
    </cfRule>
  </conditionalFormatting>
  <conditionalFormatting sqref="Y324:Y326">
    <cfRule type="cellIs" dxfId="312" priority="313" stopIfTrue="1" operator="equal">
      <formula>#REF!</formula>
    </cfRule>
  </conditionalFormatting>
  <conditionalFormatting sqref="Y327">
    <cfRule type="cellIs" dxfId="311" priority="309" stopIfTrue="1" operator="equal">
      <formula>#REF!</formula>
    </cfRule>
    <cfRule type="cellIs" dxfId="310" priority="308" stopIfTrue="1" operator="equal">
      <formula>#REF!</formula>
    </cfRule>
  </conditionalFormatting>
  <conditionalFormatting sqref="Y327:Y328">
    <cfRule type="cellIs" dxfId="309" priority="310" stopIfTrue="1" operator="equal">
      <formula>#REF!</formula>
    </cfRule>
  </conditionalFormatting>
  <conditionalFormatting sqref="Y329">
    <cfRule type="cellIs" dxfId="308" priority="306" stopIfTrue="1" operator="equal">
      <formula>#REF!</formula>
    </cfRule>
    <cfRule type="cellIs" dxfId="307" priority="305" stopIfTrue="1" operator="equal">
      <formula>#REF!</formula>
    </cfRule>
  </conditionalFormatting>
  <conditionalFormatting sqref="Y329:Y330">
    <cfRule type="cellIs" dxfId="306" priority="307" stopIfTrue="1" operator="equal">
      <formula>#REF!</formula>
    </cfRule>
  </conditionalFormatting>
  <conditionalFormatting sqref="Y331">
    <cfRule type="cellIs" dxfId="305" priority="302" stopIfTrue="1" operator="equal">
      <formula>#REF!</formula>
    </cfRule>
    <cfRule type="cellIs" dxfId="304" priority="303" stopIfTrue="1" operator="equal">
      <formula>#REF!</formula>
    </cfRule>
  </conditionalFormatting>
  <conditionalFormatting sqref="Y331:Y336">
    <cfRule type="cellIs" dxfId="303" priority="304" stopIfTrue="1" operator="equal">
      <formula>#REF!</formula>
    </cfRule>
  </conditionalFormatting>
  <conditionalFormatting sqref="Y333:Y334">
    <cfRule type="cellIs" dxfId="302" priority="301" stopIfTrue="1" operator="equal">
      <formula>#REF!</formula>
    </cfRule>
    <cfRule type="cellIs" dxfId="301" priority="300" stopIfTrue="1" operator="equal">
      <formula>#REF!</formula>
    </cfRule>
  </conditionalFormatting>
  <conditionalFormatting sqref="Y334">
    <cfRule type="cellIs" dxfId="300" priority="94" stopIfTrue="1" operator="equal">
      <formula>#REF!</formula>
    </cfRule>
    <cfRule type="cellIs" dxfId="299" priority="95" stopIfTrue="1" operator="equal">
      <formula>#REF!</formula>
    </cfRule>
  </conditionalFormatting>
  <conditionalFormatting sqref="Y337">
    <cfRule type="cellIs" dxfId="298" priority="297" stopIfTrue="1" operator="equal">
      <formula>#REF!</formula>
    </cfRule>
    <cfRule type="cellIs" dxfId="297" priority="298" stopIfTrue="1" operator="equal">
      <formula>#REF!</formula>
    </cfRule>
  </conditionalFormatting>
  <conditionalFormatting sqref="Y337:Y339">
    <cfRule type="cellIs" dxfId="296" priority="299" stopIfTrue="1" operator="equal">
      <formula>#REF!</formula>
    </cfRule>
  </conditionalFormatting>
  <conditionalFormatting sqref="Y340">
    <cfRule type="cellIs" dxfId="295" priority="295" stopIfTrue="1" operator="equal">
      <formula>#REF!</formula>
    </cfRule>
    <cfRule type="cellIs" dxfId="294" priority="294" stopIfTrue="1" operator="equal">
      <formula>#REF!</formula>
    </cfRule>
  </conditionalFormatting>
  <conditionalFormatting sqref="Y340:Y367">
    <cfRule type="cellIs" dxfId="293" priority="296" stopIfTrue="1" operator="equal">
      <formula>#REF!</formula>
    </cfRule>
  </conditionalFormatting>
  <conditionalFormatting sqref="Y343:Y349">
    <cfRule type="cellIs" dxfId="292" priority="293" stopIfTrue="1" operator="equal">
      <formula>#REF!</formula>
    </cfRule>
    <cfRule type="cellIs" dxfId="291" priority="292" stopIfTrue="1" operator="equal">
      <formula>#REF!</formula>
    </cfRule>
  </conditionalFormatting>
  <conditionalFormatting sqref="Y351">
    <cfRule type="cellIs" dxfId="290" priority="93" stopIfTrue="1" operator="equal">
      <formula>#REF!</formula>
    </cfRule>
    <cfRule type="cellIs" dxfId="289" priority="92" stopIfTrue="1" operator="equal">
      <formula>#REF!</formula>
    </cfRule>
  </conditionalFormatting>
  <conditionalFormatting sqref="Y368">
    <cfRule type="cellIs" dxfId="288" priority="289" stopIfTrue="1" operator="equal">
      <formula>#REF!</formula>
    </cfRule>
    <cfRule type="cellIs" dxfId="287" priority="290" stopIfTrue="1" operator="equal">
      <formula>#REF!</formula>
    </cfRule>
  </conditionalFormatting>
  <conditionalFormatting sqref="Y368:Y369">
    <cfRule type="cellIs" dxfId="286" priority="291" stopIfTrue="1" operator="equal">
      <formula>#REF!</formula>
    </cfRule>
  </conditionalFormatting>
  <conditionalFormatting sqref="Y370">
    <cfRule type="cellIs" dxfId="285" priority="287" stopIfTrue="1" operator="equal">
      <formula>#REF!</formula>
    </cfRule>
    <cfRule type="cellIs" dxfId="284" priority="286" stopIfTrue="1" operator="equal">
      <formula>#REF!</formula>
    </cfRule>
  </conditionalFormatting>
  <conditionalFormatting sqref="Y370:Y371">
    <cfRule type="cellIs" dxfId="283" priority="288" stopIfTrue="1" operator="equal">
      <formula>#REF!</formula>
    </cfRule>
  </conditionalFormatting>
  <conditionalFormatting sqref="Y372">
    <cfRule type="cellIs" dxfId="282" priority="283" stopIfTrue="1" operator="equal">
      <formula>#REF!</formula>
    </cfRule>
    <cfRule type="cellIs" dxfId="281" priority="284" stopIfTrue="1" operator="equal">
      <formula>#REF!</formula>
    </cfRule>
  </conditionalFormatting>
  <conditionalFormatting sqref="Y372:Y374">
    <cfRule type="cellIs" dxfId="280" priority="285" stopIfTrue="1" operator="equal">
      <formula>#REF!</formula>
    </cfRule>
  </conditionalFormatting>
  <conditionalFormatting sqref="Y375">
    <cfRule type="cellIs" dxfId="279" priority="281" stopIfTrue="1" operator="equal">
      <formula>#REF!</formula>
    </cfRule>
    <cfRule type="cellIs" dxfId="278" priority="280" stopIfTrue="1" operator="equal">
      <formula>#REF!</formula>
    </cfRule>
  </conditionalFormatting>
  <conditionalFormatting sqref="Y375:Y381">
    <cfRule type="cellIs" dxfId="277" priority="282" stopIfTrue="1" operator="equal">
      <formula>#REF!</formula>
    </cfRule>
  </conditionalFormatting>
  <conditionalFormatting sqref="Y382">
    <cfRule type="cellIs" dxfId="276" priority="256" stopIfTrue="1" operator="equal">
      <formula>#REF!</formula>
    </cfRule>
    <cfRule type="cellIs" dxfId="275" priority="257" stopIfTrue="1" operator="equal">
      <formula>#REF!</formula>
    </cfRule>
  </conditionalFormatting>
  <conditionalFormatting sqref="Y382:Y383">
    <cfRule type="cellIs" dxfId="274" priority="258" stopIfTrue="1" operator="equal">
      <formula>#REF!</formula>
    </cfRule>
  </conditionalFormatting>
  <conditionalFormatting sqref="Y384">
    <cfRule type="cellIs" dxfId="273" priority="254" stopIfTrue="1" operator="equal">
      <formula>#REF!</formula>
    </cfRule>
    <cfRule type="cellIs" dxfId="272" priority="253" stopIfTrue="1" operator="equal">
      <formula>#REF!</formula>
    </cfRule>
  </conditionalFormatting>
  <conditionalFormatting sqref="Y384:Y387">
    <cfRule type="cellIs" dxfId="271" priority="255" stopIfTrue="1" operator="equal">
      <formula>#REF!</formula>
    </cfRule>
  </conditionalFormatting>
  <conditionalFormatting sqref="Y388">
    <cfRule type="cellIs" dxfId="270" priority="250" stopIfTrue="1" operator="equal">
      <formula>#REF!</formula>
    </cfRule>
    <cfRule type="cellIs" dxfId="269" priority="251" stopIfTrue="1" operator="equal">
      <formula>#REF!</formula>
    </cfRule>
  </conditionalFormatting>
  <conditionalFormatting sqref="Y388:Y389">
    <cfRule type="cellIs" dxfId="268" priority="252" stopIfTrue="1" operator="equal">
      <formula>#REF!</formula>
    </cfRule>
  </conditionalFormatting>
  <conditionalFormatting sqref="Y390">
    <cfRule type="cellIs" dxfId="267" priority="248" stopIfTrue="1" operator="equal">
      <formula>#REF!</formula>
    </cfRule>
    <cfRule type="cellIs" dxfId="266" priority="247" stopIfTrue="1" operator="equal">
      <formula>#REF!</formula>
    </cfRule>
  </conditionalFormatting>
  <conditionalFormatting sqref="Y390:Y400">
    <cfRule type="cellIs" dxfId="265" priority="249" stopIfTrue="1" operator="equal">
      <formula>#REF!</formula>
    </cfRule>
  </conditionalFormatting>
  <conditionalFormatting sqref="Y394">
    <cfRule type="cellIs" dxfId="264" priority="245" stopIfTrue="1" operator="equal">
      <formula>#REF!</formula>
    </cfRule>
    <cfRule type="cellIs" dxfId="263" priority="246" stopIfTrue="1" operator="equal">
      <formula>#REF!</formula>
    </cfRule>
  </conditionalFormatting>
  <conditionalFormatting sqref="Y399">
    <cfRule type="cellIs" dxfId="262" priority="243" stopIfTrue="1" operator="equal">
      <formula>#REF!</formula>
    </cfRule>
  </conditionalFormatting>
  <conditionalFormatting sqref="Y399:Y400">
    <cfRule type="cellIs" dxfId="261" priority="244" stopIfTrue="1" operator="equal">
      <formula>#REF!</formula>
    </cfRule>
  </conditionalFormatting>
  <conditionalFormatting sqref="Y401">
    <cfRule type="cellIs" dxfId="260" priority="240" stopIfTrue="1" operator="equal">
      <formula>#REF!</formula>
    </cfRule>
    <cfRule type="cellIs" dxfId="259" priority="241" stopIfTrue="1" operator="equal">
      <formula>#REF!</formula>
    </cfRule>
  </conditionalFormatting>
  <conditionalFormatting sqref="Y401:Y402">
    <cfRule type="cellIs" dxfId="258" priority="242" stopIfTrue="1" operator="equal">
      <formula>#REF!</formula>
    </cfRule>
  </conditionalFormatting>
  <conditionalFormatting sqref="Y403:Y426">
    <cfRule type="cellIs" dxfId="257" priority="279" stopIfTrue="1" operator="equal">
      <formula>#REF!</formula>
    </cfRule>
  </conditionalFormatting>
  <conditionalFormatting sqref="Y405">
    <cfRule type="cellIs" dxfId="256" priority="277" stopIfTrue="1" operator="equal">
      <formula>#REF!</formula>
    </cfRule>
    <cfRule type="cellIs" dxfId="255" priority="278" stopIfTrue="1" operator="equal">
      <formula>#REF!</formula>
    </cfRule>
  </conditionalFormatting>
  <conditionalFormatting sqref="Y411:Y412">
    <cfRule type="cellIs" dxfId="254" priority="274" stopIfTrue="1" operator="equal">
      <formula>#REF!</formula>
    </cfRule>
    <cfRule type="cellIs" dxfId="253" priority="275" stopIfTrue="1" operator="equal">
      <formula>#REF!</formula>
    </cfRule>
    <cfRule type="cellIs" dxfId="252" priority="276" stopIfTrue="1" operator="equal">
      <formula>#REF!</formula>
    </cfRule>
  </conditionalFormatting>
  <conditionalFormatting sqref="Y414">
    <cfRule type="cellIs" dxfId="251" priority="271" stopIfTrue="1" operator="equal">
      <formula>#REF!</formula>
    </cfRule>
    <cfRule type="cellIs" dxfId="250" priority="272" stopIfTrue="1" operator="equal">
      <formula>#REF!</formula>
    </cfRule>
  </conditionalFormatting>
  <conditionalFormatting sqref="Y414:Y415">
    <cfRule type="cellIs" dxfId="249" priority="273" stopIfTrue="1" operator="equal">
      <formula>#REF!</formula>
    </cfRule>
  </conditionalFormatting>
  <conditionalFormatting sqref="Y416">
    <cfRule type="cellIs" dxfId="248" priority="269" stopIfTrue="1" operator="equal">
      <formula>#REF!</formula>
    </cfRule>
    <cfRule type="cellIs" dxfId="247" priority="268" stopIfTrue="1" operator="equal">
      <formula>#REF!</formula>
    </cfRule>
  </conditionalFormatting>
  <conditionalFormatting sqref="Y416:Y417">
    <cfRule type="cellIs" dxfId="246" priority="270" stopIfTrue="1" operator="equal">
      <formula>#REF!</formula>
    </cfRule>
  </conditionalFormatting>
  <conditionalFormatting sqref="Y418">
    <cfRule type="cellIs" dxfId="245" priority="266" stopIfTrue="1" operator="equal">
      <formula>#REF!</formula>
    </cfRule>
    <cfRule type="cellIs" dxfId="244" priority="265" stopIfTrue="1" operator="equal">
      <formula>#REF!</formula>
    </cfRule>
  </conditionalFormatting>
  <conditionalFormatting sqref="Y418:Y420">
    <cfRule type="cellIs" dxfId="243" priority="267" stopIfTrue="1" operator="equal">
      <formula>#REF!</formula>
    </cfRule>
  </conditionalFormatting>
  <conditionalFormatting sqref="Y421">
    <cfRule type="cellIs" dxfId="242" priority="263" stopIfTrue="1" operator="equal">
      <formula>#REF!</formula>
    </cfRule>
    <cfRule type="cellIs" dxfId="241" priority="262" stopIfTrue="1" operator="equal">
      <formula>#REF!</formula>
    </cfRule>
  </conditionalFormatting>
  <conditionalFormatting sqref="Y421:Y423">
    <cfRule type="cellIs" dxfId="240" priority="264" stopIfTrue="1" operator="equal">
      <formula>#REF!</formula>
    </cfRule>
  </conditionalFormatting>
  <conditionalFormatting sqref="Y424">
    <cfRule type="cellIs" dxfId="239" priority="259" stopIfTrue="1" operator="equal">
      <formula>#REF!</formula>
    </cfRule>
    <cfRule type="cellIs" dxfId="238" priority="260" stopIfTrue="1" operator="equal">
      <formula>#REF!</formula>
    </cfRule>
  </conditionalFormatting>
  <conditionalFormatting sqref="Y424:Y426">
    <cfRule type="cellIs" dxfId="237" priority="261" stopIfTrue="1" operator="equal">
      <formula>#REF!</formula>
    </cfRule>
  </conditionalFormatting>
  <conditionalFormatting sqref="Y428">
    <cfRule type="cellIs" dxfId="236" priority="238" stopIfTrue="1" operator="equal">
      <formula>#REF!</formula>
    </cfRule>
    <cfRule type="cellIs" dxfId="235" priority="237" stopIfTrue="1" operator="equal">
      <formula>#REF!</formula>
    </cfRule>
  </conditionalFormatting>
  <conditionalFormatting sqref="Y428:Y429">
    <cfRule type="cellIs" dxfId="234" priority="239" stopIfTrue="1" operator="equal">
      <formula>#REF!</formula>
    </cfRule>
  </conditionalFormatting>
  <conditionalFormatting sqref="Y430">
    <cfRule type="cellIs" dxfId="233" priority="234" stopIfTrue="1" operator="equal">
      <formula>#REF!</formula>
    </cfRule>
    <cfRule type="cellIs" dxfId="232" priority="235" stopIfTrue="1" operator="equal">
      <formula>#REF!</formula>
    </cfRule>
  </conditionalFormatting>
  <conditionalFormatting sqref="Y430:Y432">
    <cfRule type="cellIs" dxfId="231" priority="236" stopIfTrue="1" operator="equal">
      <formula>#REF!</formula>
    </cfRule>
  </conditionalFormatting>
  <conditionalFormatting sqref="Y433">
    <cfRule type="cellIs" dxfId="230" priority="232" stopIfTrue="1" operator="equal">
      <formula>#REF!</formula>
    </cfRule>
    <cfRule type="cellIs" dxfId="229" priority="231" stopIfTrue="1" operator="equal">
      <formula>#REF!</formula>
    </cfRule>
  </conditionalFormatting>
  <conditionalFormatting sqref="Y433:Y434">
    <cfRule type="cellIs" dxfId="228" priority="233" stopIfTrue="1" operator="equal">
      <formula>#REF!</formula>
    </cfRule>
  </conditionalFormatting>
  <conditionalFormatting sqref="Y435">
    <cfRule type="cellIs" dxfId="227" priority="228" stopIfTrue="1" operator="equal">
      <formula>#REF!</formula>
    </cfRule>
    <cfRule type="cellIs" dxfId="226" priority="229" stopIfTrue="1" operator="equal">
      <formula>#REF!</formula>
    </cfRule>
  </conditionalFormatting>
  <conditionalFormatting sqref="Y435:Y437">
    <cfRule type="cellIs" dxfId="225" priority="230" stopIfTrue="1" operator="equal">
      <formula>#REF!</formula>
    </cfRule>
  </conditionalFormatting>
  <conditionalFormatting sqref="Y438">
    <cfRule type="cellIs" dxfId="224" priority="226" stopIfTrue="1" operator="equal">
      <formula>#REF!</formula>
    </cfRule>
    <cfRule type="cellIs" dxfId="223" priority="225" stopIfTrue="1" operator="equal">
      <formula>#REF!</formula>
    </cfRule>
  </conditionalFormatting>
  <conditionalFormatting sqref="Y438:Y440">
    <cfRule type="cellIs" dxfId="222" priority="227" stopIfTrue="1" operator="equal">
      <formula>#REF!</formula>
    </cfRule>
  </conditionalFormatting>
  <conditionalFormatting sqref="Y441">
    <cfRule type="cellIs" dxfId="221" priority="223" stopIfTrue="1" operator="equal">
      <formula>#REF!</formula>
    </cfRule>
    <cfRule type="cellIs" dxfId="220" priority="222" stopIfTrue="1" operator="equal">
      <formula>#REF!</formula>
    </cfRule>
  </conditionalFormatting>
  <conditionalFormatting sqref="Y441:Y442">
    <cfRule type="cellIs" dxfId="219" priority="224" stopIfTrue="1" operator="equal">
      <formula>#REF!</formula>
    </cfRule>
  </conditionalFormatting>
  <conditionalFormatting sqref="Y443">
    <cfRule type="cellIs" dxfId="218" priority="220" stopIfTrue="1" operator="equal">
      <formula>#REF!</formula>
    </cfRule>
    <cfRule type="cellIs" dxfId="217" priority="221" stopIfTrue="1" operator="equal">
      <formula>#REF!</formula>
    </cfRule>
  </conditionalFormatting>
  <conditionalFormatting sqref="Y445:Y446">
    <cfRule type="cellIs" dxfId="216" priority="207" stopIfTrue="1" operator="equal">
      <formula>#REF!</formula>
    </cfRule>
  </conditionalFormatting>
  <conditionalFormatting sqref="Y446">
    <cfRule type="cellIs" dxfId="215" priority="206" stopIfTrue="1" operator="equal">
      <formula>#REF!</formula>
    </cfRule>
  </conditionalFormatting>
  <conditionalFormatting sqref="Y446:Y448">
    <cfRule type="cellIs" dxfId="214" priority="208" stopIfTrue="1" operator="equal">
      <formula>#REF!</formula>
    </cfRule>
  </conditionalFormatting>
  <conditionalFormatting sqref="Y449">
    <cfRule type="cellIs" dxfId="213" priority="203" stopIfTrue="1" operator="equal">
      <formula>#REF!</formula>
    </cfRule>
    <cfRule type="cellIs" dxfId="212" priority="204" stopIfTrue="1" operator="equal">
      <formula>#REF!</formula>
    </cfRule>
  </conditionalFormatting>
  <conditionalFormatting sqref="Y449:Y451">
    <cfRule type="cellIs" dxfId="211" priority="205" stopIfTrue="1" operator="equal">
      <formula>#REF!</formula>
    </cfRule>
  </conditionalFormatting>
  <conditionalFormatting sqref="Y452">
    <cfRule type="cellIs" dxfId="210" priority="201" stopIfTrue="1" operator="equal">
      <formula>#REF!</formula>
    </cfRule>
    <cfRule type="cellIs" dxfId="209" priority="200" stopIfTrue="1" operator="equal">
      <formula>#REF!</formula>
    </cfRule>
  </conditionalFormatting>
  <conditionalFormatting sqref="Y452:Y453">
    <cfRule type="cellIs" dxfId="208" priority="202" stopIfTrue="1" operator="equal">
      <formula>#REF!</formula>
    </cfRule>
  </conditionalFormatting>
  <conditionalFormatting sqref="Y454">
    <cfRule type="cellIs" dxfId="207" priority="198" stopIfTrue="1" operator="equal">
      <formula>#REF!</formula>
    </cfRule>
    <cfRule type="cellIs" dxfId="206" priority="197" stopIfTrue="1" operator="equal">
      <formula>#REF!</formula>
    </cfRule>
  </conditionalFormatting>
  <conditionalFormatting sqref="Y454:Y455">
    <cfRule type="cellIs" dxfId="205" priority="199" stopIfTrue="1" operator="equal">
      <formula>#REF!</formula>
    </cfRule>
  </conditionalFormatting>
  <conditionalFormatting sqref="Y456">
    <cfRule type="cellIs" dxfId="204" priority="194" stopIfTrue="1" operator="equal">
      <formula>#REF!</formula>
    </cfRule>
    <cfRule type="cellIs" dxfId="203" priority="195" stopIfTrue="1" operator="equal">
      <formula>#REF!</formula>
    </cfRule>
  </conditionalFormatting>
  <conditionalFormatting sqref="Y456:Y461">
    <cfRule type="cellIs" dxfId="202" priority="196" stopIfTrue="1" operator="equal">
      <formula>#REF!</formula>
    </cfRule>
  </conditionalFormatting>
  <conditionalFormatting sqref="Y462">
    <cfRule type="cellIs" dxfId="201" priority="191" stopIfTrue="1" operator="equal">
      <formula>#REF!</formula>
    </cfRule>
    <cfRule type="cellIs" dxfId="200" priority="192" stopIfTrue="1" operator="equal">
      <formula>#REF!</formula>
    </cfRule>
  </conditionalFormatting>
  <conditionalFormatting sqref="Y462:Y463">
    <cfRule type="cellIs" dxfId="199" priority="193" stopIfTrue="1" operator="equal">
      <formula>#REF!</formula>
    </cfRule>
  </conditionalFormatting>
  <conditionalFormatting sqref="Y464:Y478">
    <cfRule type="cellIs" dxfId="198" priority="189" stopIfTrue="1" operator="equal">
      <formula>#REF!</formula>
    </cfRule>
    <cfRule type="cellIs" dxfId="197" priority="188" stopIfTrue="1" operator="equal">
      <formula>#REF!</formula>
    </cfRule>
  </conditionalFormatting>
  <conditionalFormatting sqref="Y464:Y479">
    <cfRule type="cellIs" dxfId="196" priority="190" stopIfTrue="1" operator="equal">
      <formula>#REF!</formula>
    </cfRule>
  </conditionalFormatting>
  <conditionalFormatting sqref="Y465:Y467">
    <cfRule type="cellIs" dxfId="195" priority="219" stopIfTrue="1" operator="equal">
      <formula>#REF!</formula>
    </cfRule>
  </conditionalFormatting>
  <conditionalFormatting sqref="Y466">
    <cfRule type="cellIs" dxfId="194" priority="218" stopIfTrue="1" operator="equal">
      <formula>#REF!</formula>
    </cfRule>
  </conditionalFormatting>
  <conditionalFormatting sqref="Y468">
    <cfRule type="cellIs" dxfId="193" priority="216" stopIfTrue="1" operator="equal">
      <formula>#REF!</formula>
    </cfRule>
  </conditionalFormatting>
  <conditionalFormatting sqref="Y468:Y470">
    <cfRule type="cellIs" dxfId="192" priority="217" stopIfTrue="1" operator="equal">
      <formula>#REF!</formula>
    </cfRule>
  </conditionalFormatting>
  <conditionalFormatting sqref="Y471">
    <cfRule type="cellIs" dxfId="191" priority="214" stopIfTrue="1" operator="equal">
      <formula>#REF!</formula>
    </cfRule>
  </conditionalFormatting>
  <conditionalFormatting sqref="Y471:Y472">
    <cfRule type="cellIs" dxfId="190" priority="215" stopIfTrue="1" operator="equal">
      <formula>#REF!</formula>
    </cfRule>
  </conditionalFormatting>
  <conditionalFormatting sqref="Y473">
    <cfRule type="cellIs" dxfId="189" priority="212" stopIfTrue="1" operator="equal">
      <formula>#REF!</formula>
    </cfRule>
  </conditionalFormatting>
  <conditionalFormatting sqref="Y473:Y475">
    <cfRule type="cellIs" dxfId="188" priority="213" stopIfTrue="1" operator="equal">
      <formula>#REF!</formula>
    </cfRule>
  </conditionalFormatting>
  <conditionalFormatting sqref="Y476">
    <cfRule type="cellIs" dxfId="187" priority="210" stopIfTrue="1" operator="equal">
      <formula>#REF!</formula>
    </cfRule>
  </conditionalFormatting>
  <conditionalFormatting sqref="Y476:Y478">
    <cfRule type="cellIs" dxfId="186" priority="211" stopIfTrue="1" operator="equal">
      <formula>#REF!</formula>
    </cfRule>
  </conditionalFormatting>
  <conditionalFormatting sqref="Y478:Y479">
    <cfRule type="cellIs" dxfId="185" priority="209" stopIfTrue="1" operator="equal">
      <formula>#REF!</formula>
    </cfRule>
  </conditionalFormatting>
  <conditionalFormatting sqref="Y480:Y481">
    <cfRule type="cellIs" dxfId="184" priority="186" stopIfTrue="1" operator="equal">
      <formula>#REF!</formula>
    </cfRule>
    <cfRule type="cellIs" dxfId="183" priority="185" stopIfTrue="1" operator="equal">
      <formula>#REF!</formula>
    </cfRule>
  </conditionalFormatting>
  <conditionalFormatting sqref="Y480:Y482">
    <cfRule type="cellIs" dxfId="182" priority="187" stopIfTrue="1" operator="equal">
      <formula>#REF!</formula>
    </cfRule>
  </conditionalFormatting>
  <conditionalFormatting sqref="Y483">
    <cfRule type="cellIs" dxfId="181" priority="183" stopIfTrue="1" operator="equal">
      <formula>#REF!</formula>
    </cfRule>
    <cfRule type="cellIs" dxfId="180" priority="182" stopIfTrue="1" operator="equal">
      <formula>#REF!</formula>
    </cfRule>
  </conditionalFormatting>
  <conditionalFormatting sqref="Y483:Y484">
    <cfRule type="cellIs" dxfId="179" priority="184" stopIfTrue="1" operator="equal">
      <formula>#REF!</formula>
    </cfRule>
  </conditionalFormatting>
  <conditionalFormatting sqref="Y485">
    <cfRule type="cellIs" dxfId="178" priority="180" stopIfTrue="1" operator="equal">
      <formula>#REF!</formula>
    </cfRule>
    <cfRule type="cellIs" dxfId="177" priority="179" stopIfTrue="1" operator="equal">
      <formula>#REF!</formula>
    </cfRule>
  </conditionalFormatting>
  <conditionalFormatting sqref="Y485:Y488">
    <cfRule type="cellIs" dxfId="176" priority="181" stopIfTrue="1" operator="equal">
      <formula>#REF!</formula>
    </cfRule>
  </conditionalFormatting>
  <conditionalFormatting sqref="Y489">
    <cfRule type="cellIs" dxfId="175" priority="177" stopIfTrue="1" operator="equal">
      <formula>#REF!</formula>
    </cfRule>
    <cfRule type="cellIs" dxfId="174" priority="176" stopIfTrue="1" operator="equal">
      <formula>#REF!</formula>
    </cfRule>
  </conditionalFormatting>
  <conditionalFormatting sqref="Y489:Y490">
    <cfRule type="cellIs" dxfId="173" priority="178" stopIfTrue="1" operator="equal">
      <formula>#REF!</formula>
    </cfRule>
  </conditionalFormatting>
  <conditionalFormatting sqref="Y491">
    <cfRule type="cellIs" dxfId="172" priority="174" stopIfTrue="1" operator="equal">
      <formula>#REF!</formula>
    </cfRule>
    <cfRule type="cellIs" dxfId="171" priority="173" stopIfTrue="1" operator="equal">
      <formula>#REF!</formula>
    </cfRule>
  </conditionalFormatting>
  <conditionalFormatting sqref="Y491:Y492">
    <cfRule type="cellIs" dxfId="170" priority="175" stopIfTrue="1" operator="equal">
      <formula>#REF!</formula>
    </cfRule>
  </conditionalFormatting>
  <conditionalFormatting sqref="Y493">
    <cfRule type="cellIs" dxfId="169" priority="171" stopIfTrue="1" operator="equal">
      <formula>#REF!</formula>
    </cfRule>
    <cfRule type="cellIs" dxfId="168" priority="170" stopIfTrue="1" operator="equal">
      <formula>#REF!</formula>
    </cfRule>
  </conditionalFormatting>
  <conditionalFormatting sqref="Y493:Y495">
    <cfRule type="cellIs" dxfId="167" priority="172" stopIfTrue="1" operator="equal">
      <formula>#REF!</formula>
    </cfRule>
  </conditionalFormatting>
  <conditionalFormatting sqref="Y496">
    <cfRule type="cellIs" dxfId="166" priority="168" stopIfTrue="1" operator="equal">
      <formula>#REF!</formula>
    </cfRule>
    <cfRule type="cellIs" dxfId="165" priority="167" stopIfTrue="1" operator="equal">
      <formula>#REF!</formula>
    </cfRule>
  </conditionalFormatting>
  <conditionalFormatting sqref="Y496:Y499">
    <cfRule type="cellIs" dxfId="164" priority="169" stopIfTrue="1" operator="equal">
      <formula>#REF!</formula>
    </cfRule>
  </conditionalFormatting>
  <conditionalFormatting sqref="Y500">
    <cfRule type="cellIs" dxfId="163" priority="164" stopIfTrue="1" operator="equal">
      <formula>#REF!</formula>
    </cfRule>
    <cfRule type="cellIs" dxfId="162" priority="165" stopIfTrue="1" operator="equal">
      <formula>#REF!</formula>
    </cfRule>
  </conditionalFormatting>
  <conditionalFormatting sqref="Y500:Y501">
    <cfRule type="cellIs" dxfId="161" priority="166" stopIfTrue="1" operator="equal">
      <formula>#REF!</formula>
    </cfRule>
  </conditionalFormatting>
  <conditionalFormatting sqref="Y502">
    <cfRule type="cellIs" dxfId="160" priority="161" stopIfTrue="1" operator="equal">
      <formula>#REF!</formula>
    </cfRule>
    <cfRule type="cellIs" dxfId="159" priority="162" stopIfTrue="1" operator="equal">
      <formula>#REF!</formula>
    </cfRule>
  </conditionalFormatting>
  <conditionalFormatting sqref="Y502:Y504">
    <cfRule type="cellIs" dxfId="158" priority="163" stopIfTrue="1" operator="equal">
      <formula>#REF!</formula>
    </cfRule>
  </conditionalFormatting>
  <conditionalFormatting sqref="Y505">
    <cfRule type="cellIs" dxfId="157" priority="158" stopIfTrue="1" operator="equal">
      <formula>#REF!</formula>
    </cfRule>
    <cfRule type="cellIs" dxfId="156" priority="159" stopIfTrue="1" operator="equal">
      <formula>#REF!</formula>
    </cfRule>
  </conditionalFormatting>
  <conditionalFormatting sqref="Y505:Y507">
    <cfRule type="cellIs" dxfId="155" priority="160" stopIfTrue="1" operator="equal">
      <formula>#REF!</formula>
    </cfRule>
  </conditionalFormatting>
  <conditionalFormatting sqref="Y508">
    <cfRule type="cellIs" dxfId="154" priority="155" stopIfTrue="1" operator="equal">
      <formula>#REF!</formula>
    </cfRule>
    <cfRule type="cellIs" dxfId="153" priority="156" stopIfTrue="1" operator="equal">
      <formula>#REF!</formula>
    </cfRule>
  </conditionalFormatting>
  <conditionalFormatting sqref="Y508:Y511">
    <cfRule type="cellIs" dxfId="152" priority="157" stopIfTrue="1" operator="equal">
      <formula>#REF!</formula>
    </cfRule>
  </conditionalFormatting>
  <conditionalFormatting sqref="Y512">
    <cfRule type="cellIs" dxfId="151" priority="152" stopIfTrue="1" operator="equal">
      <formula>#REF!</formula>
    </cfRule>
    <cfRule type="cellIs" dxfId="150" priority="153" stopIfTrue="1" operator="equal">
      <formula>#REF!</formula>
    </cfRule>
  </conditionalFormatting>
  <conditionalFormatting sqref="Y512:Y515">
    <cfRule type="cellIs" dxfId="149" priority="154" stopIfTrue="1" operator="equal">
      <formula>#REF!</formula>
    </cfRule>
  </conditionalFormatting>
  <conditionalFormatting sqref="Y516">
    <cfRule type="cellIs" dxfId="148" priority="149" stopIfTrue="1" operator="equal">
      <formula>#REF!</formula>
    </cfRule>
    <cfRule type="cellIs" dxfId="147" priority="150" stopIfTrue="1" operator="equal">
      <formula>#REF!</formula>
    </cfRule>
  </conditionalFormatting>
  <conditionalFormatting sqref="Y516:Y517">
    <cfRule type="cellIs" dxfId="146" priority="151" stopIfTrue="1" operator="equal">
      <formula>#REF!</formula>
    </cfRule>
  </conditionalFormatting>
  <conditionalFormatting sqref="Y518">
    <cfRule type="cellIs" dxfId="145" priority="147" stopIfTrue="1" operator="equal">
      <formula>#REF!</formula>
    </cfRule>
    <cfRule type="cellIs" dxfId="144" priority="146" stopIfTrue="1" operator="equal">
      <formula>#REF!</formula>
    </cfRule>
  </conditionalFormatting>
  <conditionalFormatting sqref="Y518:Y520">
    <cfRule type="cellIs" dxfId="143" priority="148" stopIfTrue="1" operator="equal">
      <formula>#REF!</formula>
    </cfRule>
  </conditionalFormatting>
  <conditionalFormatting sqref="Y521">
    <cfRule type="cellIs" dxfId="142" priority="143" stopIfTrue="1" operator="equal">
      <formula>#REF!</formula>
    </cfRule>
    <cfRule type="cellIs" dxfId="141" priority="144" stopIfTrue="1" operator="equal">
      <formula>#REF!</formula>
    </cfRule>
  </conditionalFormatting>
  <conditionalFormatting sqref="Y521:Y523">
    <cfRule type="cellIs" dxfId="140" priority="145" stopIfTrue="1" operator="equal">
      <formula>#REF!</formula>
    </cfRule>
  </conditionalFormatting>
  <conditionalFormatting sqref="Y524">
    <cfRule type="cellIs" dxfId="139" priority="141" stopIfTrue="1" operator="equal">
      <formula>#REF!</formula>
    </cfRule>
    <cfRule type="cellIs" dxfId="138" priority="140" stopIfTrue="1" operator="equal">
      <formula>#REF!</formula>
    </cfRule>
  </conditionalFormatting>
  <conditionalFormatting sqref="Y524:Y525">
    <cfRule type="cellIs" dxfId="137" priority="142" stopIfTrue="1" operator="equal">
      <formula>#REF!</formula>
    </cfRule>
  </conditionalFormatting>
  <conditionalFormatting sqref="Y526">
    <cfRule type="cellIs" dxfId="136" priority="137" stopIfTrue="1" operator="equal">
      <formula>#REF!</formula>
    </cfRule>
    <cfRule type="cellIs" dxfId="135" priority="138" stopIfTrue="1" operator="equal">
      <formula>#REF!</formula>
    </cfRule>
  </conditionalFormatting>
  <conditionalFormatting sqref="Y526:Y533">
    <cfRule type="cellIs" dxfId="134" priority="139" stopIfTrue="1" operator="equal">
      <formula>#REF!</formula>
    </cfRule>
  </conditionalFormatting>
  <conditionalFormatting sqref="Y534">
    <cfRule type="cellIs" dxfId="133" priority="134" stopIfTrue="1" operator="equal">
      <formula>#REF!</formula>
    </cfRule>
    <cfRule type="cellIs" dxfId="132" priority="135" stopIfTrue="1" operator="equal">
      <formula>#REF!</formula>
    </cfRule>
  </conditionalFormatting>
  <conditionalFormatting sqref="Y534:Y535">
    <cfRule type="cellIs" dxfId="131" priority="136" stopIfTrue="1" operator="equal">
      <formula>#REF!</formula>
    </cfRule>
  </conditionalFormatting>
  <conditionalFormatting sqref="Y536">
    <cfRule type="cellIs" dxfId="130" priority="131" stopIfTrue="1" operator="equal">
      <formula>#REF!</formula>
    </cfRule>
    <cfRule type="cellIs" dxfId="129" priority="132" stopIfTrue="1" operator="equal">
      <formula>#REF!</formula>
    </cfRule>
  </conditionalFormatting>
  <conditionalFormatting sqref="Y536:Y537">
    <cfRule type="cellIs" dxfId="128" priority="133" stopIfTrue="1" operator="equal">
      <formula>#REF!</formula>
    </cfRule>
  </conditionalFormatting>
  <conditionalFormatting sqref="Y538">
    <cfRule type="cellIs" dxfId="127" priority="129" stopIfTrue="1" operator="equal">
      <formula>#REF!</formula>
    </cfRule>
    <cfRule type="cellIs" dxfId="126" priority="128" stopIfTrue="1" operator="equal">
      <formula>#REF!</formula>
    </cfRule>
  </conditionalFormatting>
  <conditionalFormatting sqref="Y538:Y541">
    <cfRule type="cellIs" dxfId="125" priority="130" stopIfTrue="1" operator="equal">
      <formula>#REF!</formula>
    </cfRule>
  </conditionalFormatting>
  <conditionalFormatting sqref="Y542">
    <cfRule type="cellIs" dxfId="124" priority="125" stopIfTrue="1" operator="equal">
      <formula>#REF!</formula>
    </cfRule>
    <cfRule type="cellIs" dxfId="123" priority="126" stopIfTrue="1" operator="equal">
      <formula>#REF!</formula>
    </cfRule>
  </conditionalFormatting>
  <conditionalFormatting sqref="Y542:Y552">
    <cfRule type="cellIs" dxfId="122" priority="127" stopIfTrue="1" operator="equal">
      <formula>#REF!</formula>
    </cfRule>
  </conditionalFormatting>
  <conditionalFormatting sqref="Y546">
    <cfRule type="cellIs" dxfId="121" priority="123" stopIfTrue="1" operator="equal">
      <formula>#REF!</formula>
    </cfRule>
    <cfRule type="cellIs" dxfId="120" priority="124" stopIfTrue="1" operator="equal">
      <formula>#REF!</formula>
    </cfRule>
  </conditionalFormatting>
  <conditionalFormatting sqref="Y553">
    <cfRule type="cellIs" dxfId="119" priority="120" stopIfTrue="1" operator="equal">
      <formula>#REF!</formula>
    </cfRule>
    <cfRule type="cellIs" dxfId="118" priority="121" stopIfTrue="1" operator="equal">
      <formula>#REF!</formula>
    </cfRule>
  </conditionalFormatting>
  <conditionalFormatting sqref="Y553:Y557">
    <cfRule type="cellIs" dxfId="117" priority="122" stopIfTrue="1" operator="equal">
      <formula>#REF!</formula>
    </cfRule>
  </conditionalFormatting>
  <conditionalFormatting sqref="Y558:Y559">
    <cfRule type="cellIs" dxfId="116" priority="117" stopIfTrue="1" operator="equal">
      <formula>#REF!</formula>
    </cfRule>
    <cfRule type="cellIs" dxfId="115" priority="118" stopIfTrue="1" operator="equal">
      <formula>#REF!</formula>
    </cfRule>
  </conditionalFormatting>
  <conditionalFormatting sqref="Y558:Y560">
    <cfRule type="cellIs" dxfId="114" priority="119" stopIfTrue="1" operator="equal">
      <formula>#REF!</formula>
    </cfRule>
  </conditionalFormatting>
  <conditionalFormatting sqref="Y561:Y562">
    <cfRule type="cellIs" dxfId="113" priority="114" stopIfTrue="1" operator="equal">
      <formula>#REF!</formula>
    </cfRule>
    <cfRule type="cellIs" dxfId="112" priority="115" stopIfTrue="1" operator="equal">
      <formula>#REF!</formula>
    </cfRule>
  </conditionalFormatting>
  <conditionalFormatting sqref="Y561:Y563">
    <cfRule type="cellIs" dxfId="111" priority="116" stopIfTrue="1" operator="equal">
      <formula>#REF!</formula>
    </cfRule>
  </conditionalFormatting>
  <conditionalFormatting sqref="Y564">
    <cfRule type="cellIs" dxfId="110" priority="111" stopIfTrue="1" operator="equal">
      <formula>#REF!</formula>
    </cfRule>
    <cfRule type="cellIs" dxfId="109" priority="112" stopIfTrue="1" operator="equal">
      <formula>#REF!</formula>
    </cfRule>
  </conditionalFormatting>
  <conditionalFormatting sqref="Y564:Y565">
    <cfRule type="cellIs" dxfId="108" priority="113" stopIfTrue="1" operator="equal">
      <formula>#REF!</formula>
    </cfRule>
  </conditionalFormatting>
  <conditionalFormatting sqref="Y566:Y567">
    <cfRule type="cellIs" dxfId="107" priority="108" stopIfTrue="1" operator="equal">
      <formula>#REF!</formula>
    </cfRule>
    <cfRule type="cellIs" dxfId="106" priority="109" stopIfTrue="1" operator="equal">
      <formula>#REF!</formula>
    </cfRule>
  </conditionalFormatting>
  <conditionalFormatting sqref="Y566:Y568">
    <cfRule type="cellIs" dxfId="105" priority="110" stopIfTrue="1" operator="equal">
      <formula>#REF!</formula>
    </cfRule>
  </conditionalFormatting>
  <conditionalFormatting sqref="Y569:Y573">
    <cfRule type="cellIs" dxfId="104" priority="105" stopIfTrue="1" operator="equal">
      <formula>#REF!</formula>
    </cfRule>
    <cfRule type="cellIs" dxfId="103" priority="106" stopIfTrue="1" operator="equal">
      <formula>#REF!</formula>
    </cfRule>
  </conditionalFormatting>
  <conditionalFormatting sqref="Y569:Y574">
    <cfRule type="cellIs" dxfId="102" priority="107" stopIfTrue="1" operator="equal">
      <formula>#REF!</formula>
    </cfRule>
  </conditionalFormatting>
  <conditionalFormatting sqref="Y575:Y576">
    <cfRule type="cellIs" dxfId="101" priority="103" stopIfTrue="1" operator="equal">
      <formula>#REF!</formula>
    </cfRule>
    <cfRule type="cellIs" dxfId="100" priority="102" stopIfTrue="1" operator="equal">
      <formula>#REF!</formula>
    </cfRule>
  </conditionalFormatting>
  <conditionalFormatting sqref="Y575:Y577">
    <cfRule type="cellIs" dxfId="99" priority="104" stopIfTrue="1" operator="equal">
      <formula>#REF!</formula>
    </cfRule>
  </conditionalFormatting>
  <conditionalFormatting sqref="Y578">
    <cfRule type="cellIs" dxfId="98" priority="100" stopIfTrue="1" operator="equal">
      <formula>#REF!</formula>
    </cfRule>
    <cfRule type="cellIs" dxfId="97" priority="99" stopIfTrue="1" operator="equal">
      <formula>#REF!</formula>
    </cfRule>
  </conditionalFormatting>
  <conditionalFormatting sqref="Y578:Y579">
    <cfRule type="cellIs" dxfId="96" priority="101" stopIfTrue="1" operator="equal">
      <formula>#REF!</formula>
    </cfRule>
  </conditionalFormatting>
  <conditionalFormatting sqref="Y580:Y584">
    <cfRule type="cellIs" dxfId="95" priority="97" stopIfTrue="1" operator="equal">
      <formula>#REF!</formula>
    </cfRule>
    <cfRule type="cellIs" dxfId="94" priority="96" stopIfTrue="1" operator="equal">
      <formula>#REF!</formula>
    </cfRule>
  </conditionalFormatting>
  <conditionalFormatting sqref="Y580:Y64705">
    <cfRule type="cellIs" dxfId="93" priority="98" stopIfTrue="1" operator="equal">
      <formula>#REF!</formula>
    </cfRule>
  </conditionalFormatting>
  <conditionalFormatting sqref="Z382">
    <cfRule type="cellIs" dxfId="92" priority="48" stopIfTrue="1" operator="equal">
      <formula>"Standard"</formula>
    </cfRule>
    <cfRule type="expression" dxfId="91" priority="50" stopIfTrue="1">
      <formula>OR(Z382="Customisation",Z382="Extension")</formula>
    </cfRule>
    <cfRule type="cellIs" dxfId="90" priority="49" stopIfTrue="1" operator="equal">
      <formula>"Configuration"</formula>
    </cfRule>
  </conditionalFormatting>
  <conditionalFormatting sqref="Z384">
    <cfRule type="cellIs" dxfId="89" priority="52" stopIfTrue="1" operator="equal">
      <formula>"Configuration"</formula>
    </cfRule>
    <cfRule type="expression" dxfId="88" priority="53" stopIfTrue="1">
      <formula>OR(Z384="Customisation",Z384="Extension")</formula>
    </cfRule>
    <cfRule type="cellIs" dxfId="87" priority="51" stopIfTrue="1" operator="equal">
      <formula>"Standard"</formula>
    </cfRule>
  </conditionalFormatting>
  <conditionalFormatting sqref="Z388">
    <cfRule type="cellIs" dxfId="86" priority="54" stopIfTrue="1" operator="equal">
      <formula>"Standard"</formula>
    </cfRule>
    <cfRule type="cellIs" dxfId="85" priority="55" stopIfTrue="1" operator="equal">
      <formula>"Configuration"</formula>
    </cfRule>
    <cfRule type="expression" dxfId="84" priority="56" stopIfTrue="1">
      <formula>OR(Z388="Customisation",Z388="Extension")</formula>
    </cfRule>
  </conditionalFormatting>
  <conditionalFormatting sqref="Z394">
    <cfRule type="cellIs" dxfId="83" priority="58" stopIfTrue="1" operator="equal">
      <formula>"Configuration"</formula>
    </cfRule>
    <cfRule type="cellIs" dxfId="82" priority="57" stopIfTrue="1" operator="equal">
      <formula>"Standard"</formula>
    </cfRule>
    <cfRule type="expression" dxfId="81" priority="59" stopIfTrue="1">
      <formula>OR(Z394="Customisation",Z394="Extension")</formula>
    </cfRule>
  </conditionalFormatting>
  <conditionalFormatting sqref="Z398">
    <cfRule type="expression" dxfId="80" priority="62" stopIfTrue="1">
      <formula>OR(Z398="Customisation",Z398="Extension")</formula>
    </cfRule>
    <cfRule type="cellIs" dxfId="79" priority="60" stopIfTrue="1" operator="equal">
      <formula>"Standard"</formula>
    </cfRule>
    <cfRule type="cellIs" dxfId="78" priority="61" stopIfTrue="1" operator="equal">
      <formula>"Configuration"</formula>
    </cfRule>
  </conditionalFormatting>
  <conditionalFormatting sqref="Z402">
    <cfRule type="expression" dxfId="77" priority="65" stopIfTrue="1">
      <formula>OR(Z402="Customisation",Z402="Extension")</formula>
    </cfRule>
    <cfRule type="cellIs" dxfId="76" priority="64" stopIfTrue="1" operator="equal">
      <formula>"Configuration"</formula>
    </cfRule>
    <cfRule type="cellIs" dxfId="75" priority="63" stopIfTrue="1" operator="equal">
      <formula>"Standard"</formula>
    </cfRule>
  </conditionalFormatting>
  <conditionalFormatting sqref="Z421">
    <cfRule type="cellIs" dxfId="74" priority="42" stopIfTrue="1" operator="equal">
      <formula>"Standard"</formula>
    </cfRule>
    <cfRule type="cellIs" dxfId="73" priority="43" stopIfTrue="1" operator="equal">
      <formula>"Configuration"</formula>
    </cfRule>
    <cfRule type="expression" dxfId="72" priority="44" stopIfTrue="1">
      <formula>OR(Z421="Customisation",Z421="Extension")</formula>
    </cfRule>
  </conditionalFormatting>
  <conditionalFormatting sqref="Z424">
    <cfRule type="cellIs" dxfId="71" priority="46" stopIfTrue="1" operator="equal">
      <formula>"Configuration"</formula>
    </cfRule>
    <cfRule type="cellIs" dxfId="70" priority="45" stopIfTrue="1" operator="equal">
      <formula>"Standard"</formula>
    </cfRule>
    <cfRule type="expression" dxfId="69" priority="47" stopIfTrue="1">
      <formula>OR(Z424="Customisation",Z424="Extension")</formula>
    </cfRule>
  </conditionalFormatting>
  <conditionalFormatting sqref="Z427">
    <cfRule type="expression" dxfId="68" priority="68" stopIfTrue="1">
      <formula>OR(Z427="Customisation",Z427="Extension")</formula>
    </cfRule>
    <cfRule type="cellIs" dxfId="67" priority="67" stopIfTrue="1" operator="equal">
      <formula>"Configuration"</formula>
    </cfRule>
    <cfRule type="cellIs" dxfId="66" priority="66" stopIfTrue="1" operator="equal">
      <formula>"Standard"</formula>
    </cfRule>
  </conditionalFormatting>
  <conditionalFormatting sqref="Z429 Z431:Z433">
    <cfRule type="expression" dxfId="65" priority="77" stopIfTrue="1">
      <formula>OR(Z429="Customisation",Z429="Extension")</formula>
    </cfRule>
    <cfRule type="cellIs" dxfId="64" priority="76" stopIfTrue="1" operator="equal">
      <formula>"Configuration"</formula>
    </cfRule>
    <cfRule type="cellIs" dxfId="63" priority="75" stopIfTrue="1" operator="equal">
      <formula>"Standard"</formula>
    </cfRule>
  </conditionalFormatting>
  <conditionalFormatting sqref="Z435">
    <cfRule type="cellIs" dxfId="62" priority="72" stopIfTrue="1" operator="equal">
      <formula>"Standard"</formula>
    </cfRule>
    <cfRule type="expression" dxfId="61" priority="74" stopIfTrue="1">
      <formula>OR(Z435="Customisation",Z435="Extension")</formula>
    </cfRule>
    <cfRule type="cellIs" dxfId="60" priority="73" stopIfTrue="1" operator="equal">
      <formula>"Configuration"</formula>
    </cfRule>
  </conditionalFormatting>
  <conditionalFormatting sqref="Z437">
    <cfRule type="cellIs" dxfId="59" priority="70" stopIfTrue="1" operator="equal">
      <formula>"Configuration"</formula>
    </cfRule>
    <cfRule type="cellIs" dxfId="58" priority="69" stopIfTrue="1" operator="equal">
      <formula>"Standard"</formula>
    </cfRule>
    <cfRule type="expression" dxfId="57" priority="71" stopIfTrue="1">
      <formula>OR(Z437="Customisation",Z437="Extension")</formula>
    </cfRule>
  </conditionalFormatting>
  <conditionalFormatting sqref="Z445">
    <cfRule type="expression" dxfId="56" priority="32" stopIfTrue="1">
      <formula>OR(Z445="Customisation",Z445="Extension")</formula>
    </cfRule>
    <cfRule type="cellIs" dxfId="55" priority="31" stopIfTrue="1" operator="equal">
      <formula>"Configuration"</formula>
    </cfRule>
    <cfRule type="cellIs" dxfId="54" priority="30" stopIfTrue="1" operator="equal">
      <formula>"Standard"</formula>
    </cfRule>
  </conditionalFormatting>
  <conditionalFormatting sqref="Z453">
    <cfRule type="cellIs" dxfId="53" priority="24" stopIfTrue="1" operator="equal">
      <formula>"Standard"</formula>
    </cfRule>
    <cfRule type="cellIs" dxfId="52" priority="25" stopIfTrue="1" operator="equal">
      <formula>"Configuration"</formula>
    </cfRule>
    <cfRule type="expression" dxfId="51" priority="26" stopIfTrue="1">
      <formula>OR(Z453="Customisation",Z453="Extension")</formula>
    </cfRule>
  </conditionalFormatting>
  <conditionalFormatting sqref="Z457">
    <cfRule type="expression" dxfId="50" priority="23" stopIfTrue="1">
      <formula>OR(Z457="Customisation",Z457="Extension")</formula>
    </cfRule>
    <cfRule type="cellIs" dxfId="49" priority="22" stopIfTrue="1" operator="equal">
      <formula>"Configuration"</formula>
    </cfRule>
    <cfRule type="cellIs" dxfId="48" priority="21" stopIfTrue="1" operator="equal">
      <formula>"Standard"</formula>
    </cfRule>
  </conditionalFormatting>
  <conditionalFormatting sqref="Z459">
    <cfRule type="cellIs" dxfId="47" priority="18" stopIfTrue="1" operator="equal">
      <formula>"Standard"</formula>
    </cfRule>
    <cfRule type="expression" dxfId="46" priority="20" stopIfTrue="1">
      <formula>OR(Z459="Customisation",Z459="Extension")</formula>
    </cfRule>
    <cfRule type="cellIs" dxfId="45" priority="19" stopIfTrue="1" operator="equal">
      <formula>"Configuration"</formula>
    </cfRule>
  </conditionalFormatting>
  <conditionalFormatting sqref="Z465">
    <cfRule type="expression" dxfId="44" priority="41" stopIfTrue="1">
      <formula>OR(Z465="Customisation",Z465="Extension")</formula>
    </cfRule>
    <cfRule type="cellIs" dxfId="43" priority="40" stopIfTrue="1" operator="equal">
      <formula>"Configuration"</formula>
    </cfRule>
    <cfRule type="cellIs" dxfId="42" priority="39" stopIfTrue="1" operator="equal">
      <formula>"Standard"</formula>
    </cfRule>
  </conditionalFormatting>
  <conditionalFormatting sqref="Z467">
    <cfRule type="expression" dxfId="41" priority="38" stopIfTrue="1">
      <formula>OR(Z467="Customisation",Z467="Extension")</formula>
    </cfRule>
    <cfRule type="cellIs" dxfId="40" priority="37" stopIfTrue="1" operator="equal">
      <formula>"Configuration"</formula>
    </cfRule>
    <cfRule type="cellIs" dxfId="39" priority="36" stopIfTrue="1" operator="equal">
      <formula>"Standard"</formula>
    </cfRule>
  </conditionalFormatting>
  <conditionalFormatting sqref="Z473">
    <cfRule type="cellIs" dxfId="38" priority="34" stopIfTrue="1" operator="equal">
      <formula>"Configuration"</formula>
    </cfRule>
    <cfRule type="cellIs" dxfId="37" priority="33" stopIfTrue="1" operator="equal">
      <formula>"Standard"</formula>
    </cfRule>
    <cfRule type="expression" dxfId="36" priority="35" stopIfTrue="1">
      <formula>OR(Z473="Customisation",Z473="Extension")</formula>
    </cfRule>
  </conditionalFormatting>
  <conditionalFormatting sqref="Z477">
    <cfRule type="cellIs" dxfId="35" priority="28" stopIfTrue="1" operator="equal">
      <formula>"Configuration"</formula>
    </cfRule>
    <cfRule type="cellIs" dxfId="34" priority="27" stopIfTrue="1" operator="equal">
      <formula>"Standard"</formula>
    </cfRule>
    <cfRule type="expression" dxfId="33" priority="29" stopIfTrue="1">
      <formula>OR(Z477="Customisation",Z477="Extension")</formula>
    </cfRule>
  </conditionalFormatting>
  <dataValidations count="14">
    <dataValidation type="list" allowBlank="1" showInputMessage="1" showErrorMessage="1" sqref="I310 I312" xr:uid="{44759EF6-EB14-4496-92BF-29AADB94B80F}">
      <formula1>"Standard,Configuration,Extension,Customisation,Interface,Later Phase,Link,Out Of Scope,Business Proc Only, Non-function"</formula1>
    </dataValidation>
    <dataValidation type="list" allowBlank="1" showErrorMessage="1" sqref="I310 I312" xr:uid="{7B8E5736-A6F1-4663-931E-C20D66854579}">
      <formula1>"Standard,Configuration,Extension,Customisation,Interface,Later Phase,Link,Out Of Scope,Business Proc Only, Non-function"</formula1>
    </dataValidation>
    <dataValidation type="list" allowBlank="1" showInputMessage="1" showErrorMessage="1" sqref="B97:B102 B115:B116 B118:B119 B123 B135 B137 B139:B149 B151 B153 B155:B156 B158 B160 B162 B164 B166 B169 B171 B173:B174 B176 B178:B181 B183 B185 B187 B189:B190 B192 B194 B196 B198:B199 B201:B213 B215:B220 B223:B230 B234:B281 B297:B410 B412:B420 B422 B425 B428:B429 B431 B433 B437 B439 B441 B444 B446:B447 B449 B451:B452 B456 B458:B459 B461 B464 B466 B468:B472 B474 B476 B478 B480:B481 B483:B485 B487 B491:B492 B494:B495 B498 B500:B501 B503:B504 B506:B507 B510:B512 B514 B519:B520 B516:B517 B522 B524:B530 B532 B534 B536:B537 B540:B541 B543:B545 B548:B552 B555:B556 B558 B561:B562 B564 B566:B567 B569 B571:B572 B575:B583 B121" xr:uid="{CE329D47-C3C6-424C-942F-ADAD67AEF074}">
      <formula1>"Sample, Stock, Instrument, Retain, Report&amp;Label, Security, Training, Dashboard, Notification,  Assignment, Interface, IM Integartion, LES"</formula1>
    </dataValidation>
    <dataValidation type="list" allowBlank="1" showInputMessage="1" showErrorMessage="1" sqref="B8:B41 B43:B57 B59:B61 B63:B96 B103:B114 B117 B124:B134 B120 B122" xr:uid="{D23F0B74-06F7-4C59-A6BF-623488436985}">
      <formula1>"Sample, Stock, Instrument, Retain, Report&amp;Label, Security, Training, Dashboard, Notification,  Assignment, Interface, IM Integartion"</formula1>
    </dataValidation>
    <dataValidation type="list" allowBlank="1" showInputMessage="1" showErrorMessage="1" sqref="I8:I309 I311 I313:I1048576" xr:uid="{AFE547A9-1314-46A9-9C85-291A444D08FA}">
      <formula1>"Standard,Configuration,Extension,Customisation,Interface,Later Phase,Link,Out Of Scope,Business Proc Only"</formula1>
    </dataValidation>
    <dataValidation type="list" allowBlank="1" showErrorMessage="1" sqref="I8:I309 I311 I313:I1048576" xr:uid="{C57FD6B0-215F-4092-B3DC-62C427BCEB66}">
      <formula1>"Standard,Configuration,Extension,Customisation,Interface,Later Phase,Link,Out Of Scope,Business Proc Only"</formula1>
    </dataValidation>
    <dataValidation type="list" allowBlank="1" showInputMessage="1" showErrorMessage="1" sqref="E150 E130:E131 E128 E269:E270 E118:E120 E116 E114 E112 E110 E107:E108 E95:E98 E105 E100:E103 E73:E74 E32:E34 E30 E28 E24:E25 E21:E22 E19 E135 E137 E232:E234 E81 E83 E85 E87:E88 E9:E14 E145 E277 E152 E154:E156 E158 E160 E162:E163 E165 E167 E169 E171 E173:E175 E177 E262:E264 E266 E122:E126 E194 E196 E198:E199 E229:E230 E585 E587:E589 E236 E238 E240 E280 E272 E274 E283 E285 E288 E290 E294 E302:E304 E296 E292 E300 E211:E213 E306:E308 E372 E375 E405 E411:E412 E201:E202 E416 E418 E421 E424 E382 E384 E388 E390 E394 E398 E402 E427 E179:E192 E431 E433 E435 E334 E439 E441 E443 E465 E467 E139:E141 E437 E473 E475 E477 E445 E76 E449 E451:E453 E455 E457 E459 E461 E463 E222:E226 E242:E259 E16:E17 E92:E93 E593:E598 E36:E71" xr:uid="{AA5E8807-B7E2-4DEF-A852-20C5F2B35A13}">
      <formula1>"Phase A, Phase B"</formula1>
    </dataValidation>
    <dataValidation type="list" allowBlank="1" showInputMessage="1" showErrorMessage="1" sqref="AK2:AK3" xr:uid="{00720072-EA27-4198-AB09-44F6EF8740FC}">
      <formula1>Include_exclude</formula1>
    </dataValidation>
    <dataValidation type="list" allowBlank="1" showInputMessage="1" showErrorMessage="1" sqref="Y526 Y415:Y418 Y376:Y381 Y405:Y412 Y433:Y442 Y468:Y470 Y428:Y429 Y482" xr:uid="{71CA60C6-1A38-4D62-BC19-CDE599D56EF2}">
      <formula1>$AK$2:$AK$3</formula1>
    </dataValidation>
    <dataValidation type="list" allowBlank="1" showInputMessage="1" showErrorMessage="1" sqref="H542 H546:H547 H557:H598 H538:H539 H553:H554 H8:H536" xr:uid="{3DE53773-97CA-4EBE-AA43-563576BB2ABD}">
      <formula1>"Must,Should, Could, Wont"</formula1>
    </dataValidation>
    <dataValidation type="list" allowBlank="1" showInputMessage="1" showErrorMessage="1" sqref="Y430:Y432 Y483:Y525 Y527:Y536 Y593:Y598 Y277:Y281 Y233:Y275 Y419:Y427 Y471:Y481 Y443:Y467 Y283:Y375 Y382:Y404" xr:uid="{1B7E28B4-1FD6-4FCA-B3A2-F2CE91434025}">
      <formula1>#REF!</formula1>
    </dataValidation>
    <dataValidation type="list" allowBlank="1" showInputMessage="1" showErrorMessage="1" sqref="AD593:AD598 AD415:AD536 AD233:AD367 AD370:AD412" xr:uid="{FD17C091-557D-498A-855F-6EBA7A5F7FF0}">
      <formula1>"Yes, No"</formula1>
    </dataValidation>
    <dataValidation type="list" allowBlank="1" showInputMessage="1" showErrorMessage="1" sqref="AB593:AB598 AB415:AB536 AB233:AB367 AB370:AB412" xr:uid="{210FDA22-E759-4505-947E-DF65D9881D58}">
      <formula1>"Hi, Med, Low"</formula1>
    </dataValidation>
    <dataValidation type="list" allowBlank="1" showInputMessage="1" showErrorMessage="1" sqref="AC593:AC598 AC415:AC536 AC233:AC367 AC370:AC412" xr:uid="{E1942F00-2FD9-4F60-9F42-600F47C079E1}">
      <formula1>"PT1, PT2, PT3, PT4, PT5, PT6"</formula1>
    </dataValidation>
  </dataValidations>
  <pageMargins left="0.74803149606299213" right="0.74803149606299213" top="0.39370078740157483" bottom="0.98425196850393704" header="0.51181102362204722" footer="0.51181102362204722"/>
  <pageSetup paperSize="8" scale="80" orientation="landscape" r:id="rId1"/>
  <headerFooter alignWithMargins="0">
    <oddFooter>&amp;L&amp;"Arial,Bold"© 2003 Thermo Electron Corporation.  All rights reserved&amp;R&amp;"Times New Roman,Regular"&amp;12Page &amp;P of &amp;N</oddFooter>
  </headerFooter>
  <drawing r:id="rId2"/>
  <legacyDrawing r:id="rId3"/>
  <legacyDrawingHF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4"/>
  <sheetViews>
    <sheetView tabSelected="1" workbookViewId="0">
      <pane ySplit="1" topLeftCell="A2" activePane="bottomLeft" state="frozen"/>
      <selection activeCell="B1" sqref="B1"/>
      <selection pane="bottomLeft" activeCell="C7" sqref="A1:M104"/>
    </sheetView>
  </sheetViews>
  <sheetFormatPr defaultRowHeight="14.4"/>
  <cols>
    <col min="2" max="3" width="12.109375" customWidth="1"/>
    <col min="4" max="4" width="13.6640625" customWidth="1"/>
    <col min="6" max="6" width="14" customWidth="1"/>
    <col min="8" max="9" width="55.109375" customWidth="1"/>
    <col min="11" max="11" width="12.44140625" customWidth="1"/>
    <col min="12" max="12" width="28.44140625" style="51" customWidth="1"/>
  </cols>
  <sheetData>
    <row r="1" spans="1:13">
      <c r="A1" s="10" t="s">
        <v>0</v>
      </c>
      <c r="B1" s="10" t="s">
        <v>1</v>
      </c>
      <c r="C1" s="10" t="s">
        <v>1677</v>
      </c>
      <c r="D1" s="10" t="s">
        <v>2</v>
      </c>
      <c r="F1" s="10" t="s">
        <v>3</v>
      </c>
      <c r="G1" s="10"/>
      <c r="H1" s="10" t="s">
        <v>4</v>
      </c>
      <c r="I1" s="10" t="s">
        <v>5</v>
      </c>
      <c r="J1" s="10" t="s">
        <v>6</v>
      </c>
      <c r="K1" s="10" t="s">
        <v>7</v>
      </c>
      <c r="L1" s="16" t="s">
        <v>8</v>
      </c>
    </row>
    <row r="2" spans="1:13" ht="43.2">
      <c r="A2" s="10">
        <f>ROW()-1</f>
        <v>1</v>
      </c>
      <c r="B2" s="16" t="s">
        <v>9</v>
      </c>
      <c r="C2" s="304" t="s">
        <v>172</v>
      </c>
      <c r="D2" s="17" t="s">
        <v>10</v>
      </c>
      <c r="F2" s="18" t="s">
        <v>11</v>
      </c>
      <c r="G2" s="19"/>
      <c r="H2" s="20" t="s">
        <v>12</v>
      </c>
      <c r="I2" s="21" t="s">
        <v>13</v>
      </c>
      <c r="J2" s="22"/>
      <c r="K2" s="22" t="s">
        <v>14</v>
      </c>
      <c r="L2" s="46" t="s">
        <v>15</v>
      </c>
    </row>
    <row r="3" spans="1:13" ht="15.6">
      <c r="A3" s="10">
        <f t="shared" ref="A3:A69" si="0">ROW()-1</f>
        <v>2</v>
      </c>
      <c r="B3" s="16"/>
      <c r="C3" s="304" t="s">
        <v>172</v>
      </c>
      <c r="D3" s="17" t="s">
        <v>16</v>
      </c>
      <c r="F3" s="18" t="s">
        <v>17</v>
      </c>
      <c r="G3" s="19"/>
      <c r="H3" s="23" t="s">
        <v>18</v>
      </c>
      <c r="I3" s="37" t="s">
        <v>19</v>
      </c>
      <c r="J3" s="22"/>
      <c r="K3" s="22" t="s">
        <v>14</v>
      </c>
      <c r="L3" s="16"/>
    </row>
    <row r="4" spans="1:13" ht="43.2">
      <c r="A4" s="10">
        <f t="shared" si="0"/>
        <v>3</v>
      </c>
      <c r="B4" s="16"/>
      <c r="C4" s="304" t="s">
        <v>450</v>
      </c>
      <c r="D4" s="17" t="s">
        <v>20</v>
      </c>
      <c r="E4">
        <v>2</v>
      </c>
      <c r="F4" s="18" t="s">
        <v>11</v>
      </c>
      <c r="G4" s="19"/>
      <c r="H4" s="19" t="s">
        <v>21</v>
      </c>
      <c r="I4" s="24" t="s">
        <v>22</v>
      </c>
      <c r="J4" s="22"/>
      <c r="K4" s="22" t="s">
        <v>14</v>
      </c>
      <c r="L4" s="48" t="s">
        <v>23</v>
      </c>
      <c r="M4">
        <v>2</v>
      </c>
    </row>
    <row r="5" spans="1:13" ht="41.4">
      <c r="A5" s="10">
        <f>ROW()-1</f>
        <v>4</v>
      </c>
      <c r="B5" s="16"/>
      <c r="C5" s="304" t="s">
        <v>172</v>
      </c>
      <c r="D5" s="17" t="s">
        <v>24</v>
      </c>
      <c r="F5" s="18" t="s">
        <v>11</v>
      </c>
      <c r="G5" s="19"/>
      <c r="H5" s="25" t="s">
        <v>25</v>
      </c>
      <c r="I5" s="37" t="s">
        <v>26</v>
      </c>
      <c r="J5" s="22"/>
      <c r="K5" s="22" t="s">
        <v>14</v>
      </c>
      <c r="L5" s="46" t="s">
        <v>15</v>
      </c>
    </row>
    <row r="6" spans="1:13" ht="27.6">
      <c r="A6" s="10">
        <f t="shared" si="0"/>
        <v>5</v>
      </c>
      <c r="B6" s="16"/>
      <c r="C6" s="304" t="s">
        <v>172</v>
      </c>
      <c r="D6" s="17" t="s">
        <v>27</v>
      </c>
      <c r="F6" s="18" t="s">
        <v>11</v>
      </c>
      <c r="G6" s="19"/>
      <c r="H6" s="20" t="s">
        <v>28</v>
      </c>
      <c r="I6" s="21" t="s">
        <v>29</v>
      </c>
      <c r="J6" s="22"/>
      <c r="K6" s="22" t="s">
        <v>14</v>
      </c>
      <c r="L6" s="46" t="s">
        <v>15</v>
      </c>
    </row>
    <row r="7" spans="1:13" ht="31.2">
      <c r="A7" s="10">
        <f t="shared" si="0"/>
        <v>6</v>
      </c>
      <c r="B7" s="16"/>
      <c r="C7" s="304" t="s">
        <v>450</v>
      </c>
      <c r="D7" s="17" t="s">
        <v>30</v>
      </c>
      <c r="F7" s="18" t="s">
        <v>11</v>
      </c>
      <c r="G7" s="19"/>
      <c r="H7" s="19" t="s">
        <v>31</v>
      </c>
      <c r="I7" s="24" t="s">
        <v>32</v>
      </c>
      <c r="J7" s="22"/>
      <c r="K7" s="22" t="s">
        <v>14</v>
      </c>
      <c r="L7" s="43" t="s">
        <v>33</v>
      </c>
    </row>
    <row r="8" spans="1:13">
      <c r="A8" s="10">
        <f t="shared" si="0"/>
        <v>7</v>
      </c>
      <c r="B8" s="16"/>
      <c r="C8" s="304" t="s">
        <v>172</v>
      </c>
      <c r="D8" s="17" t="s">
        <v>34</v>
      </c>
      <c r="F8" s="18" t="s">
        <v>11</v>
      </c>
      <c r="G8" s="19"/>
      <c r="H8" s="19" t="s">
        <v>35</v>
      </c>
      <c r="I8" s="24" t="s">
        <v>36</v>
      </c>
      <c r="J8" s="22"/>
      <c r="K8" s="22" t="s">
        <v>14</v>
      </c>
      <c r="L8" s="46" t="s">
        <v>15</v>
      </c>
    </row>
    <row r="9" spans="1:13" ht="15.6">
      <c r="A9" s="10">
        <f t="shared" si="0"/>
        <v>8</v>
      </c>
      <c r="B9" s="16"/>
      <c r="C9" s="304" t="s">
        <v>172</v>
      </c>
      <c r="D9" s="17" t="s">
        <v>37</v>
      </c>
      <c r="F9" s="18" t="s">
        <v>17</v>
      </c>
      <c r="G9" s="19"/>
      <c r="H9" s="23" t="s">
        <v>38</v>
      </c>
      <c r="I9" s="37" t="s">
        <v>39</v>
      </c>
      <c r="J9" s="22"/>
      <c r="K9" s="22" t="s">
        <v>14</v>
      </c>
      <c r="L9" s="16"/>
    </row>
    <row r="10" spans="1:13" ht="43.2">
      <c r="A10" s="10">
        <f t="shared" si="0"/>
        <v>9</v>
      </c>
      <c r="B10" s="16"/>
      <c r="C10" s="304" t="s">
        <v>450</v>
      </c>
      <c r="D10" s="17" t="s">
        <v>42</v>
      </c>
      <c r="E10">
        <v>2</v>
      </c>
      <c r="F10" s="18" t="s">
        <v>11</v>
      </c>
      <c r="G10" s="19"/>
      <c r="H10" s="19" t="s">
        <v>43</v>
      </c>
      <c r="I10" s="24" t="s">
        <v>44</v>
      </c>
      <c r="J10" s="22"/>
      <c r="K10" s="22" t="s">
        <v>14</v>
      </c>
      <c r="L10" s="43" t="s">
        <v>23</v>
      </c>
      <c r="M10">
        <v>2</v>
      </c>
    </row>
    <row r="11" spans="1:13" ht="43.2">
      <c r="A11" s="10">
        <f t="shared" si="0"/>
        <v>10</v>
      </c>
      <c r="B11" s="16" t="s">
        <v>45</v>
      </c>
      <c r="C11" s="304" t="s">
        <v>636</v>
      </c>
      <c r="D11" s="17" t="s">
        <v>46</v>
      </c>
      <c r="F11" s="18" t="s">
        <v>11</v>
      </c>
      <c r="G11" s="19"/>
      <c r="H11" s="23" t="s">
        <v>47</v>
      </c>
      <c r="I11" s="37" t="s">
        <v>48</v>
      </c>
      <c r="J11" s="22"/>
      <c r="K11" s="22" t="s">
        <v>14</v>
      </c>
      <c r="L11" s="43" t="s">
        <v>49</v>
      </c>
    </row>
    <row r="12" spans="1:13">
      <c r="A12" s="10">
        <f t="shared" si="0"/>
        <v>11</v>
      </c>
      <c r="B12" s="16"/>
      <c r="C12" s="304" t="s">
        <v>636</v>
      </c>
      <c r="D12" s="17" t="s">
        <v>50</v>
      </c>
      <c r="F12" s="18" t="s">
        <v>11</v>
      </c>
      <c r="G12" s="19"/>
      <c r="H12" s="19" t="s">
        <v>51</v>
      </c>
      <c r="I12" s="26" t="s">
        <v>52</v>
      </c>
      <c r="J12" s="22"/>
      <c r="K12" s="22" t="s">
        <v>14</v>
      </c>
      <c r="L12" s="49"/>
    </row>
    <row r="13" spans="1:13" ht="28.8">
      <c r="A13" s="10">
        <f t="shared" si="0"/>
        <v>12</v>
      </c>
      <c r="B13" s="16"/>
      <c r="C13" s="304" t="s">
        <v>636</v>
      </c>
      <c r="D13" s="17" t="s">
        <v>53</v>
      </c>
      <c r="F13" s="18" t="s">
        <v>11</v>
      </c>
      <c r="G13" s="19"/>
      <c r="H13" s="23" t="s">
        <v>54</v>
      </c>
      <c r="I13" s="37" t="s">
        <v>55</v>
      </c>
      <c r="J13" s="22"/>
      <c r="K13" s="22" t="s">
        <v>14</v>
      </c>
      <c r="L13" s="49" t="s">
        <v>56</v>
      </c>
    </row>
    <row r="14" spans="1:13" ht="27.6">
      <c r="A14" s="10">
        <f t="shared" si="0"/>
        <v>13</v>
      </c>
      <c r="B14" s="16"/>
      <c r="C14" s="304" t="s">
        <v>636</v>
      </c>
      <c r="D14" s="17" t="s">
        <v>57</v>
      </c>
      <c r="F14" s="18" t="s">
        <v>17</v>
      </c>
      <c r="G14" s="19"/>
      <c r="H14" s="19" t="s">
        <v>58</v>
      </c>
      <c r="I14" s="24" t="s">
        <v>59</v>
      </c>
      <c r="J14" s="22"/>
      <c r="K14" s="22" t="s">
        <v>14</v>
      </c>
      <c r="L14" s="46" t="s">
        <v>15</v>
      </c>
    </row>
    <row r="15" spans="1:13" ht="31.2">
      <c r="A15" s="10">
        <f t="shared" si="0"/>
        <v>14</v>
      </c>
      <c r="B15" s="16"/>
      <c r="C15" s="304" t="s">
        <v>172</v>
      </c>
      <c r="D15" s="17" t="s">
        <v>60</v>
      </c>
      <c r="F15" s="18" t="s">
        <v>11</v>
      </c>
      <c r="G15" s="19"/>
      <c r="H15" s="27" t="s">
        <v>61</v>
      </c>
      <c r="I15" s="28" t="s">
        <v>62</v>
      </c>
      <c r="J15" s="22"/>
      <c r="K15" s="22" t="s">
        <v>14</v>
      </c>
      <c r="L15" s="46" t="s">
        <v>15</v>
      </c>
    </row>
    <row r="16" spans="1:13" ht="62.4">
      <c r="A16" s="10">
        <f t="shared" si="0"/>
        <v>15</v>
      </c>
      <c r="B16" s="16"/>
      <c r="C16" s="305" t="s">
        <v>172</v>
      </c>
      <c r="D16" s="17" t="s">
        <v>63</v>
      </c>
      <c r="F16" s="18" t="s">
        <v>11</v>
      </c>
      <c r="G16" s="19" t="s">
        <v>64</v>
      </c>
      <c r="H16" s="27" t="s">
        <v>65</v>
      </c>
      <c r="I16" s="28" t="s">
        <v>66</v>
      </c>
      <c r="J16" s="22"/>
      <c r="K16" s="22" t="s">
        <v>14</v>
      </c>
      <c r="L16" s="46" t="s">
        <v>15</v>
      </c>
    </row>
    <row r="17" spans="1:13" ht="57.6">
      <c r="A17" s="10">
        <f t="shared" si="0"/>
        <v>16</v>
      </c>
      <c r="B17" s="16"/>
      <c r="C17" s="16"/>
      <c r="D17" s="17" t="s">
        <v>67</v>
      </c>
      <c r="F17" s="18" t="s">
        <v>11</v>
      </c>
      <c r="G17" s="19"/>
      <c r="H17" s="19" t="s">
        <v>68</v>
      </c>
      <c r="I17" s="24" t="s">
        <v>69</v>
      </c>
      <c r="J17" s="22"/>
      <c r="K17" s="22" t="s">
        <v>14</v>
      </c>
      <c r="L17" s="46" t="s">
        <v>70</v>
      </c>
    </row>
    <row r="18" spans="1:13" ht="86.4">
      <c r="A18" s="10">
        <f t="shared" si="0"/>
        <v>17</v>
      </c>
      <c r="B18" s="16"/>
      <c r="C18" s="304" t="s">
        <v>172</v>
      </c>
      <c r="D18" s="17" t="s">
        <v>71</v>
      </c>
      <c r="F18" s="18" t="s">
        <v>11</v>
      </c>
      <c r="G18" s="19"/>
      <c r="H18" s="19" t="s">
        <v>72</v>
      </c>
      <c r="I18" s="29" t="s">
        <v>73</v>
      </c>
      <c r="J18" s="22"/>
      <c r="K18" s="22" t="s">
        <v>14</v>
      </c>
      <c r="L18" s="43" t="s">
        <v>74</v>
      </c>
    </row>
    <row r="19" spans="1:13">
      <c r="A19" s="10"/>
      <c r="B19" s="16"/>
      <c r="C19" s="304" t="s">
        <v>781</v>
      </c>
      <c r="D19" s="287" t="s">
        <v>782</v>
      </c>
      <c r="E19">
        <v>2</v>
      </c>
      <c r="F19" s="287"/>
      <c r="G19" s="98"/>
      <c r="H19" s="288" t="s">
        <v>783</v>
      </c>
      <c r="I19" s="32" t="s">
        <v>1686</v>
      </c>
      <c r="K19" s="290" t="s">
        <v>14</v>
      </c>
      <c r="L19" s="43"/>
      <c r="M19">
        <v>2</v>
      </c>
    </row>
    <row r="20" spans="1:13" ht="57.6">
      <c r="A20" s="10">
        <f t="shared" si="0"/>
        <v>19</v>
      </c>
      <c r="B20" s="16" t="s">
        <v>80</v>
      </c>
      <c r="C20" s="304" t="s">
        <v>450</v>
      </c>
      <c r="D20" s="17" t="s">
        <v>81</v>
      </c>
      <c r="E20">
        <v>2</v>
      </c>
      <c r="F20" s="18" t="s">
        <v>11</v>
      </c>
      <c r="G20" s="30"/>
      <c r="H20" s="23" t="s">
        <v>82</v>
      </c>
      <c r="I20" s="37" t="s">
        <v>83</v>
      </c>
      <c r="J20" s="22"/>
      <c r="K20" s="22" t="s">
        <v>14</v>
      </c>
      <c r="L20" s="43" t="s">
        <v>84</v>
      </c>
      <c r="M20">
        <v>2</v>
      </c>
    </row>
    <row r="21" spans="1:13" ht="27.6">
      <c r="A21" s="10">
        <f t="shared" si="0"/>
        <v>20</v>
      </c>
      <c r="B21" s="16" t="s">
        <v>85</v>
      </c>
      <c r="C21" s="304" t="s">
        <v>614</v>
      </c>
      <c r="D21" s="17" t="s">
        <v>86</v>
      </c>
      <c r="E21">
        <v>2</v>
      </c>
      <c r="F21" s="18" t="s">
        <v>11</v>
      </c>
      <c r="G21" s="19"/>
      <c r="H21" s="23" t="s">
        <v>87</v>
      </c>
      <c r="I21" s="37" t="s">
        <v>88</v>
      </c>
      <c r="J21" s="22"/>
      <c r="K21" s="22" t="s">
        <v>14</v>
      </c>
      <c r="L21" s="16"/>
      <c r="M21">
        <v>2</v>
      </c>
    </row>
    <row r="22" spans="1:13" ht="41.4">
      <c r="A22" s="10">
        <f t="shared" si="0"/>
        <v>21</v>
      </c>
      <c r="B22" s="16"/>
      <c r="C22" s="304" t="s">
        <v>872</v>
      </c>
      <c r="D22" s="17" t="s">
        <v>89</v>
      </c>
      <c r="E22">
        <v>2</v>
      </c>
      <c r="F22" s="18" t="s">
        <v>17</v>
      </c>
      <c r="G22" s="19"/>
      <c r="H22" s="19" t="s">
        <v>90</v>
      </c>
      <c r="I22" s="29" t="s">
        <v>91</v>
      </c>
      <c r="J22" s="22"/>
      <c r="K22" s="22" t="s">
        <v>14</v>
      </c>
      <c r="L22" s="43"/>
      <c r="M22">
        <v>2</v>
      </c>
    </row>
    <row r="23" spans="1:13" ht="55.2">
      <c r="A23" s="10">
        <f t="shared" si="0"/>
        <v>22</v>
      </c>
      <c r="B23" s="31" t="s">
        <v>92</v>
      </c>
      <c r="C23" s="304" t="s">
        <v>781</v>
      </c>
      <c r="D23" s="17" t="s">
        <v>93</v>
      </c>
      <c r="E23">
        <v>1</v>
      </c>
      <c r="F23" s="18" t="s">
        <v>11</v>
      </c>
      <c r="G23" s="19"/>
      <c r="H23" s="19" t="s">
        <v>94</v>
      </c>
      <c r="I23" s="32" t="s">
        <v>95</v>
      </c>
      <c r="J23" s="22"/>
      <c r="K23" s="22" t="s">
        <v>14</v>
      </c>
      <c r="L23" s="50" t="s">
        <v>96</v>
      </c>
      <c r="M23">
        <v>1</v>
      </c>
    </row>
    <row r="24" spans="1:13" ht="41.4">
      <c r="A24" s="10">
        <f t="shared" si="0"/>
        <v>23</v>
      </c>
      <c r="B24" s="16"/>
      <c r="C24" s="304" t="s">
        <v>781</v>
      </c>
      <c r="D24" s="17" t="s">
        <v>97</v>
      </c>
      <c r="E24">
        <v>2</v>
      </c>
      <c r="F24" s="18" t="s">
        <v>11</v>
      </c>
      <c r="G24" s="19"/>
      <c r="H24" s="19" t="s">
        <v>98</v>
      </c>
      <c r="I24" s="32" t="s">
        <v>99</v>
      </c>
      <c r="J24" s="22"/>
      <c r="K24" s="22" t="s">
        <v>14</v>
      </c>
      <c r="L24" s="50" t="s">
        <v>96</v>
      </c>
      <c r="M24">
        <v>2</v>
      </c>
    </row>
    <row r="25" spans="1:13" ht="82.8">
      <c r="A25" s="10">
        <f t="shared" si="0"/>
        <v>24</v>
      </c>
      <c r="B25" s="31" t="s">
        <v>100</v>
      </c>
      <c r="C25" s="304" t="s">
        <v>450</v>
      </c>
      <c r="D25" s="17" t="s">
        <v>101</v>
      </c>
      <c r="E25">
        <v>4</v>
      </c>
      <c r="F25" s="18" t="s">
        <v>11</v>
      </c>
      <c r="G25" s="22" t="s">
        <v>102</v>
      </c>
      <c r="H25" s="19" t="s">
        <v>103</v>
      </c>
      <c r="I25" s="32" t="s">
        <v>104</v>
      </c>
      <c r="J25" s="22"/>
      <c r="K25" s="22" t="s">
        <v>14</v>
      </c>
      <c r="L25" s="43" t="s">
        <v>105</v>
      </c>
      <c r="M25">
        <v>4</v>
      </c>
    </row>
    <row r="26" spans="1:13" ht="41.4">
      <c r="A26" s="10">
        <f t="shared" si="0"/>
        <v>25</v>
      </c>
      <c r="B26" s="16"/>
      <c r="C26" s="304" t="s">
        <v>450</v>
      </c>
      <c r="D26" s="17" t="s">
        <v>106</v>
      </c>
      <c r="E26">
        <v>2</v>
      </c>
      <c r="F26" s="18" t="s">
        <v>17</v>
      </c>
      <c r="G26" s="19"/>
      <c r="H26" s="19" t="s">
        <v>107</v>
      </c>
      <c r="I26" s="32" t="s">
        <v>108</v>
      </c>
      <c r="J26" s="22"/>
      <c r="K26" s="22" t="s">
        <v>14</v>
      </c>
      <c r="L26" s="43"/>
      <c r="M26">
        <v>2</v>
      </c>
    </row>
    <row r="27" spans="1:13" ht="27.6">
      <c r="A27" s="10">
        <f t="shared" si="0"/>
        <v>26</v>
      </c>
      <c r="B27" s="16"/>
      <c r="C27" s="304" t="s">
        <v>781</v>
      </c>
      <c r="D27" s="17" t="s">
        <v>109</v>
      </c>
      <c r="E27">
        <v>3</v>
      </c>
      <c r="F27" s="18" t="s">
        <v>11</v>
      </c>
      <c r="G27" s="19"/>
      <c r="H27" s="19" t="s">
        <v>110</v>
      </c>
      <c r="I27" s="32" t="s">
        <v>111</v>
      </c>
      <c r="J27" s="22"/>
      <c r="K27" s="22" t="s">
        <v>14</v>
      </c>
      <c r="L27" s="50" t="s">
        <v>112</v>
      </c>
      <c r="M27">
        <v>3</v>
      </c>
    </row>
    <row r="28" spans="1:13" ht="28.8">
      <c r="A28" s="10">
        <f t="shared" si="0"/>
        <v>27</v>
      </c>
      <c r="B28" s="31" t="s">
        <v>113</v>
      </c>
      <c r="C28" s="304" t="s">
        <v>450</v>
      </c>
      <c r="D28" s="17" t="s">
        <v>114</v>
      </c>
      <c r="E28">
        <v>1</v>
      </c>
      <c r="F28" s="18" t="s">
        <v>11</v>
      </c>
      <c r="G28" s="19"/>
      <c r="H28" s="19" t="s">
        <v>115</v>
      </c>
      <c r="I28" s="32" t="s">
        <v>116</v>
      </c>
      <c r="J28" s="22"/>
      <c r="K28" s="22" t="s">
        <v>14</v>
      </c>
      <c r="L28" s="49" t="s">
        <v>117</v>
      </c>
      <c r="M28">
        <v>1</v>
      </c>
    </row>
    <row r="29" spans="1:13" ht="28.8">
      <c r="A29" s="10">
        <f t="shared" si="0"/>
        <v>28</v>
      </c>
      <c r="B29" s="16"/>
      <c r="C29" s="304" t="s">
        <v>450</v>
      </c>
      <c r="D29" s="17" t="s">
        <v>118</v>
      </c>
      <c r="E29">
        <v>1</v>
      </c>
      <c r="F29" s="18" t="s">
        <v>11</v>
      </c>
      <c r="G29" s="19"/>
      <c r="H29" s="19" t="s">
        <v>119</v>
      </c>
      <c r="I29" s="32" t="s">
        <v>120</v>
      </c>
      <c r="J29" s="22"/>
      <c r="K29" s="22" t="s">
        <v>14</v>
      </c>
      <c r="L29" s="49" t="s">
        <v>117</v>
      </c>
      <c r="M29">
        <v>1</v>
      </c>
    </row>
    <row r="30" spans="1:13">
      <c r="A30" s="10"/>
      <c r="B30" s="16"/>
      <c r="C30" s="304" t="s">
        <v>450</v>
      </c>
      <c r="D30" s="291" t="s">
        <v>992</v>
      </c>
      <c r="F30" s="292" t="s">
        <v>11</v>
      </c>
      <c r="G30" s="98"/>
      <c r="H30" s="288" t="s">
        <v>993</v>
      </c>
      <c r="I30" s="32" t="s">
        <v>1682</v>
      </c>
      <c r="J30" s="289" t="s">
        <v>41</v>
      </c>
      <c r="K30" s="290" t="s">
        <v>14</v>
      </c>
      <c r="L30" s="49"/>
    </row>
    <row r="31" spans="1:13" ht="27.6">
      <c r="A31" s="10">
        <f t="shared" si="0"/>
        <v>30</v>
      </c>
      <c r="B31" s="16"/>
      <c r="C31" s="304" t="s">
        <v>636</v>
      </c>
      <c r="D31" s="17" t="s">
        <v>121</v>
      </c>
      <c r="F31" s="18" t="s">
        <v>17</v>
      </c>
      <c r="G31" s="19"/>
      <c r="H31" s="19" t="s">
        <v>58</v>
      </c>
      <c r="I31" s="32" t="s">
        <v>1680</v>
      </c>
      <c r="J31" s="22"/>
      <c r="K31" s="22" t="s">
        <v>14</v>
      </c>
      <c r="L31" s="49" t="s">
        <v>122</v>
      </c>
    </row>
    <row r="32" spans="1:13" ht="27.6">
      <c r="A32" s="10">
        <f t="shared" si="0"/>
        <v>31</v>
      </c>
      <c r="B32" s="16"/>
      <c r="C32" s="304" t="s">
        <v>636</v>
      </c>
      <c r="D32" s="17" t="s">
        <v>123</v>
      </c>
      <c r="F32" s="18" t="s">
        <v>11</v>
      </c>
      <c r="G32" s="19"/>
      <c r="H32" s="19" t="s">
        <v>124</v>
      </c>
      <c r="I32" s="32" t="s">
        <v>1681</v>
      </c>
      <c r="J32" s="22"/>
      <c r="K32" s="22" t="s">
        <v>14</v>
      </c>
      <c r="L32" s="49" t="s">
        <v>122</v>
      </c>
    </row>
    <row r="33" spans="1:13" ht="27.6">
      <c r="A33" s="10">
        <f t="shared" si="0"/>
        <v>32</v>
      </c>
      <c r="B33" s="16"/>
      <c r="C33" s="304" t="s">
        <v>636</v>
      </c>
      <c r="D33" s="17" t="s">
        <v>125</v>
      </c>
      <c r="F33" s="18" t="s">
        <v>17</v>
      </c>
      <c r="G33" s="19"/>
      <c r="H33" s="19" t="s">
        <v>126</v>
      </c>
      <c r="I33" s="32" t="s">
        <v>127</v>
      </c>
      <c r="J33" s="22"/>
      <c r="K33" s="22" t="s">
        <v>14</v>
      </c>
      <c r="L33" s="49" t="s">
        <v>122</v>
      </c>
    </row>
    <row r="34" spans="1:13" ht="27.6">
      <c r="A34" s="10">
        <f t="shared" si="0"/>
        <v>33</v>
      </c>
      <c r="B34" s="16"/>
      <c r="C34" s="304" t="s">
        <v>636</v>
      </c>
      <c r="D34" s="17" t="s">
        <v>128</v>
      </c>
      <c r="F34" s="18" t="s">
        <v>17</v>
      </c>
      <c r="G34" s="19"/>
      <c r="H34" s="19" t="s">
        <v>129</v>
      </c>
      <c r="I34" s="32" t="s">
        <v>130</v>
      </c>
      <c r="J34" s="22"/>
      <c r="K34" s="22" t="s">
        <v>14</v>
      </c>
      <c r="L34" s="49" t="s">
        <v>122</v>
      </c>
    </row>
    <row r="35" spans="1:13" ht="27.6">
      <c r="A35" s="10">
        <f t="shared" si="0"/>
        <v>34</v>
      </c>
      <c r="B35" s="16"/>
      <c r="C35" s="304" t="s">
        <v>636</v>
      </c>
      <c r="D35" s="17" t="s">
        <v>131</v>
      </c>
      <c r="F35" s="18" t="s">
        <v>11</v>
      </c>
      <c r="G35" s="19"/>
      <c r="H35" s="39" t="s">
        <v>132</v>
      </c>
      <c r="I35" s="32" t="s">
        <v>133</v>
      </c>
      <c r="J35" s="22"/>
      <c r="K35" s="22" t="s">
        <v>14</v>
      </c>
      <c r="L35" s="49"/>
    </row>
    <row r="36" spans="1:13">
      <c r="A36" s="10"/>
      <c r="B36" s="16"/>
      <c r="C36" s="304" t="s">
        <v>636</v>
      </c>
      <c r="D36" s="291" t="s">
        <v>1010</v>
      </c>
      <c r="F36" s="292" t="s">
        <v>11</v>
      </c>
      <c r="G36" s="98"/>
      <c r="H36" s="288" t="s">
        <v>1011</v>
      </c>
      <c r="I36" s="32"/>
      <c r="J36" s="289" t="s">
        <v>41</v>
      </c>
      <c r="K36" s="290" t="s">
        <v>14</v>
      </c>
      <c r="L36" s="49"/>
    </row>
    <row r="37" spans="1:13" ht="28.8">
      <c r="A37" s="10"/>
      <c r="B37" s="16"/>
      <c r="C37" s="304" t="s">
        <v>636</v>
      </c>
      <c r="D37" s="291" t="s">
        <v>131</v>
      </c>
      <c r="F37" s="292" t="s">
        <v>17</v>
      </c>
      <c r="G37" s="98"/>
      <c r="H37" s="288" t="s">
        <v>132</v>
      </c>
      <c r="I37" s="32"/>
      <c r="K37" s="290" t="s">
        <v>14</v>
      </c>
      <c r="L37" s="49"/>
    </row>
    <row r="38" spans="1:13" ht="27.6">
      <c r="A38" s="10">
        <f t="shared" si="0"/>
        <v>37</v>
      </c>
      <c r="B38" s="16"/>
      <c r="C38" s="304" t="s">
        <v>636</v>
      </c>
      <c r="D38" s="17" t="s">
        <v>134</v>
      </c>
      <c r="F38" s="18" t="s">
        <v>17</v>
      </c>
      <c r="G38" s="19"/>
      <c r="H38" s="19" t="s">
        <v>135</v>
      </c>
      <c r="I38" s="32" t="s">
        <v>136</v>
      </c>
      <c r="J38" s="22"/>
      <c r="K38" s="22" t="s">
        <v>14</v>
      </c>
      <c r="L38" s="49" t="s">
        <v>122</v>
      </c>
    </row>
    <row r="39" spans="1:13">
      <c r="A39" s="10"/>
      <c r="B39" s="16"/>
      <c r="C39" s="304" t="s">
        <v>636</v>
      </c>
      <c r="D39" s="291" t="s">
        <v>1021</v>
      </c>
      <c r="F39" s="292" t="s">
        <v>17</v>
      </c>
      <c r="G39" s="98"/>
      <c r="H39" s="288" t="s">
        <v>1022</v>
      </c>
      <c r="I39" s="32"/>
      <c r="J39" s="289" t="s">
        <v>41</v>
      </c>
      <c r="K39" s="290" t="s">
        <v>14</v>
      </c>
      <c r="L39" s="49"/>
    </row>
    <row r="40" spans="1:13" ht="27.6">
      <c r="A40" s="10">
        <f t="shared" si="0"/>
        <v>39</v>
      </c>
      <c r="B40" s="16"/>
      <c r="C40" s="304" t="s">
        <v>636</v>
      </c>
      <c r="D40" s="17" t="s">
        <v>138</v>
      </c>
      <c r="F40" s="18" t="s">
        <v>17</v>
      </c>
      <c r="G40" s="19"/>
      <c r="H40" s="19" t="s">
        <v>139</v>
      </c>
      <c r="I40" s="32" t="s">
        <v>140</v>
      </c>
      <c r="J40" s="22"/>
      <c r="K40" s="22" t="s">
        <v>14</v>
      </c>
      <c r="L40" s="49" t="s">
        <v>122</v>
      </c>
    </row>
    <row r="41" spans="1:13" ht="41.4">
      <c r="A41" s="10">
        <f t="shared" si="0"/>
        <v>40</v>
      </c>
      <c r="B41" s="16"/>
      <c r="C41" s="304" t="s">
        <v>172</v>
      </c>
      <c r="D41" s="17" t="s">
        <v>141</v>
      </c>
      <c r="F41" s="18" t="s">
        <v>17</v>
      </c>
      <c r="G41" s="19"/>
      <c r="H41" s="19" t="s">
        <v>142</v>
      </c>
      <c r="I41" s="32" t="s">
        <v>143</v>
      </c>
      <c r="J41" s="22"/>
      <c r="K41" s="22" t="s">
        <v>14</v>
      </c>
      <c r="L41" s="46" t="s">
        <v>15</v>
      </c>
    </row>
    <row r="42" spans="1:13" ht="27.6">
      <c r="A42" s="10">
        <f t="shared" si="0"/>
        <v>41</v>
      </c>
      <c r="B42" s="16"/>
      <c r="C42" s="304" t="s">
        <v>636</v>
      </c>
      <c r="D42" s="17" t="s">
        <v>144</v>
      </c>
      <c r="F42" s="18" t="s">
        <v>17</v>
      </c>
      <c r="G42" s="19"/>
      <c r="H42" s="19" t="s">
        <v>145</v>
      </c>
      <c r="I42" s="32" t="s">
        <v>146</v>
      </c>
      <c r="J42" s="22"/>
      <c r="K42" s="22" t="s">
        <v>14</v>
      </c>
      <c r="L42" s="49" t="s">
        <v>122</v>
      </c>
    </row>
    <row r="43" spans="1:13" ht="27.6">
      <c r="A43" s="10">
        <f t="shared" si="0"/>
        <v>42</v>
      </c>
      <c r="B43" s="16"/>
      <c r="C43" s="304" t="s">
        <v>636</v>
      </c>
      <c r="D43" s="17" t="s">
        <v>147</v>
      </c>
      <c r="F43" s="18" t="s">
        <v>17</v>
      </c>
      <c r="G43" s="19"/>
      <c r="H43" s="19" t="s">
        <v>148</v>
      </c>
      <c r="I43" s="32" t="s">
        <v>149</v>
      </c>
      <c r="J43" s="22"/>
      <c r="K43" s="22" t="s">
        <v>14</v>
      </c>
      <c r="L43" s="16"/>
    </row>
    <row r="44" spans="1:13" ht="41.4">
      <c r="A44" s="10">
        <f t="shared" si="0"/>
        <v>43</v>
      </c>
      <c r="B44" s="16"/>
      <c r="C44" s="304" t="s">
        <v>636</v>
      </c>
      <c r="D44" s="17" t="s">
        <v>150</v>
      </c>
      <c r="E44">
        <v>6</v>
      </c>
      <c r="F44" s="18" t="s">
        <v>11</v>
      </c>
      <c r="G44" s="19"/>
      <c r="H44" s="19" t="s">
        <v>151</v>
      </c>
      <c r="I44" s="32" t="s">
        <v>152</v>
      </c>
      <c r="J44" s="22"/>
      <c r="K44" s="22" t="s">
        <v>14</v>
      </c>
      <c r="L44" s="49" t="s">
        <v>153</v>
      </c>
      <c r="M44">
        <v>6</v>
      </c>
    </row>
    <row r="45" spans="1:13">
      <c r="A45" s="10">
        <f t="shared" si="0"/>
        <v>44</v>
      </c>
      <c r="B45" s="16"/>
      <c r="C45" s="304" t="s">
        <v>636</v>
      </c>
      <c r="D45" s="17" t="s">
        <v>154</v>
      </c>
      <c r="F45" s="18" t="s">
        <v>17</v>
      </c>
      <c r="G45" s="19"/>
      <c r="H45" s="19" t="s">
        <v>155</v>
      </c>
      <c r="I45" s="32" t="s">
        <v>156</v>
      </c>
      <c r="J45" s="22"/>
      <c r="K45" s="22" t="s">
        <v>14</v>
      </c>
      <c r="L45" s="49" t="s">
        <v>122</v>
      </c>
    </row>
    <row r="46" spans="1:13" ht="28.8">
      <c r="A46" s="10">
        <f t="shared" si="0"/>
        <v>45</v>
      </c>
      <c r="B46" s="16"/>
      <c r="C46" s="304" t="s">
        <v>172</v>
      </c>
      <c r="D46" s="17" t="s">
        <v>157</v>
      </c>
      <c r="F46" s="18" t="s">
        <v>17</v>
      </c>
      <c r="G46" s="19"/>
      <c r="H46" s="19" t="s">
        <v>158</v>
      </c>
      <c r="I46" s="32" t="s">
        <v>159</v>
      </c>
      <c r="J46" s="22"/>
      <c r="K46" s="22" t="s">
        <v>14</v>
      </c>
      <c r="L46" s="46" t="s">
        <v>160</v>
      </c>
    </row>
    <row r="47" spans="1:13" ht="55.2">
      <c r="A47" s="10">
        <f t="shared" si="0"/>
        <v>46</v>
      </c>
      <c r="B47" s="16"/>
      <c r="C47" s="304" t="s">
        <v>781</v>
      </c>
      <c r="D47" s="17" t="s">
        <v>161</v>
      </c>
      <c r="F47" s="18" t="s">
        <v>11</v>
      </c>
      <c r="G47" s="19"/>
      <c r="H47" s="19" t="s">
        <v>162</v>
      </c>
      <c r="I47" s="32" t="s">
        <v>163</v>
      </c>
      <c r="J47" s="22"/>
      <c r="K47" s="22" t="s">
        <v>14</v>
      </c>
      <c r="L47" s="42" t="s">
        <v>164</v>
      </c>
    </row>
    <row r="48" spans="1:13" ht="27.6">
      <c r="A48" s="10">
        <f t="shared" si="0"/>
        <v>47</v>
      </c>
      <c r="B48" s="16"/>
      <c r="C48" s="304" t="s">
        <v>172</v>
      </c>
      <c r="D48" s="17" t="s">
        <v>165</v>
      </c>
      <c r="F48" s="18" t="s">
        <v>17</v>
      </c>
      <c r="G48" s="19"/>
      <c r="H48" s="23" t="s">
        <v>166</v>
      </c>
      <c r="I48" s="32" t="s">
        <v>167</v>
      </c>
      <c r="J48" s="22"/>
      <c r="K48" s="22" t="s">
        <v>14</v>
      </c>
      <c r="L48" s="16"/>
    </row>
    <row r="49" spans="1:13" ht="55.2">
      <c r="A49" s="10">
        <f t="shared" si="0"/>
        <v>48</v>
      </c>
      <c r="B49" s="31" t="s">
        <v>168</v>
      </c>
      <c r="C49" s="304" t="s">
        <v>692</v>
      </c>
      <c r="D49" s="17" t="s">
        <v>169</v>
      </c>
      <c r="F49" s="18" t="s">
        <v>11</v>
      </c>
      <c r="G49" s="19"/>
      <c r="H49" s="19" t="s">
        <v>170</v>
      </c>
      <c r="I49" s="32" t="s">
        <v>171</v>
      </c>
      <c r="J49" s="22"/>
      <c r="K49" s="22" t="s">
        <v>172</v>
      </c>
      <c r="L49" s="42" t="s">
        <v>77</v>
      </c>
    </row>
    <row r="50" spans="1:13">
      <c r="A50" s="10">
        <f t="shared" si="0"/>
        <v>49</v>
      </c>
      <c r="B50" s="16"/>
      <c r="C50" s="304" t="s">
        <v>692</v>
      </c>
      <c r="D50" s="17" t="s">
        <v>173</v>
      </c>
      <c r="F50" s="18" t="s">
        <v>11</v>
      </c>
      <c r="G50" s="19"/>
      <c r="H50" s="19" t="s">
        <v>174</v>
      </c>
      <c r="I50" s="32" t="s">
        <v>175</v>
      </c>
      <c r="J50" s="22"/>
      <c r="K50" s="22" t="s">
        <v>172</v>
      </c>
      <c r="L50" s="42" t="s">
        <v>77</v>
      </c>
    </row>
    <row r="51" spans="1:13" ht="27.6">
      <c r="A51" s="10">
        <f t="shared" si="0"/>
        <v>50</v>
      </c>
      <c r="B51" s="31" t="s">
        <v>176</v>
      </c>
      <c r="C51" s="304" t="s">
        <v>781</v>
      </c>
      <c r="D51" s="17" t="s">
        <v>177</v>
      </c>
      <c r="E51">
        <v>2</v>
      </c>
      <c r="F51" s="17" t="s">
        <v>17</v>
      </c>
      <c r="G51" s="33"/>
      <c r="H51" s="34" t="s">
        <v>178</v>
      </c>
      <c r="I51" s="32" t="s">
        <v>179</v>
      </c>
      <c r="J51" s="22"/>
      <c r="K51" s="22" t="s">
        <v>14</v>
      </c>
      <c r="L51" s="50" t="s">
        <v>180</v>
      </c>
      <c r="M51">
        <v>2</v>
      </c>
    </row>
    <row r="52" spans="1:13" ht="28.8">
      <c r="A52" s="10"/>
      <c r="B52" s="31"/>
      <c r="C52" s="304" t="s">
        <v>450</v>
      </c>
      <c r="D52" s="291" t="s">
        <v>1135</v>
      </c>
      <c r="E52">
        <v>2</v>
      </c>
      <c r="F52" s="292" t="s">
        <v>11</v>
      </c>
      <c r="G52" s="293"/>
      <c r="H52" s="294" t="s">
        <v>1136</v>
      </c>
      <c r="I52" s="32" t="s">
        <v>1680</v>
      </c>
      <c r="K52" s="290" t="s">
        <v>14</v>
      </c>
      <c r="L52" s="50"/>
      <c r="M52">
        <v>2</v>
      </c>
    </row>
    <row r="53" spans="1:13" ht="28.8">
      <c r="A53" s="10"/>
      <c r="B53" s="31"/>
      <c r="C53" s="304" t="s">
        <v>781</v>
      </c>
      <c r="D53" s="291" t="s">
        <v>1139</v>
      </c>
      <c r="F53" s="292" t="s">
        <v>11</v>
      </c>
      <c r="G53" s="293"/>
      <c r="H53" s="294" t="s">
        <v>1140</v>
      </c>
      <c r="I53" s="32" t="s">
        <v>1683</v>
      </c>
      <c r="K53" s="290" t="s">
        <v>14</v>
      </c>
      <c r="L53" s="50"/>
    </row>
    <row r="54" spans="1:13" ht="41.4">
      <c r="A54" s="10">
        <f t="shared" si="0"/>
        <v>53</v>
      </c>
      <c r="B54" s="16"/>
      <c r="C54" s="304" t="s">
        <v>781</v>
      </c>
      <c r="D54" s="17" t="s">
        <v>181</v>
      </c>
      <c r="E54">
        <v>3</v>
      </c>
      <c r="F54" s="17" t="s">
        <v>17</v>
      </c>
      <c r="G54" s="19"/>
      <c r="H54" s="20" t="s">
        <v>182</v>
      </c>
      <c r="I54" s="32" t="s">
        <v>183</v>
      </c>
      <c r="J54" s="22"/>
      <c r="K54" s="22" t="s">
        <v>14</v>
      </c>
      <c r="L54" s="50" t="s">
        <v>180</v>
      </c>
      <c r="M54">
        <v>3</v>
      </c>
    </row>
    <row r="55" spans="1:13" ht="69">
      <c r="A55" s="10">
        <f t="shared" si="0"/>
        <v>54</v>
      </c>
      <c r="B55" s="31" t="s">
        <v>184</v>
      </c>
      <c r="C55" s="304" t="s">
        <v>172</v>
      </c>
      <c r="D55" s="17" t="s">
        <v>185</v>
      </c>
      <c r="E55">
        <v>5</v>
      </c>
      <c r="F55" s="17" t="s">
        <v>11</v>
      </c>
      <c r="G55" s="19"/>
      <c r="H55" s="19" t="s">
        <v>186</v>
      </c>
      <c r="I55" s="32" t="s">
        <v>187</v>
      </c>
      <c r="J55" s="22"/>
      <c r="K55" s="22" t="s">
        <v>172</v>
      </c>
      <c r="L55" s="46" t="s">
        <v>188</v>
      </c>
      <c r="M55">
        <v>5</v>
      </c>
    </row>
    <row r="56" spans="1:13" ht="27.6">
      <c r="A56" s="10">
        <f t="shared" si="0"/>
        <v>55</v>
      </c>
      <c r="B56" s="16"/>
      <c r="C56" s="304" t="s">
        <v>172</v>
      </c>
      <c r="D56" s="17" t="s">
        <v>189</v>
      </c>
      <c r="E56">
        <v>5</v>
      </c>
      <c r="F56" s="17" t="s">
        <v>11</v>
      </c>
      <c r="G56" s="35" t="s">
        <v>102</v>
      </c>
      <c r="H56" s="36" t="s">
        <v>190</v>
      </c>
      <c r="I56" s="32" t="s">
        <v>191</v>
      </c>
      <c r="J56" s="22"/>
      <c r="K56" s="22" t="s">
        <v>172</v>
      </c>
      <c r="L56" s="46" t="s">
        <v>192</v>
      </c>
      <c r="M56">
        <v>5</v>
      </c>
    </row>
    <row r="57" spans="1:13" ht="27.6">
      <c r="A57" s="10">
        <f t="shared" si="0"/>
        <v>56</v>
      </c>
      <c r="B57" s="16"/>
      <c r="C57" s="304" t="s">
        <v>172</v>
      </c>
      <c r="D57" s="17" t="s">
        <v>193</v>
      </c>
      <c r="E57">
        <v>5</v>
      </c>
      <c r="F57" s="17" t="s">
        <v>11</v>
      </c>
      <c r="G57" s="35"/>
      <c r="H57" s="36" t="s">
        <v>194</v>
      </c>
      <c r="I57" s="32" t="s">
        <v>195</v>
      </c>
      <c r="J57" s="22"/>
      <c r="K57" s="22" t="s">
        <v>172</v>
      </c>
      <c r="L57" s="46" t="s">
        <v>192</v>
      </c>
      <c r="M57">
        <v>5</v>
      </c>
    </row>
    <row r="58" spans="1:13" ht="27.6">
      <c r="A58" s="10">
        <f t="shared" si="0"/>
        <v>57</v>
      </c>
      <c r="B58" s="16"/>
      <c r="C58" s="304" t="s">
        <v>172</v>
      </c>
      <c r="D58" s="17" t="s">
        <v>196</v>
      </c>
      <c r="E58">
        <v>5</v>
      </c>
      <c r="F58" s="17" t="s">
        <v>11</v>
      </c>
      <c r="G58" s="35"/>
      <c r="H58" s="36" t="s">
        <v>197</v>
      </c>
      <c r="I58" s="32" t="s">
        <v>198</v>
      </c>
      <c r="J58" s="22"/>
      <c r="K58" s="22" t="s">
        <v>172</v>
      </c>
      <c r="L58" s="46" t="s">
        <v>192</v>
      </c>
      <c r="M58">
        <v>5</v>
      </c>
    </row>
    <row r="59" spans="1:13" ht="27.6">
      <c r="A59" s="10"/>
      <c r="B59" s="16"/>
      <c r="C59" s="304" t="s">
        <v>172</v>
      </c>
      <c r="D59" s="17" t="s">
        <v>199</v>
      </c>
      <c r="E59">
        <v>5</v>
      </c>
      <c r="F59" s="17"/>
      <c r="G59" s="35"/>
      <c r="H59" s="36" t="s">
        <v>200</v>
      </c>
      <c r="I59" s="32"/>
      <c r="J59" s="22"/>
      <c r="K59" s="22"/>
      <c r="L59" s="46"/>
      <c r="M59">
        <v>5</v>
      </c>
    </row>
    <row r="60" spans="1:13" ht="27.6">
      <c r="A60" s="10">
        <f t="shared" si="0"/>
        <v>59</v>
      </c>
      <c r="B60" s="16"/>
      <c r="C60" s="304" t="s">
        <v>172</v>
      </c>
      <c r="D60" s="17" t="s">
        <v>201</v>
      </c>
      <c r="E60">
        <v>5</v>
      </c>
      <c r="F60" s="17" t="s">
        <v>11</v>
      </c>
      <c r="G60" s="35"/>
      <c r="H60" s="36" t="s">
        <v>202</v>
      </c>
      <c r="I60" s="32" t="s">
        <v>203</v>
      </c>
      <c r="J60" s="22"/>
      <c r="K60" s="22" t="s">
        <v>172</v>
      </c>
      <c r="L60" s="46" t="s">
        <v>192</v>
      </c>
      <c r="M60">
        <v>5</v>
      </c>
    </row>
    <row r="61" spans="1:13" ht="27.6">
      <c r="A61" s="10">
        <f t="shared" si="0"/>
        <v>60</v>
      </c>
      <c r="B61" s="16"/>
      <c r="C61" s="304" t="s">
        <v>172</v>
      </c>
      <c r="D61" s="17" t="s">
        <v>204</v>
      </c>
      <c r="E61">
        <v>5</v>
      </c>
      <c r="F61" s="17" t="s">
        <v>11</v>
      </c>
      <c r="G61" s="19"/>
      <c r="H61" s="19" t="s">
        <v>205</v>
      </c>
      <c r="I61" s="32" t="s">
        <v>206</v>
      </c>
      <c r="J61" s="22"/>
      <c r="K61" s="22" t="s">
        <v>172</v>
      </c>
      <c r="L61" s="46" t="s">
        <v>207</v>
      </c>
      <c r="M61">
        <v>5</v>
      </c>
    </row>
    <row r="62" spans="1:13" ht="27.6">
      <c r="A62" s="10">
        <f t="shared" si="0"/>
        <v>61</v>
      </c>
      <c r="B62" s="16"/>
      <c r="C62" s="304" t="s">
        <v>172</v>
      </c>
      <c r="D62" s="17" t="s">
        <v>208</v>
      </c>
      <c r="E62">
        <v>5</v>
      </c>
      <c r="F62" s="17" t="s">
        <v>11</v>
      </c>
      <c r="G62" s="35" t="s">
        <v>102</v>
      </c>
      <c r="H62" s="35" t="s">
        <v>209</v>
      </c>
      <c r="I62" s="32" t="s">
        <v>210</v>
      </c>
      <c r="J62" s="22"/>
      <c r="K62" s="22" t="s">
        <v>172</v>
      </c>
      <c r="L62" s="46" t="s">
        <v>211</v>
      </c>
      <c r="M62">
        <v>5</v>
      </c>
    </row>
    <row r="63" spans="1:13" ht="27.6">
      <c r="A63" s="10">
        <f t="shared" si="0"/>
        <v>62</v>
      </c>
      <c r="B63" s="16"/>
      <c r="C63" s="304" t="s">
        <v>172</v>
      </c>
      <c r="D63" s="17" t="s">
        <v>212</v>
      </c>
      <c r="E63">
        <v>12</v>
      </c>
      <c r="F63" s="17" t="s">
        <v>11</v>
      </c>
      <c r="G63" s="19"/>
      <c r="H63" s="19" t="s">
        <v>213</v>
      </c>
      <c r="I63" s="32" t="s">
        <v>214</v>
      </c>
      <c r="J63" s="22"/>
      <c r="K63" s="22" t="s">
        <v>172</v>
      </c>
      <c r="L63" s="46"/>
      <c r="M63">
        <v>12</v>
      </c>
    </row>
    <row r="64" spans="1:13" ht="27.6">
      <c r="A64" s="10">
        <f t="shared" si="0"/>
        <v>63</v>
      </c>
      <c r="B64" s="16"/>
      <c r="C64" s="304" t="s">
        <v>172</v>
      </c>
      <c r="D64" s="17" t="s">
        <v>215</v>
      </c>
      <c r="E64">
        <v>6</v>
      </c>
      <c r="F64" s="17" t="s">
        <v>11</v>
      </c>
      <c r="G64" s="19"/>
      <c r="H64" s="19" t="s">
        <v>216</v>
      </c>
      <c r="I64" s="32" t="s">
        <v>217</v>
      </c>
      <c r="J64" s="22"/>
      <c r="K64" s="22" t="s">
        <v>172</v>
      </c>
      <c r="L64" s="46"/>
      <c r="M64">
        <v>6</v>
      </c>
    </row>
    <row r="65" spans="1:13" ht="27.6">
      <c r="A65" s="10">
        <f t="shared" si="0"/>
        <v>64</v>
      </c>
      <c r="B65" s="16"/>
      <c r="C65" s="304" t="s">
        <v>172</v>
      </c>
      <c r="D65" s="17" t="s">
        <v>218</v>
      </c>
      <c r="E65">
        <v>6</v>
      </c>
      <c r="F65" s="17" t="s">
        <v>11</v>
      </c>
      <c r="G65" s="19"/>
      <c r="H65" s="19" t="s">
        <v>219</v>
      </c>
      <c r="I65" s="32" t="s">
        <v>220</v>
      </c>
      <c r="J65" s="22"/>
      <c r="K65" s="22" t="s">
        <v>172</v>
      </c>
      <c r="L65" s="46"/>
      <c r="M65">
        <v>6</v>
      </c>
    </row>
    <row r="66" spans="1:13" ht="27.6">
      <c r="A66" s="10">
        <f t="shared" si="0"/>
        <v>65</v>
      </c>
      <c r="B66" s="16"/>
      <c r="C66" s="304" t="s">
        <v>172</v>
      </c>
      <c r="D66" s="17" t="s">
        <v>221</v>
      </c>
      <c r="E66">
        <v>6</v>
      </c>
      <c r="F66" s="17" t="s">
        <v>11</v>
      </c>
      <c r="G66" s="19"/>
      <c r="H66" s="19" t="s">
        <v>222</v>
      </c>
      <c r="I66" s="32" t="s">
        <v>223</v>
      </c>
      <c r="J66" s="22"/>
      <c r="K66" s="22" t="s">
        <v>172</v>
      </c>
      <c r="L66" s="46"/>
      <c r="M66">
        <v>6</v>
      </c>
    </row>
    <row r="67" spans="1:13" ht="27.6">
      <c r="A67" s="10">
        <f t="shared" si="0"/>
        <v>66</v>
      </c>
      <c r="B67" s="16"/>
      <c r="C67" s="304" t="s">
        <v>172</v>
      </c>
      <c r="D67" s="17" t="s">
        <v>224</v>
      </c>
      <c r="E67">
        <v>12</v>
      </c>
      <c r="F67" s="17" t="s">
        <v>11</v>
      </c>
      <c r="G67" s="19"/>
      <c r="H67" s="19" t="s">
        <v>225</v>
      </c>
      <c r="I67" s="32" t="s">
        <v>226</v>
      </c>
      <c r="J67" s="22"/>
      <c r="K67" s="22" t="s">
        <v>172</v>
      </c>
      <c r="L67" s="46"/>
      <c r="M67">
        <v>12</v>
      </c>
    </row>
    <row r="68" spans="1:13" ht="27.6">
      <c r="A68" s="10">
        <f t="shared" si="0"/>
        <v>67</v>
      </c>
      <c r="B68" s="16"/>
      <c r="C68" s="304" t="s">
        <v>172</v>
      </c>
      <c r="D68" s="17" t="s">
        <v>227</v>
      </c>
      <c r="E68">
        <v>6</v>
      </c>
      <c r="F68" s="17" t="s">
        <v>11</v>
      </c>
      <c r="G68" s="19"/>
      <c r="H68" s="19" t="s">
        <v>228</v>
      </c>
      <c r="I68" s="32" t="s">
        <v>229</v>
      </c>
      <c r="J68" s="22"/>
      <c r="K68" s="22" t="s">
        <v>172</v>
      </c>
      <c r="L68" s="46"/>
      <c r="M68">
        <v>6</v>
      </c>
    </row>
    <row r="69" spans="1:13">
      <c r="A69" s="10">
        <f t="shared" si="0"/>
        <v>68</v>
      </c>
      <c r="B69" s="16"/>
      <c r="C69" s="304" t="s">
        <v>172</v>
      </c>
      <c r="D69" s="17" t="s">
        <v>230</v>
      </c>
      <c r="F69" s="17" t="s">
        <v>11</v>
      </c>
      <c r="G69" s="19"/>
      <c r="H69" s="19" t="s">
        <v>231</v>
      </c>
      <c r="I69" s="32" t="s">
        <v>232</v>
      </c>
      <c r="J69" s="22"/>
      <c r="K69" s="22" t="s">
        <v>172</v>
      </c>
      <c r="L69" s="46"/>
    </row>
    <row r="70" spans="1:13">
      <c r="A70" s="10"/>
      <c r="B70" s="16"/>
      <c r="C70" s="304" t="s">
        <v>172</v>
      </c>
      <c r="D70" s="295" t="s">
        <v>1225</v>
      </c>
      <c r="F70" s="295"/>
      <c r="G70" s="202"/>
      <c r="H70" s="296" t="s">
        <v>231</v>
      </c>
      <c r="I70" s="32"/>
      <c r="K70" s="290" t="s">
        <v>172</v>
      </c>
      <c r="L70" s="46"/>
    </row>
    <row r="71" spans="1:13" ht="55.2">
      <c r="A71" s="10">
        <f t="shared" ref="A71:A104" si="1">ROW()-1</f>
        <v>70</v>
      </c>
      <c r="B71" s="31" t="s">
        <v>233</v>
      </c>
      <c r="C71" s="304" t="s">
        <v>781</v>
      </c>
      <c r="D71" s="17" t="s">
        <v>234</v>
      </c>
      <c r="E71">
        <v>2</v>
      </c>
      <c r="F71" s="17" t="s">
        <v>11</v>
      </c>
      <c r="G71" s="19"/>
      <c r="H71" s="19" t="s">
        <v>235</v>
      </c>
      <c r="I71" s="32" t="s">
        <v>236</v>
      </c>
      <c r="J71" s="22"/>
      <c r="K71" s="22" t="s">
        <v>14</v>
      </c>
      <c r="L71" s="50" t="s">
        <v>180</v>
      </c>
      <c r="M71">
        <v>2</v>
      </c>
    </row>
    <row r="72" spans="1:13" ht="27.6">
      <c r="A72" s="10">
        <f t="shared" si="1"/>
        <v>71</v>
      </c>
      <c r="B72" s="16"/>
      <c r="C72" s="304" t="s">
        <v>781</v>
      </c>
      <c r="D72" s="17" t="s">
        <v>237</v>
      </c>
      <c r="E72">
        <v>2</v>
      </c>
      <c r="F72" s="17" t="s">
        <v>11</v>
      </c>
      <c r="G72" s="19"/>
      <c r="H72" s="19" t="s">
        <v>238</v>
      </c>
      <c r="I72" s="32" t="s">
        <v>239</v>
      </c>
      <c r="J72" s="22"/>
      <c r="K72" s="22" t="s">
        <v>14</v>
      </c>
      <c r="L72" s="50" t="s">
        <v>180</v>
      </c>
      <c r="M72">
        <v>2</v>
      </c>
    </row>
    <row r="73" spans="1:13" ht="27.6">
      <c r="A73" s="10">
        <f t="shared" si="1"/>
        <v>72</v>
      </c>
      <c r="B73" s="16"/>
      <c r="C73" s="304" t="s">
        <v>781</v>
      </c>
      <c r="D73" s="17" t="s">
        <v>240</v>
      </c>
      <c r="E73">
        <v>1</v>
      </c>
      <c r="F73" s="17" t="s">
        <v>11</v>
      </c>
      <c r="G73" s="19"/>
      <c r="H73" s="19" t="s">
        <v>241</v>
      </c>
      <c r="I73" s="32" t="s">
        <v>242</v>
      </c>
      <c r="J73" s="22"/>
      <c r="K73" s="22" t="s">
        <v>14</v>
      </c>
      <c r="L73" s="50" t="s">
        <v>180</v>
      </c>
      <c r="M73">
        <v>1</v>
      </c>
    </row>
    <row r="74" spans="1:13" ht="27.6">
      <c r="A74" s="10">
        <f t="shared" si="1"/>
        <v>73</v>
      </c>
      <c r="B74" s="16"/>
      <c r="C74" s="304" t="s">
        <v>781</v>
      </c>
      <c r="D74" s="17" t="s">
        <v>243</v>
      </c>
      <c r="E74">
        <v>1</v>
      </c>
      <c r="F74" s="17" t="s">
        <v>11</v>
      </c>
      <c r="G74" s="19"/>
      <c r="H74" s="23" t="s">
        <v>244</v>
      </c>
      <c r="I74" s="32" t="s">
        <v>1685</v>
      </c>
      <c r="J74" s="22"/>
      <c r="K74" s="22" t="s">
        <v>14</v>
      </c>
      <c r="L74" s="16"/>
      <c r="M74">
        <v>1</v>
      </c>
    </row>
    <row r="75" spans="1:13" ht="27.6">
      <c r="A75" s="10">
        <f t="shared" si="1"/>
        <v>74</v>
      </c>
      <c r="B75" s="16"/>
      <c r="C75" s="304" t="s">
        <v>781</v>
      </c>
      <c r="D75" s="17" t="s">
        <v>246</v>
      </c>
      <c r="F75" s="17" t="s">
        <v>11</v>
      </c>
      <c r="G75" s="19"/>
      <c r="H75" s="19" t="s">
        <v>247</v>
      </c>
      <c r="I75" s="32" t="s">
        <v>248</v>
      </c>
      <c r="J75" s="22"/>
      <c r="K75" s="22" t="s">
        <v>14</v>
      </c>
      <c r="L75" s="50" t="s">
        <v>249</v>
      </c>
    </row>
    <row r="76" spans="1:13">
      <c r="A76" s="10">
        <f t="shared" si="1"/>
        <v>75</v>
      </c>
      <c r="B76" s="16"/>
      <c r="C76" s="304" t="s">
        <v>781</v>
      </c>
      <c r="D76" s="17" t="s">
        <v>250</v>
      </c>
      <c r="E76">
        <v>1</v>
      </c>
      <c r="F76" s="17" t="s">
        <v>11</v>
      </c>
      <c r="G76" s="19"/>
      <c r="H76" s="19" t="s">
        <v>251</v>
      </c>
      <c r="I76" s="32" t="s">
        <v>252</v>
      </c>
      <c r="J76" s="22"/>
      <c r="K76" s="22" t="s">
        <v>14</v>
      </c>
      <c r="L76" s="50" t="s">
        <v>180</v>
      </c>
      <c r="M76">
        <v>1</v>
      </c>
    </row>
    <row r="77" spans="1:13">
      <c r="A77" s="10">
        <f t="shared" si="1"/>
        <v>76</v>
      </c>
      <c r="B77" s="16"/>
      <c r="C77" s="304" t="s">
        <v>781</v>
      </c>
      <c r="D77" s="17" t="s">
        <v>253</v>
      </c>
      <c r="E77">
        <v>1</v>
      </c>
      <c r="F77" s="17" t="s">
        <v>11</v>
      </c>
      <c r="G77" s="19"/>
      <c r="H77" s="23" t="s">
        <v>254</v>
      </c>
      <c r="I77" s="32" t="s">
        <v>255</v>
      </c>
      <c r="J77" s="22"/>
      <c r="K77" s="22" t="s">
        <v>14</v>
      </c>
      <c r="L77" s="50" t="s">
        <v>180</v>
      </c>
      <c r="M77">
        <v>1</v>
      </c>
    </row>
    <row r="78" spans="1:13">
      <c r="A78" s="10">
        <f t="shared" si="1"/>
        <v>77</v>
      </c>
      <c r="B78" s="16"/>
      <c r="C78" s="304" t="s">
        <v>781</v>
      </c>
      <c r="D78" s="17" t="s">
        <v>256</v>
      </c>
      <c r="F78" s="17" t="s">
        <v>11</v>
      </c>
      <c r="G78" s="19"/>
      <c r="H78" s="19" t="s">
        <v>257</v>
      </c>
      <c r="I78" s="32" t="s">
        <v>258</v>
      </c>
      <c r="J78" s="22"/>
      <c r="K78" s="22" t="s">
        <v>14</v>
      </c>
      <c r="L78" s="50" t="s">
        <v>180</v>
      </c>
    </row>
    <row r="79" spans="1:13">
      <c r="A79" s="10">
        <f t="shared" si="1"/>
        <v>78</v>
      </c>
      <c r="B79" s="16"/>
      <c r="C79" s="304" t="s">
        <v>781</v>
      </c>
      <c r="D79" s="17" t="s">
        <v>259</v>
      </c>
      <c r="E79">
        <v>1</v>
      </c>
      <c r="F79" s="17" t="s">
        <v>11</v>
      </c>
      <c r="G79" s="19"/>
      <c r="H79" s="19" t="s">
        <v>260</v>
      </c>
      <c r="I79" s="32" t="s">
        <v>261</v>
      </c>
      <c r="J79" s="22"/>
      <c r="K79" s="22" t="s">
        <v>14</v>
      </c>
      <c r="L79" s="50" t="s">
        <v>180</v>
      </c>
      <c r="M79">
        <v>1</v>
      </c>
    </row>
    <row r="80" spans="1:13" ht="41.4">
      <c r="A80" s="10">
        <f t="shared" si="1"/>
        <v>79</v>
      </c>
      <c r="B80" s="16"/>
      <c r="C80" s="304" t="s">
        <v>781</v>
      </c>
      <c r="D80" s="17" t="s">
        <v>263</v>
      </c>
      <c r="E80">
        <v>2</v>
      </c>
      <c r="F80" s="17" t="s">
        <v>11</v>
      </c>
      <c r="G80" s="19"/>
      <c r="H80" s="19" t="s">
        <v>264</v>
      </c>
      <c r="I80" s="32" t="s">
        <v>265</v>
      </c>
      <c r="J80" s="22"/>
      <c r="K80" s="22" t="s">
        <v>14</v>
      </c>
      <c r="L80" s="50" t="s">
        <v>180</v>
      </c>
      <c r="M80">
        <v>2</v>
      </c>
    </row>
    <row r="81" spans="1:13" ht="27.6">
      <c r="A81" s="10">
        <f t="shared" si="1"/>
        <v>80</v>
      </c>
      <c r="B81" s="16"/>
      <c r="C81" s="304" t="s">
        <v>781</v>
      </c>
      <c r="D81" s="17" t="s">
        <v>266</v>
      </c>
      <c r="E81">
        <v>3</v>
      </c>
      <c r="F81" s="17" t="s">
        <v>11</v>
      </c>
      <c r="G81" s="19"/>
      <c r="H81" s="20" t="s">
        <v>267</v>
      </c>
      <c r="I81" s="32" t="s">
        <v>268</v>
      </c>
      <c r="J81" s="22"/>
      <c r="K81" s="22" t="s">
        <v>14</v>
      </c>
      <c r="L81" s="50" t="s">
        <v>180</v>
      </c>
      <c r="M81">
        <v>3</v>
      </c>
    </row>
    <row r="82" spans="1:13" ht="27.6">
      <c r="A82" s="10">
        <f t="shared" si="1"/>
        <v>81</v>
      </c>
      <c r="B82" s="16"/>
      <c r="C82" s="304" t="s">
        <v>781</v>
      </c>
      <c r="D82" s="17" t="s">
        <v>269</v>
      </c>
      <c r="E82">
        <v>1</v>
      </c>
      <c r="F82" s="17" t="s">
        <v>11</v>
      </c>
      <c r="G82" s="19"/>
      <c r="H82" s="20" t="s">
        <v>270</v>
      </c>
      <c r="I82" s="32" t="s">
        <v>271</v>
      </c>
      <c r="J82" s="22"/>
      <c r="K82" s="22" t="s">
        <v>14</v>
      </c>
      <c r="L82" s="50" t="s">
        <v>180</v>
      </c>
      <c r="M82">
        <v>1</v>
      </c>
    </row>
    <row r="83" spans="1:13" ht="27.6">
      <c r="A83" s="10">
        <f t="shared" si="1"/>
        <v>82</v>
      </c>
      <c r="B83" s="16"/>
      <c r="C83" s="304" t="s">
        <v>781</v>
      </c>
      <c r="D83" s="17" t="s">
        <v>272</v>
      </c>
      <c r="E83">
        <v>2</v>
      </c>
      <c r="F83" s="17" t="s">
        <v>11</v>
      </c>
      <c r="G83" s="19"/>
      <c r="H83" s="20" t="s">
        <v>273</v>
      </c>
      <c r="I83" s="32" t="s">
        <v>274</v>
      </c>
      <c r="J83" s="22"/>
      <c r="K83" s="22" t="s">
        <v>14</v>
      </c>
      <c r="L83" s="50" t="s">
        <v>180</v>
      </c>
      <c r="M83">
        <v>2</v>
      </c>
    </row>
    <row r="84" spans="1:13">
      <c r="A84" s="10">
        <f t="shared" si="1"/>
        <v>83</v>
      </c>
      <c r="B84" s="16"/>
      <c r="C84" s="304" t="s">
        <v>781</v>
      </c>
      <c r="D84" s="17" t="s">
        <v>275</v>
      </c>
      <c r="E84">
        <v>2</v>
      </c>
      <c r="F84" s="17" t="s">
        <v>11</v>
      </c>
      <c r="G84" s="19"/>
      <c r="H84" s="19" t="s">
        <v>276</v>
      </c>
      <c r="I84" s="32" t="s">
        <v>277</v>
      </c>
      <c r="J84" s="22"/>
      <c r="K84" s="22" t="s">
        <v>14</v>
      </c>
      <c r="L84" s="50" t="s">
        <v>180</v>
      </c>
      <c r="M84">
        <v>2</v>
      </c>
    </row>
    <row r="85" spans="1:13" ht="41.4">
      <c r="A85" s="10">
        <f t="shared" si="1"/>
        <v>84</v>
      </c>
      <c r="B85" s="16"/>
      <c r="C85" s="304" t="s">
        <v>781</v>
      </c>
      <c r="D85" s="17" t="s">
        <v>278</v>
      </c>
      <c r="E85" t="s">
        <v>1687</v>
      </c>
      <c r="F85" s="17" t="s">
        <v>11</v>
      </c>
      <c r="G85" s="19"/>
      <c r="H85" s="19" t="s">
        <v>279</v>
      </c>
      <c r="I85" s="32" t="s">
        <v>280</v>
      </c>
      <c r="J85" s="22"/>
      <c r="K85" s="22" t="s">
        <v>14</v>
      </c>
      <c r="L85" s="50" t="s">
        <v>180</v>
      </c>
      <c r="M85" t="s">
        <v>1687</v>
      </c>
    </row>
    <row r="86" spans="1:13" ht="27.6">
      <c r="A86" s="10">
        <f t="shared" si="1"/>
        <v>85</v>
      </c>
      <c r="B86" s="10"/>
      <c r="C86" s="304" t="s">
        <v>781</v>
      </c>
      <c r="D86" s="17" t="s">
        <v>281</v>
      </c>
      <c r="E86">
        <v>1</v>
      </c>
      <c r="F86" s="17" t="s">
        <v>11</v>
      </c>
      <c r="G86" s="19"/>
      <c r="H86" s="20" t="s">
        <v>282</v>
      </c>
      <c r="I86" s="32" t="s">
        <v>283</v>
      </c>
      <c r="J86" s="22"/>
      <c r="K86" s="22" t="s">
        <v>14</v>
      </c>
      <c r="L86" s="50" t="s">
        <v>180</v>
      </c>
      <c r="M86">
        <v>1</v>
      </c>
    </row>
    <row r="87" spans="1:13" ht="83.4">
      <c r="A87" s="10">
        <f t="shared" si="1"/>
        <v>86</v>
      </c>
      <c r="B87" s="10"/>
      <c r="C87" s="304" t="s">
        <v>781</v>
      </c>
      <c r="D87" s="17" t="s">
        <v>284</v>
      </c>
      <c r="E87">
        <v>1</v>
      </c>
      <c r="F87" s="17" t="s">
        <v>11</v>
      </c>
      <c r="G87" s="19"/>
      <c r="H87" s="20" t="s">
        <v>285</v>
      </c>
      <c r="I87" s="32" t="s">
        <v>286</v>
      </c>
      <c r="J87" s="22"/>
      <c r="K87" s="22" t="s">
        <v>14</v>
      </c>
      <c r="L87" s="50" t="s">
        <v>180</v>
      </c>
      <c r="M87">
        <v>1</v>
      </c>
    </row>
    <row r="88" spans="1:13" ht="27.6">
      <c r="A88" s="10">
        <f t="shared" si="1"/>
        <v>87</v>
      </c>
      <c r="B88" s="10"/>
      <c r="C88" s="304" t="s">
        <v>781</v>
      </c>
      <c r="D88" s="17" t="s">
        <v>287</v>
      </c>
      <c r="E88">
        <v>1</v>
      </c>
      <c r="F88" s="17" t="s">
        <v>11</v>
      </c>
      <c r="G88" s="19"/>
      <c r="H88" s="20" t="s">
        <v>288</v>
      </c>
      <c r="I88" s="32" t="s">
        <v>289</v>
      </c>
      <c r="J88" s="22"/>
      <c r="K88" s="22" t="s">
        <v>14</v>
      </c>
      <c r="L88" s="50" t="s">
        <v>180</v>
      </c>
      <c r="M88">
        <v>1</v>
      </c>
    </row>
    <row r="89" spans="1:13" ht="172.8">
      <c r="A89" s="10"/>
      <c r="B89" s="10"/>
      <c r="C89" s="304" t="s">
        <v>781</v>
      </c>
      <c r="D89" s="295" t="s">
        <v>1282</v>
      </c>
      <c r="E89">
        <v>3</v>
      </c>
      <c r="F89" s="297"/>
      <c r="G89" s="174" t="s">
        <v>102</v>
      </c>
      <c r="H89" s="298" t="s">
        <v>1283</v>
      </c>
      <c r="I89" s="32"/>
      <c r="K89" s="290" t="s">
        <v>14</v>
      </c>
      <c r="L89" s="50"/>
      <c r="M89">
        <v>3</v>
      </c>
    </row>
    <row r="90" spans="1:13" ht="27.6">
      <c r="A90" s="10">
        <f t="shared" si="1"/>
        <v>89</v>
      </c>
      <c r="B90" s="10"/>
      <c r="C90" s="304" t="s">
        <v>781</v>
      </c>
      <c r="D90" s="17" t="s">
        <v>290</v>
      </c>
      <c r="E90">
        <v>2</v>
      </c>
      <c r="F90" s="17" t="s">
        <v>11</v>
      </c>
      <c r="G90" s="19"/>
      <c r="H90" s="19" t="s">
        <v>291</v>
      </c>
      <c r="I90" s="32" t="s">
        <v>292</v>
      </c>
      <c r="J90" s="22"/>
      <c r="K90" s="22" t="s">
        <v>14</v>
      </c>
      <c r="L90" s="50" t="s">
        <v>180</v>
      </c>
      <c r="M90">
        <v>2</v>
      </c>
    </row>
    <row r="91" spans="1:13" ht="28.8">
      <c r="A91" s="10"/>
      <c r="B91" s="10"/>
      <c r="C91" s="304" t="s">
        <v>781</v>
      </c>
      <c r="D91" s="295" t="s">
        <v>1292</v>
      </c>
      <c r="E91">
        <v>3</v>
      </c>
      <c r="F91" s="295" t="s">
        <v>11</v>
      </c>
      <c r="G91" s="288"/>
      <c r="H91" s="288" t="s">
        <v>1293</v>
      </c>
      <c r="I91" s="32" t="s">
        <v>293</v>
      </c>
      <c r="K91" s="290" t="s">
        <v>14</v>
      </c>
      <c r="L91" s="50"/>
      <c r="M91">
        <v>3</v>
      </c>
    </row>
    <row r="92" spans="1:13" ht="27.6">
      <c r="A92" s="10">
        <f t="shared" si="1"/>
        <v>91</v>
      </c>
      <c r="B92" s="10"/>
      <c r="C92" s="304" t="s">
        <v>781</v>
      </c>
      <c r="D92" s="17"/>
      <c r="E92">
        <v>3</v>
      </c>
      <c r="F92" s="17" t="s">
        <v>11</v>
      </c>
      <c r="G92" s="19"/>
      <c r="H92" s="19" t="s">
        <v>294</v>
      </c>
      <c r="I92" s="32" t="s">
        <v>295</v>
      </c>
      <c r="J92" s="22"/>
      <c r="K92" s="22" t="s">
        <v>14</v>
      </c>
      <c r="L92" s="50" t="s">
        <v>180</v>
      </c>
      <c r="M92">
        <v>3</v>
      </c>
    </row>
    <row r="93" spans="1:13" ht="43.2">
      <c r="A93" s="10"/>
      <c r="B93" s="10"/>
      <c r="C93" s="304" t="s">
        <v>781</v>
      </c>
      <c r="D93" s="295" t="s">
        <v>1301</v>
      </c>
      <c r="E93">
        <v>1</v>
      </c>
      <c r="F93" s="295" t="s">
        <v>11</v>
      </c>
      <c r="G93" s="296"/>
      <c r="H93" s="299" t="s">
        <v>1302</v>
      </c>
      <c r="I93" s="32" t="s">
        <v>1688</v>
      </c>
      <c r="K93" s="290" t="s">
        <v>14</v>
      </c>
      <c r="L93" s="50"/>
      <c r="M93">
        <v>1</v>
      </c>
    </row>
    <row r="94" spans="1:13" ht="41.4">
      <c r="A94" s="10">
        <f t="shared" si="1"/>
        <v>93</v>
      </c>
      <c r="B94" s="10"/>
      <c r="C94" s="304" t="s">
        <v>781</v>
      </c>
      <c r="D94" s="17" t="s">
        <v>296</v>
      </c>
      <c r="E94">
        <v>1</v>
      </c>
      <c r="F94" s="17" t="s">
        <v>11</v>
      </c>
      <c r="G94" s="19"/>
      <c r="H94" s="19" t="s">
        <v>297</v>
      </c>
      <c r="I94" s="32" t="s">
        <v>298</v>
      </c>
      <c r="J94" s="22"/>
      <c r="K94" s="22" t="s">
        <v>14</v>
      </c>
      <c r="L94" s="50" t="s">
        <v>180</v>
      </c>
      <c r="M94">
        <v>1</v>
      </c>
    </row>
    <row r="95" spans="1:13" ht="28.8">
      <c r="A95" s="10"/>
      <c r="B95" s="10"/>
      <c r="C95" s="304" t="s">
        <v>450</v>
      </c>
      <c r="D95" s="300" t="s">
        <v>1355</v>
      </c>
      <c r="F95" s="301" t="s">
        <v>11</v>
      </c>
      <c r="G95" s="98"/>
      <c r="H95" s="288" t="s">
        <v>1356</v>
      </c>
      <c r="I95" s="32" t="s">
        <v>1681</v>
      </c>
      <c r="J95" s="22"/>
      <c r="K95" s="22" t="s">
        <v>14</v>
      </c>
      <c r="L95" s="50"/>
    </row>
    <row r="96" spans="1:13" ht="28.8">
      <c r="A96" s="10">
        <f t="shared" si="1"/>
        <v>95</v>
      </c>
      <c r="B96" s="31" t="s">
        <v>299</v>
      </c>
      <c r="C96" s="304" t="s">
        <v>172</v>
      </c>
      <c r="D96" s="17" t="s">
        <v>300</v>
      </c>
      <c r="F96" s="18" t="s">
        <v>11</v>
      </c>
      <c r="G96" s="19"/>
      <c r="H96" s="19" t="s">
        <v>301</v>
      </c>
      <c r="I96" s="32" t="s">
        <v>302</v>
      </c>
      <c r="J96" s="22"/>
      <c r="K96" s="22" t="s">
        <v>172</v>
      </c>
      <c r="L96" s="46" t="s">
        <v>160</v>
      </c>
    </row>
    <row r="97" spans="1:13" ht="28.8">
      <c r="A97" s="10">
        <f t="shared" si="1"/>
        <v>96</v>
      </c>
      <c r="B97" s="31" t="s">
        <v>303</v>
      </c>
      <c r="C97" s="304" t="s">
        <v>172</v>
      </c>
      <c r="D97" s="17" t="s">
        <v>304</v>
      </c>
      <c r="F97" s="18" t="s">
        <v>11</v>
      </c>
      <c r="G97" s="19"/>
      <c r="H97" s="19" t="s">
        <v>301</v>
      </c>
      <c r="I97" s="32" t="s">
        <v>302</v>
      </c>
      <c r="J97" s="22"/>
      <c r="K97" s="22" t="s">
        <v>172</v>
      </c>
      <c r="L97" s="46" t="s">
        <v>160</v>
      </c>
    </row>
    <row r="98" spans="1:13" ht="55.2">
      <c r="A98" s="10">
        <f t="shared" si="1"/>
        <v>97</v>
      </c>
      <c r="B98" s="31" t="s">
        <v>305</v>
      </c>
      <c r="C98" s="304" t="s">
        <v>172</v>
      </c>
      <c r="D98" s="17" t="s">
        <v>306</v>
      </c>
      <c r="F98" s="18" t="s">
        <v>11</v>
      </c>
      <c r="G98" s="19"/>
      <c r="H98" s="19" t="s">
        <v>307</v>
      </c>
      <c r="I98" s="32" t="s">
        <v>308</v>
      </c>
      <c r="J98" s="22"/>
      <c r="K98" s="22" t="s">
        <v>172</v>
      </c>
      <c r="L98" s="46" t="s">
        <v>309</v>
      </c>
    </row>
    <row r="99" spans="1:13" ht="55.2">
      <c r="A99" s="10">
        <f t="shared" si="1"/>
        <v>98</v>
      </c>
      <c r="B99" s="31" t="s">
        <v>310</v>
      </c>
      <c r="C99" s="304" t="s">
        <v>948</v>
      </c>
      <c r="D99" s="17" t="s">
        <v>311</v>
      </c>
      <c r="E99">
        <v>2</v>
      </c>
      <c r="F99" s="18" t="s">
        <v>11</v>
      </c>
      <c r="G99" s="22"/>
      <c r="H99" s="38" t="s">
        <v>312</v>
      </c>
      <c r="I99" s="32" t="s">
        <v>313</v>
      </c>
      <c r="J99" s="22"/>
      <c r="K99" s="22" t="s">
        <v>14</v>
      </c>
      <c r="L99" s="43"/>
      <c r="M99">
        <v>2</v>
      </c>
    </row>
    <row r="100" spans="1:13" ht="27.6">
      <c r="A100" s="10">
        <f t="shared" si="1"/>
        <v>99</v>
      </c>
      <c r="B100" s="10"/>
      <c r="C100" s="304" t="s">
        <v>948</v>
      </c>
      <c r="D100" s="17" t="s">
        <v>314</v>
      </c>
      <c r="E100">
        <v>2</v>
      </c>
      <c r="F100" s="18" t="s">
        <v>11</v>
      </c>
      <c r="G100" s="22"/>
      <c r="H100" s="38" t="s">
        <v>315</v>
      </c>
      <c r="I100" s="32" t="s">
        <v>316</v>
      </c>
      <c r="J100" s="22"/>
      <c r="K100" s="22" t="s">
        <v>14</v>
      </c>
      <c r="L100" s="43"/>
      <c r="M100">
        <v>2</v>
      </c>
    </row>
    <row r="101" spans="1:13" ht="27.6">
      <c r="A101" s="10">
        <f t="shared" si="1"/>
        <v>100</v>
      </c>
      <c r="B101" s="10"/>
      <c r="C101" s="304" t="s">
        <v>948</v>
      </c>
      <c r="D101" s="17" t="s">
        <v>317</v>
      </c>
      <c r="E101">
        <v>2</v>
      </c>
      <c r="F101" s="18" t="s">
        <v>11</v>
      </c>
      <c r="G101" s="22"/>
      <c r="H101" s="19" t="s">
        <v>318</v>
      </c>
      <c r="I101" s="32" t="s">
        <v>319</v>
      </c>
      <c r="J101" s="22"/>
      <c r="K101" s="22" t="s">
        <v>14</v>
      </c>
      <c r="L101" s="41"/>
      <c r="M101">
        <v>2</v>
      </c>
    </row>
    <row r="102" spans="1:13" ht="28.8">
      <c r="A102" s="10"/>
      <c r="B102" s="10"/>
      <c r="C102" s="304" t="s">
        <v>689</v>
      </c>
      <c r="D102" s="275" t="s">
        <v>1574</v>
      </c>
      <c r="E102">
        <v>2</v>
      </c>
      <c r="F102" s="292" t="s">
        <v>17</v>
      </c>
      <c r="G102" s="303"/>
      <c r="H102" s="293" t="s">
        <v>1575</v>
      </c>
      <c r="I102" s="32" t="s">
        <v>1678</v>
      </c>
      <c r="J102" s="22"/>
      <c r="K102" s="22" t="s">
        <v>14</v>
      </c>
      <c r="L102" s="302" t="s">
        <v>1684</v>
      </c>
      <c r="M102">
        <v>2</v>
      </c>
    </row>
    <row r="103" spans="1:13" ht="28.8">
      <c r="A103" s="10"/>
      <c r="B103" s="10"/>
      <c r="C103" s="304" t="s">
        <v>689</v>
      </c>
      <c r="D103" s="275" t="s">
        <v>1579</v>
      </c>
      <c r="E103">
        <v>2</v>
      </c>
      <c r="F103" s="292" t="s">
        <v>17</v>
      </c>
      <c r="G103" s="303"/>
      <c r="H103" s="293" t="s">
        <v>1580</v>
      </c>
      <c r="I103" s="32" t="s">
        <v>1679</v>
      </c>
      <c r="J103" s="22"/>
      <c r="K103" s="22" t="s">
        <v>14</v>
      </c>
      <c r="L103" s="302" t="s">
        <v>1684</v>
      </c>
      <c r="M103">
        <v>2</v>
      </c>
    </row>
    <row r="104" spans="1:13" ht="27.6">
      <c r="A104" s="10">
        <f t="shared" si="1"/>
        <v>103</v>
      </c>
      <c r="B104" s="10"/>
      <c r="C104" s="304" t="s">
        <v>172</v>
      </c>
      <c r="D104" s="17" t="s">
        <v>320</v>
      </c>
      <c r="F104" s="18" t="s">
        <v>11</v>
      </c>
      <c r="G104" s="22"/>
      <c r="H104" s="19" t="s">
        <v>321</v>
      </c>
      <c r="I104" s="32" t="s">
        <v>322</v>
      </c>
      <c r="J104" s="22"/>
      <c r="K104" s="22" t="s">
        <v>172</v>
      </c>
      <c r="L104" s="46" t="s">
        <v>192</v>
      </c>
    </row>
  </sheetData>
  <autoFilter ref="A1:L104" xr:uid="{00000000-0001-0000-0000-000000000000}"/>
  <phoneticPr fontId="2" type="noConversion"/>
  <conditionalFormatting sqref="J30:K30">
    <cfRule type="cellIs" dxfId="32" priority="31" stopIfTrue="1" operator="equal">
      <formula>"Must"</formula>
    </cfRule>
  </conditionalFormatting>
  <conditionalFormatting sqref="J36:K36">
    <cfRule type="cellIs" dxfId="31" priority="27" stopIfTrue="1" operator="equal">
      <formula>"Must"</formula>
    </cfRule>
  </conditionalFormatting>
  <conditionalFormatting sqref="K19">
    <cfRule type="cellIs" dxfId="30" priority="38" stopIfTrue="1" operator="equal">
      <formula>"Extension"</formula>
    </cfRule>
    <cfRule type="cellIs" dxfId="29" priority="37" stopIfTrue="1" operator="equal">
      <formula>"Configuration"</formula>
    </cfRule>
    <cfRule type="cellIs" dxfId="28" priority="36" stopIfTrue="1" operator="equal">
      <formula>"Standard"</formula>
    </cfRule>
  </conditionalFormatting>
  <conditionalFormatting sqref="K30">
    <cfRule type="cellIs" dxfId="27" priority="34" stopIfTrue="1" operator="equal">
      <formula>"Extension"</formula>
    </cfRule>
    <cfRule type="cellIs" dxfId="26" priority="33" stopIfTrue="1" operator="equal">
      <formula>"Configuration"</formula>
    </cfRule>
    <cfRule type="cellIs" dxfId="25" priority="32" stopIfTrue="1" operator="equal">
      <formula>"Standard"</formula>
    </cfRule>
  </conditionalFormatting>
  <conditionalFormatting sqref="K36:K37">
    <cfRule type="cellIs" dxfId="24" priority="30" stopIfTrue="1" operator="equal">
      <formula>"Extension"</formula>
    </cfRule>
    <cfRule type="cellIs" dxfId="23" priority="29" stopIfTrue="1" operator="equal">
      <formula>"Configuration"</formula>
    </cfRule>
    <cfRule type="cellIs" dxfId="22" priority="28" stopIfTrue="1" operator="equal">
      <formula>"Standard"</formula>
    </cfRule>
  </conditionalFormatting>
  <conditionalFormatting sqref="K37 K52:K53 K70 K91 K93 K19">
    <cfRule type="cellIs" dxfId="21" priority="35" stopIfTrue="1" operator="equal">
      <formula>"Must"</formula>
    </cfRule>
  </conditionalFormatting>
  <conditionalFormatting sqref="K37">
    <cfRule type="cellIs" dxfId="20" priority="26" stopIfTrue="1" operator="equal">
      <formula>"Extension"</formula>
    </cfRule>
    <cfRule type="cellIs" dxfId="19" priority="25" stopIfTrue="1" operator="equal">
      <formula>"Configuration"</formula>
    </cfRule>
    <cfRule type="cellIs" dxfId="18" priority="24" stopIfTrue="1" operator="equal">
      <formula>"Standard"</formula>
    </cfRule>
  </conditionalFormatting>
  <conditionalFormatting sqref="K39">
    <cfRule type="cellIs" dxfId="17" priority="20" stopIfTrue="1" operator="equal">
      <formula>"Standard"</formula>
    </cfRule>
    <cfRule type="cellIs" dxfId="16" priority="21" stopIfTrue="1" operator="equal">
      <formula>"Configuration"</formula>
    </cfRule>
    <cfRule type="cellIs" dxfId="15" priority="22" stopIfTrue="1" operator="equal">
      <formula>"Extension"</formula>
    </cfRule>
  </conditionalFormatting>
  <conditionalFormatting sqref="K52:K53">
    <cfRule type="cellIs" dxfId="14" priority="19" stopIfTrue="1" operator="equal">
      <formula>"Extension"</formula>
    </cfRule>
    <cfRule type="cellIs" dxfId="13" priority="18" stopIfTrue="1" operator="equal">
      <formula>"Configuration"</formula>
    </cfRule>
    <cfRule type="cellIs" dxfId="12" priority="17" stopIfTrue="1" operator="equal">
      <formula>"Standard"</formula>
    </cfRule>
  </conditionalFormatting>
  <conditionalFormatting sqref="K70">
    <cfRule type="cellIs" dxfId="11" priority="15" stopIfTrue="1" operator="equal">
      <formula>"Extension"</formula>
    </cfRule>
    <cfRule type="cellIs" dxfId="10" priority="14" stopIfTrue="1" operator="equal">
      <formula>"Configuration"</formula>
    </cfRule>
    <cfRule type="cellIs" dxfId="9" priority="13" stopIfTrue="1" operator="equal">
      <formula>"Standard"</formula>
    </cfRule>
  </conditionalFormatting>
  <conditionalFormatting sqref="K89">
    <cfRule type="cellIs" dxfId="8" priority="11" stopIfTrue="1" operator="equal">
      <formula>"Extension"</formula>
    </cfRule>
    <cfRule type="cellIs" dxfId="7" priority="10" stopIfTrue="1" operator="equal">
      <formula>"Configuration"</formula>
    </cfRule>
    <cfRule type="cellIs" dxfId="6" priority="9" stopIfTrue="1" operator="equal">
      <formula>"Standard"</formula>
    </cfRule>
  </conditionalFormatting>
  <conditionalFormatting sqref="K91">
    <cfRule type="cellIs" dxfId="5" priority="8" stopIfTrue="1" operator="equal">
      <formula>"Extension"</formula>
    </cfRule>
    <cfRule type="cellIs" dxfId="4" priority="7" stopIfTrue="1" operator="equal">
      <formula>"Configuration"</formula>
    </cfRule>
    <cfRule type="cellIs" dxfId="3" priority="6" stopIfTrue="1" operator="equal">
      <formula>"Standard"</formula>
    </cfRule>
  </conditionalFormatting>
  <conditionalFormatting sqref="K93">
    <cfRule type="cellIs" dxfId="2" priority="4" stopIfTrue="1" operator="equal">
      <formula>"Extension"</formula>
    </cfRule>
    <cfRule type="cellIs" dxfId="1" priority="3" stopIfTrue="1" operator="equal">
      <formula>"Configuration"</formula>
    </cfRule>
    <cfRule type="cellIs" dxfId="0" priority="2" stopIfTrue="1" operator="equal">
      <formula>"Standard"</formula>
    </cfRule>
  </conditionalFormatting>
  <dataValidations count="6">
    <dataValidation type="list" allowBlank="1" showInputMessage="1" showErrorMessage="1" sqref="K19 K30 K36:K37 K39 K52:K53 K70 K89 K91 K93" xr:uid="{50F7AF01-1AE0-4A08-A871-64011B5FBD2F}">
      <formula1>"Standard,Configuration,Extension,Customisation,Interface,Later Phase,Link,Out Of Scope,Business Proc Only"</formula1>
    </dataValidation>
    <dataValidation type="list" allowBlank="1" showErrorMessage="1" sqref="K19 K30 K36:K37 K39 K52:K53 K70 K89 K91 K93" xr:uid="{2A5CCD77-1F17-4A57-9D4D-4C91ADC1EF64}">
      <formula1>"Standard,Configuration,Extension,Customisation,Interface,Later Phase,Link,Out Of Scope,Business Proc Only"</formula1>
    </dataValidation>
    <dataValidation type="list" allowBlank="1" showInputMessage="1" showErrorMessage="1" sqref="F19 F30 F36:F37 F39 F89" xr:uid="{5B140A0A-3F47-40A1-8361-3595331E72D7}">
      <formula1>"Phase A, Phase B"</formula1>
    </dataValidation>
    <dataValidation type="list" allowBlank="1" showInputMessage="1" showErrorMessage="1" sqref="I19 J30 J36 I37 J39 I52:I53 I70 I89 I91 I93" xr:uid="{2D69B90B-94D3-47C8-B9EA-B90DE20B69A7}">
      <formula1>"Must,Should, Could, Wont"</formula1>
    </dataValidation>
    <dataValidation type="list" allowBlank="1" showInputMessage="1" showErrorMessage="1" sqref="C19:C104" xr:uid="{DBE9C0E8-9505-4176-94B3-5EF1A3A984CC}">
      <formula1>"Sample, Stock, Instrument, Retain, Report&amp;Label, Security, Training, Dashboard, Notification,  Assignment, Interface, IM Integartion, LES"</formula1>
    </dataValidation>
    <dataValidation type="list" allowBlank="1" showInputMessage="1" showErrorMessage="1" sqref="C2:C16 C18" xr:uid="{19B6B938-DA10-4CCE-81CC-DAD00D08D522}">
      <formula1>"Sample, Stock, Instrument, Retain, Report&amp;Label, Security, Training, Dashboard, Notification,  Assignment, Interface, IM Integartion"</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7C932-EA0B-410E-8A37-424FB52CB2A0}">
  <dimension ref="A1:G9"/>
  <sheetViews>
    <sheetView workbookViewId="0">
      <selection activeCell="G2" sqref="G2"/>
    </sheetView>
  </sheetViews>
  <sheetFormatPr defaultRowHeight="14.4"/>
  <cols>
    <col min="1" max="1" width="26.77734375" customWidth="1"/>
    <col min="2" max="2" width="4.88671875" customWidth="1"/>
    <col min="3" max="3" width="9.6640625" customWidth="1"/>
    <col min="4" max="5" width="9.44140625" customWidth="1"/>
    <col min="6" max="6" width="8.44140625" customWidth="1"/>
    <col min="7" max="7" width="54.6640625" customWidth="1"/>
  </cols>
  <sheetData>
    <row r="1" spans="1:7">
      <c r="A1" s="40" t="s">
        <v>323</v>
      </c>
      <c r="C1" s="40" t="s">
        <v>324</v>
      </c>
      <c r="D1" s="40" t="s">
        <v>406</v>
      </c>
      <c r="E1" s="40"/>
      <c r="F1" s="306" t="s">
        <v>1689</v>
      </c>
      <c r="G1" s="40" t="s">
        <v>1692</v>
      </c>
    </row>
    <row r="2" spans="1:7">
      <c r="A2" s="45" t="s">
        <v>325</v>
      </c>
      <c r="B2" s="52" t="s">
        <v>326</v>
      </c>
      <c r="C2">
        <v>36</v>
      </c>
      <c r="D2">
        <v>36</v>
      </c>
      <c r="G2" t="s">
        <v>1719</v>
      </c>
    </row>
    <row r="3" spans="1:7">
      <c r="A3" s="45" t="s">
        <v>327</v>
      </c>
      <c r="B3" s="52" t="s">
        <v>328</v>
      </c>
      <c r="C3">
        <v>35</v>
      </c>
      <c r="D3">
        <v>35</v>
      </c>
      <c r="F3" s="307">
        <v>42</v>
      </c>
      <c r="G3" s="307" t="s">
        <v>1694</v>
      </c>
    </row>
    <row r="4" spans="1:7">
      <c r="A4" s="45" t="s">
        <v>329</v>
      </c>
      <c r="B4" s="52" t="s">
        <v>328</v>
      </c>
      <c r="C4">
        <v>5</v>
      </c>
      <c r="D4">
        <v>5</v>
      </c>
      <c r="F4" s="307">
        <v>6</v>
      </c>
      <c r="G4" s="307" t="s">
        <v>1695</v>
      </c>
    </row>
    <row r="5" spans="1:7">
      <c r="A5" s="47" t="s">
        <v>330</v>
      </c>
      <c r="B5" s="52" t="s">
        <v>326</v>
      </c>
      <c r="C5" s="53">
        <v>5</v>
      </c>
      <c r="D5" s="53">
        <v>7</v>
      </c>
      <c r="E5" s="53"/>
      <c r="F5">
        <v>10</v>
      </c>
      <c r="G5" s="307" t="s">
        <v>1696</v>
      </c>
    </row>
    <row r="6" spans="1:7">
      <c r="A6" s="47" t="s">
        <v>331</v>
      </c>
      <c r="B6" s="52" t="s">
        <v>326</v>
      </c>
      <c r="C6" s="53">
        <v>15</v>
      </c>
      <c r="D6" s="53">
        <v>18</v>
      </c>
      <c r="E6" s="53"/>
      <c r="F6">
        <v>20</v>
      </c>
      <c r="G6" s="307" t="s">
        <v>1693</v>
      </c>
    </row>
    <row r="7" spans="1:7">
      <c r="A7" s="44" t="s">
        <v>332</v>
      </c>
      <c r="B7" s="52" t="s">
        <v>326</v>
      </c>
      <c r="C7">
        <v>20</v>
      </c>
      <c r="D7">
        <v>40</v>
      </c>
      <c r="F7" s="307">
        <v>48</v>
      </c>
      <c r="G7" s="307" t="s">
        <v>1690</v>
      </c>
    </row>
    <row r="8" spans="1:7">
      <c r="A8" s="43" t="s">
        <v>333</v>
      </c>
      <c r="B8" s="52" t="s">
        <v>326</v>
      </c>
      <c r="C8" s="53">
        <v>15</v>
      </c>
      <c r="D8" s="53">
        <v>25</v>
      </c>
      <c r="E8" s="53"/>
      <c r="F8" s="307">
        <v>30</v>
      </c>
      <c r="G8" s="307" t="s">
        <v>1691</v>
      </c>
    </row>
    <row r="9" spans="1:7">
      <c r="A9" s="40" t="s">
        <v>334</v>
      </c>
      <c r="C9" s="40">
        <f>SUM(C2:C8)</f>
        <v>131</v>
      </c>
      <c r="D9" s="40">
        <f>SUM(D2:D8)</f>
        <v>166</v>
      </c>
      <c r="E9" s="40"/>
    </row>
  </sheetData>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21696-F2DE-4A70-92CF-E901CC1DCAD3}">
  <dimension ref="A1:J16"/>
  <sheetViews>
    <sheetView topLeftCell="F2" workbookViewId="0">
      <selection activeCell="I2" sqref="I2"/>
    </sheetView>
  </sheetViews>
  <sheetFormatPr defaultRowHeight="14.4"/>
  <cols>
    <col min="1" max="1" width="16.88671875" customWidth="1"/>
    <col min="3" max="4" width="16.77734375" customWidth="1"/>
    <col min="5" max="5" width="21.44140625" customWidth="1"/>
    <col min="6" max="6" width="42.109375" customWidth="1"/>
    <col min="7" max="7" width="28.6640625" customWidth="1"/>
    <col min="8" max="8" width="20.77734375" customWidth="1"/>
    <col min="9" max="9" width="82.33203125" customWidth="1"/>
    <col min="10" max="10" width="57.44140625" customWidth="1"/>
  </cols>
  <sheetData>
    <row r="1" spans="1:10" ht="36">
      <c r="A1" s="1" t="s">
        <v>335</v>
      </c>
      <c r="B1" s="2" t="s">
        <v>336</v>
      </c>
      <c r="C1" s="2" t="s">
        <v>337</v>
      </c>
      <c r="D1" s="2" t="s">
        <v>338</v>
      </c>
      <c r="E1" s="2" t="s">
        <v>339</v>
      </c>
      <c r="F1" s="2" t="s">
        <v>340</v>
      </c>
      <c r="G1" s="1" t="s">
        <v>341</v>
      </c>
      <c r="H1" s="2" t="s">
        <v>342</v>
      </c>
      <c r="I1" s="2" t="s">
        <v>343</v>
      </c>
      <c r="J1" s="2" t="s">
        <v>344</v>
      </c>
    </row>
    <row r="2" spans="1:10" ht="201.6">
      <c r="A2" s="318" t="s">
        <v>345</v>
      </c>
      <c r="B2" s="3">
        <f t="shared" ref="B2:B16" si="0">ROW()-1</f>
        <v>1</v>
      </c>
      <c r="C2" s="4" t="s">
        <v>345</v>
      </c>
      <c r="D2" s="4" t="s">
        <v>346</v>
      </c>
      <c r="E2" s="4" t="s">
        <v>347</v>
      </c>
      <c r="F2" s="5" t="s">
        <v>348</v>
      </c>
      <c r="G2" s="6" t="s">
        <v>349</v>
      </c>
      <c r="H2" s="7" t="s">
        <v>350</v>
      </c>
      <c r="I2" s="5" t="s">
        <v>351</v>
      </c>
      <c r="J2" s="5" t="s">
        <v>352</v>
      </c>
    </row>
    <row r="3" spans="1:10" ht="28.8">
      <c r="A3" s="318"/>
      <c r="B3" s="3">
        <f t="shared" si="0"/>
        <v>2</v>
      </c>
      <c r="C3" s="4" t="s">
        <v>345</v>
      </c>
      <c r="D3" s="4" t="s">
        <v>346</v>
      </c>
      <c r="E3" s="4" t="s">
        <v>353</v>
      </c>
      <c r="F3" s="5" t="s">
        <v>354</v>
      </c>
      <c r="G3" s="6" t="s">
        <v>349</v>
      </c>
      <c r="H3" s="7" t="s">
        <v>350</v>
      </c>
      <c r="I3" s="8" t="s">
        <v>355</v>
      </c>
      <c r="J3" s="8" t="s">
        <v>356</v>
      </c>
    </row>
    <row r="4" spans="1:10" ht="129.6">
      <c r="A4" s="318"/>
      <c r="B4" s="3">
        <f t="shared" si="0"/>
        <v>3</v>
      </c>
      <c r="C4" s="4" t="s">
        <v>345</v>
      </c>
      <c r="D4" s="4" t="s">
        <v>346</v>
      </c>
      <c r="E4" s="4" t="s">
        <v>357</v>
      </c>
      <c r="F4" s="5"/>
      <c r="G4" s="6" t="s">
        <v>349</v>
      </c>
      <c r="H4" s="7"/>
      <c r="I4" s="8" t="s">
        <v>358</v>
      </c>
      <c r="J4" s="8" t="s">
        <v>405</v>
      </c>
    </row>
    <row r="5" spans="1:10" ht="28.8">
      <c r="A5" s="318"/>
      <c r="B5" s="3">
        <f t="shared" si="0"/>
        <v>4</v>
      </c>
      <c r="C5" s="4" t="s">
        <v>345</v>
      </c>
      <c r="D5" s="4" t="s">
        <v>346</v>
      </c>
      <c r="E5" s="4" t="s">
        <v>359</v>
      </c>
      <c r="F5" s="5"/>
      <c r="G5" s="6" t="s">
        <v>349</v>
      </c>
      <c r="H5" s="7"/>
      <c r="I5" s="8" t="s">
        <v>360</v>
      </c>
      <c r="J5" s="8" t="s">
        <v>361</v>
      </c>
    </row>
    <row r="6" spans="1:10">
      <c r="A6" s="318"/>
      <c r="B6" s="3">
        <f t="shared" si="0"/>
        <v>5</v>
      </c>
      <c r="C6" s="4" t="s">
        <v>345</v>
      </c>
      <c r="D6" s="4" t="s">
        <v>346</v>
      </c>
      <c r="E6" s="4" t="s">
        <v>362</v>
      </c>
      <c r="F6" s="5"/>
      <c r="G6" s="6" t="s">
        <v>349</v>
      </c>
      <c r="H6" s="7"/>
      <c r="I6" s="8" t="s">
        <v>363</v>
      </c>
      <c r="J6" s="8" t="s">
        <v>364</v>
      </c>
    </row>
    <row r="7" spans="1:10" ht="100.8">
      <c r="A7" s="318"/>
      <c r="B7" s="3">
        <f t="shared" si="0"/>
        <v>6</v>
      </c>
      <c r="C7" s="4" t="s">
        <v>345</v>
      </c>
      <c r="D7" s="4" t="s">
        <v>346</v>
      </c>
      <c r="E7" s="4" t="s">
        <v>365</v>
      </c>
      <c r="F7" s="5" t="s">
        <v>366</v>
      </c>
      <c r="G7" s="7" t="s">
        <v>367</v>
      </c>
      <c r="H7" s="7" t="s">
        <v>368</v>
      </c>
      <c r="I7" s="5" t="s">
        <v>369</v>
      </c>
      <c r="J7" s="5" t="s">
        <v>370</v>
      </c>
    </row>
    <row r="8" spans="1:10" ht="72">
      <c r="A8" s="318"/>
      <c r="B8" s="3">
        <f t="shared" si="0"/>
        <v>7</v>
      </c>
      <c r="C8" s="4" t="s">
        <v>346</v>
      </c>
      <c r="D8" s="4" t="s">
        <v>345</v>
      </c>
      <c r="E8" s="4" t="s">
        <v>371</v>
      </c>
      <c r="F8" s="5" t="s">
        <v>372</v>
      </c>
      <c r="G8" s="6" t="s">
        <v>349</v>
      </c>
      <c r="H8" s="7" t="s">
        <v>368</v>
      </c>
      <c r="I8" s="5" t="s">
        <v>373</v>
      </c>
      <c r="J8" s="5" t="s">
        <v>374</v>
      </c>
    </row>
    <row r="9" spans="1:10" ht="57.6">
      <c r="A9" s="319" t="s">
        <v>375</v>
      </c>
      <c r="B9" s="3">
        <f t="shared" si="0"/>
        <v>8</v>
      </c>
      <c r="C9" s="4" t="s">
        <v>376</v>
      </c>
      <c r="D9" s="4" t="s">
        <v>375</v>
      </c>
      <c r="E9" s="4" t="s">
        <v>377</v>
      </c>
      <c r="F9" s="5" t="s">
        <v>378</v>
      </c>
      <c r="G9" s="7" t="s">
        <v>367</v>
      </c>
      <c r="H9" s="5" t="s">
        <v>379</v>
      </c>
      <c r="I9" s="5" t="s">
        <v>380</v>
      </c>
      <c r="J9" s="5" t="s">
        <v>381</v>
      </c>
    </row>
    <row r="10" spans="1:10" ht="28.8">
      <c r="A10" s="319"/>
      <c r="B10" s="3">
        <f t="shared" si="0"/>
        <v>9</v>
      </c>
      <c r="C10" s="4" t="s">
        <v>346</v>
      </c>
      <c r="D10" s="4" t="s">
        <v>375</v>
      </c>
      <c r="E10" s="4" t="s">
        <v>382</v>
      </c>
      <c r="F10" s="5" t="s">
        <v>383</v>
      </c>
      <c r="G10" s="7" t="s">
        <v>367</v>
      </c>
      <c r="H10" s="7" t="s">
        <v>384</v>
      </c>
      <c r="I10" s="5" t="s">
        <v>385</v>
      </c>
      <c r="J10" s="5" t="s">
        <v>386</v>
      </c>
    </row>
    <row r="11" spans="1:10" ht="43.2">
      <c r="A11" s="319"/>
      <c r="B11" s="3">
        <f t="shared" si="0"/>
        <v>10</v>
      </c>
      <c r="C11" s="4" t="s">
        <v>375</v>
      </c>
      <c r="D11" s="4" t="s">
        <v>346</v>
      </c>
      <c r="E11" s="4" t="s">
        <v>365</v>
      </c>
      <c r="F11" s="5" t="s">
        <v>387</v>
      </c>
      <c r="G11" s="7" t="s">
        <v>367</v>
      </c>
      <c r="H11" s="7" t="s">
        <v>384</v>
      </c>
      <c r="I11" s="5" t="s">
        <v>388</v>
      </c>
      <c r="J11" s="5" t="s">
        <v>389</v>
      </c>
    </row>
    <row r="12" spans="1:10">
      <c r="A12" s="319"/>
      <c r="B12" s="3">
        <f t="shared" si="0"/>
        <v>11</v>
      </c>
      <c r="C12" s="4" t="s">
        <v>346</v>
      </c>
      <c r="D12" s="4" t="s">
        <v>375</v>
      </c>
      <c r="E12" s="4" t="s">
        <v>371</v>
      </c>
      <c r="F12" s="5" t="s">
        <v>390</v>
      </c>
      <c r="G12" s="7" t="s">
        <v>367</v>
      </c>
      <c r="H12" s="7" t="s">
        <v>384</v>
      </c>
      <c r="I12" s="7"/>
      <c r="J12" s="7"/>
    </row>
    <row r="13" spans="1:10" ht="43.2">
      <c r="A13" s="319"/>
      <c r="B13" s="3">
        <f t="shared" si="0"/>
        <v>12</v>
      </c>
      <c r="C13" s="4" t="s">
        <v>376</v>
      </c>
      <c r="D13" s="4" t="s">
        <v>375</v>
      </c>
      <c r="E13" s="9" t="s">
        <v>391</v>
      </c>
      <c r="F13" s="5" t="s">
        <v>392</v>
      </c>
      <c r="G13" s="7" t="s">
        <v>367</v>
      </c>
      <c r="H13" s="5" t="s">
        <v>393</v>
      </c>
      <c r="I13" s="7" t="s">
        <v>394</v>
      </c>
      <c r="J13" s="7" t="s">
        <v>395</v>
      </c>
    </row>
    <row r="14" spans="1:10">
      <c r="A14" s="319"/>
      <c r="B14" s="3">
        <f t="shared" si="0"/>
        <v>13</v>
      </c>
      <c r="C14" s="4" t="s">
        <v>346</v>
      </c>
      <c r="D14" s="4" t="s">
        <v>375</v>
      </c>
      <c r="E14" s="10" t="s">
        <v>396</v>
      </c>
      <c r="F14" s="5" t="s">
        <v>397</v>
      </c>
      <c r="G14" s="7" t="s">
        <v>367</v>
      </c>
      <c r="H14" s="7" t="s">
        <v>384</v>
      </c>
      <c r="I14" s="7"/>
      <c r="J14" s="7"/>
    </row>
    <row r="15" spans="1:10">
      <c r="A15" s="319"/>
      <c r="B15" s="3">
        <f t="shared" si="0"/>
        <v>14</v>
      </c>
      <c r="C15" s="4" t="s">
        <v>375</v>
      </c>
      <c r="D15" s="4" t="s">
        <v>346</v>
      </c>
      <c r="E15" s="10" t="s">
        <v>398</v>
      </c>
      <c r="F15" s="5" t="s">
        <v>399</v>
      </c>
      <c r="G15" s="7" t="s">
        <v>367</v>
      </c>
      <c r="H15" s="7" t="s">
        <v>384</v>
      </c>
      <c r="I15" s="7"/>
      <c r="J15" s="7"/>
    </row>
    <row r="16" spans="1:10" ht="72">
      <c r="A16" s="11" t="s">
        <v>400</v>
      </c>
      <c r="B16" s="12">
        <f t="shared" si="0"/>
        <v>15</v>
      </c>
      <c r="C16" s="13" t="s">
        <v>400</v>
      </c>
      <c r="D16" s="13" t="s">
        <v>346</v>
      </c>
      <c r="E16" s="13" t="s">
        <v>401</v>
      </c>
      <c r="F16" s="5" t="s">
        <v>158</v>
      </c>
      <c r="G16" s="14" t="s">
        <v>367</v>
      </c>
      <c r="H16" s="14" t="s">
        <v>402</v>
      </c>
      <c r="I16" s="15" t="s">
        <v>403</v>
      </c>
      <c r="J16" s="15" t="s">
        <v>404</v>
      </c>
    </row>
  </sheetData>
  <mergeCells count="2">
    <mergeCell ref="A2:A8"/>
    <mergeCell ref="A9:A15"/>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7EDED-2B70-45AF-AA0B-901AC0D759A6}">
  <dimension ref="A1"/>
  <sheetViews>
    <sheetView workbookViewId="0">
      <selection activeCell="G18" sqref="G18"/>
    </sheetView>
  </sheetViews>
  <sheetFormatPr defaultRowHeight="14.4"/>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3A8E2-C371-457C-881E-1A2D5098EAC5}">
  <dimension ref="A1:D11"/>
  <sheetViews>
    <sheetView workbookViewId="0">
      <selection activeCell="D9" sqref="D9"/>
    </sheetView>
  </sheetViews>
  <sheetFormatPr defaultRowHeight="14.4"/>
  <cols>
    <col min="2" max="3" width="73" customWidth="1"/>
    <col min="4" max="4" width="87.88671875" customWidth="1"/>
  </cols>
  <sheetData>
    <row r="1" spans="1:4">
      <c r="A1" t="s">
        <v>1713</v>
      </c>
      <c r="B1" t="s">
        <v>1717</v>
      </c>
      <c r="C1" t="s">
        <v>1714</v>
      </c>
      <c r="D1" t="s">
        <v>1706</v>
      </c>
    </row>
    <row r="2" spans="1:4" ht="82.5" customHeight="1">
      <c r="A2" s="295" t="s">
        <v>185</v>
      </c>
      <c r="B2" s="296" t="s">
        <v>186</v>
      </c>
      <c r="C2" s="312" t="s">
        <v>1715</v>
      </c>
      <c r="D2" s="311" t="s">
        <v>1710</v>
      </c>
    </row>
    <row r="3" spans="1:4">
      <c r="A3" s="295" t="s">
        <v>189</v>
      </c>
      <c r="B3" s="308" t="s">
        <v>1697</v>
      </c>
      <c r="C3" s="313"/>
      <c r="D3" t="s">
        <v>1709</v>
      </c>
    </row>
    <row r="4" spans="1:4" ht="14.25" customHeight="1">
      <c r="A4" s="295" t="s">
        <v>193</v>
      </c>
      <c r="B4" s="309" t="s">
        <v>1698</v>
      </c>
      <c r="C4" s="314" t="s">
        <v>1716</v>
      </c>
      <c r="D4" s="320" t="s">
        <v>1711</v>
      </c>
    </row>
    <row r="5" spans="1:4" ht="14.25" customHeight="1">
      <c r="A5" s="295" t="s">
        <v>196</v>
      </c>
      <c r="B5" s="309" t="s">
        <v>1699</v>
      </c>
      <c r="C5" s="314"/>
      <c r="D5" s="320"/>
    </row>
    <row r="6" spans="1:4">
      <c r="A6" s="295" t="s">
        <v>199</v>
      </c>
      <c r="B6" s="309" t="s">
        <v>1700</v>
      </c>
      <c r="C6" s="314"/>
      <c r="D6" s="320"/>
    </row>
    <row r="7" spans="1:4" ht="28.8">
      <c r="A7" s="295" t="s">
        <v>201</v>
      </c>
      <c r="B7" s="309" t="s">
        <v>1701</v>
      </c>
      <c r="C7" s="314"/>
      <c r="D7" s="320"/>
    </row>
    <row r="8" spans="1:4">
      <c r="A8" s="295" t="s">
        <v>204</v>
      </c>
      <c r="B8" s="309" t="s">
        <v>1702</v>
      </c>
      <c r="C8" s="314"/>
      <c r="D8" s="320"/>
    </row>
    <row r="9" spans="1:4">
      <c r="A9" s="295" t="s">
        <v>208</v>
      </c>
      <c r="B9" s="308" t="s">
        <v>1703</v>
      </c>
      <c r="C9" s="313"/>
      <c r="D9" t="s">
        <v>1712</v>
      </c>
    </row>
    <row r="10" spans="1:4">
      <c r="A10" s="295" t="s">
        <v>212</v>
      </c>
      <c r="B10" s="296" t="s">
        <v>1704</v>
      </c>
      <c r="C10" s="312"/>
      <c r="D10" t="s">
        <v>1707</v>
      </c>
    </row>
    <row r="11" spans="1:4">
      <c r="A11" s="295" t="s">
        <v>215</v>
      </c>
      <c r="B11" s="308" t="s">
        <v>1705</v>
      </c>
      <c r="C11" s="313"/>
      <c r="D11" t="s">
        <v>1708</v>
      </c>
    </row>
  </sheetData>
  <mergeCells count="1">
    <mergeCell ref="D4:D8"/>
  </mergeCells>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7FC40-71FB-4496-AE42-54605D216277}">
  <dimension ref="B2:F26"/>
  <sheetViews>
    <sheetView workbookViewId="0">
      <selection activeCell="D3" sqref="D3"/>
    </sheetView>
  </sheetViews>
  <sheetFormatPr defaultRowHeight="14.4"/>
  <cols>
    <col min="2" max="2" width="11.77734375" customWidth="1"/>
    <col min="3" max="3" width="65.88671875" customWidth="1"/>
    <col min="4" max="4" width="76.44140625" customWidth="1"/>
    <col min="5" max="5" width="36" customWidth="1"/>
  </cols>
  <sheetData>
    <row r="2" spans="2:6">
      <c r="B2" s="315" t="s">
        <v>1713</v>
      </c>
      <c r="C2" s="315" t="s">
        <v>1717</v>
      </c>
      <c r="D2" s="315" t="s">
        <v>1714</v>
      </c>
    </row>
    <row r="3" spans="2:6" ht="201.6">
      <c r="B3" s="297" t="s">
        <v>185</v>
      </c>
      <c r="C3" s="288" t="s">
        <v>186</v>
      </c>
      <c r="D3" s="288" t="s">
        <v>1721</v>
      </c>
      <c r="E3" s="51" t="s">
        <v>1722</v>
      </c>
    </row>
    <row r="4" spans="2:6">
      <c r="B4" s="297" t="s">
        <v>189</v>
      </c>
      <c r="C4" s="288" t="s">
        <v>1697</v>
      </c>
      <c r="D4" s="288"/>
    </row>
    <row r="5" spans="2:6">
      <c r="B5" s="297" t="s">
        <v>193</v>
      </c>
      <c r="C5" s="288" t="s">
        <v>1698</v>
      </c>
      <c r="D5" s="288" t="s">
        <v>1716</v>
      </c>
      <c r="F5" s="310"/>
    </row>
    <row r="6" spans="2:6">
      <c r="B6" s="297" t="s">
        <v>196</v>
      </c>
      <c r="C6" s="288" t="s">
        <v>1699</v>
      </c>
      <c r="D6" s="288"/>
      <c r="F6" s="310"/>
    </row>
    <row r="7" spans="2:6">
      <c r="B7" s="297" t="s">
        <v>199</v>
      </c>
      <c r="C7" s="288" t="s">
        <v>1700</v>
      </c>
      <c r="D7" s="288"/>
      <c r="F7" s="310"/>
    </row>
    <row r="8" spans="2:6" ht="28.8">
      <c r="B8" s="297" t="s">
        <v>201</v>
      </c>
      <c r="C8" s="288" t="s">
        <v>1701</v>
      </c>
      <c r="D8" s="288"/>
      <c r="F8" s="310"/>
    </row>
    <row r="9" spans="2:6">
      <c r="B9" s="297" t="s">
        <v>204</v>
      </c>
      <c r="C9" s="288" t="s">
        <v>1702</v>
      </c>
      <c r="D9" s="288"/>
      <c r="F9" s="310"/>
    </row>
    <row r="10" spans="2:6" ht="28.8">
      <c r="B10" s="297" t="s">
        <v>208</v>
      </c>
      <c r="C10" s="288" t="s">
        <v>1703</v>
      </c>
      <c r="D10" s="288" t="s">
        <v>1718</v>
      </c>
      <c r="F10" s="310"/>
    </row>
    <row r="11" spans="2:6">
      <c r="B11" s="297" t="s">
        <v>212</v>
      </c>
      <c r="C11" s="288" t="s">
        <v>1704</v>
      </c>
      <c r="D11" s="288"/>
      <c r="F11" s="310"/>
    </row>
    <row r="12" spans="2:6">
      <c r="B12" s="316" t="s">
        <v>215</v>
      </c>
      <c r="C12" s="317" t="s">
        <v>1705</v>
      </c>
      <c r="D12" s="317"/>
      <c r="F12" s="310"/>
    </row>
    <row r="13" spans="2:6">
      <c r="F13" s="310"/>
    </row>
    <row r="14" spans="2:6">
      <c r="F14" s="310"/>
    </row>
    <row r="15" spans="2:6">
      <c r="F15" s="310"/>
    </row>
    <row r="16" spans="2:6">
      <c r="F16" s="310"/>
    </row>
    <row r="17" spans="6:6">
      <c r="F17" s="310"/>
    </row>
    <row r="18" spans="6:6">
      <c r="F18" s="310"/>
    </row>
    <row r="19" spans="6:6">
      <c r="F19" s="310"/>
    </row>
    <row r="20" spans="6:6">
      <c r="F20" s="310"/>
    </row>
    <row r="21" spans="6:6">
      <c r="F21" s="310"/>
    </row>
    <row r="22" spans="6:6">
      <c r="F22" s="310"/>
    </row>
    <row r="23" spans="6:6">
      <c r="F23" s="310"/>
    </row>
    <row r="24" spans="6:6">
      <c r="F24" s="310"/>
    </row>
    <row r="25" spans="6:6">
      <c r="F25" s="310"/>
    </row>
    <row r="26" spans="6:6">
      <c r="F26" s="310"/>
    </row>
  </sheetData>
  <phoneticPr fontId="2"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文档" ma:contentTypeID="0x01010092A6694D2AC78A48A7C8E53FEF04F831" ma:contentTypeVersion="13" ma:contentTypeDescription="新建文档。" ma:contentTypeScope="" ma:versionID="31288fbef334f7553ab7c4fc04f30b03">
  <xsd:schema xmlns:xsd="http://www.w3.org/2001/XMLSchema" xmlns:xs="http://www.w3.org/2001/XMLSchema" xmlns:p="http://schemas.microsoft.com/office/2006/metadata/properties" xmlns:ns2="afd156ce-c20c-4333-9016-100ff8d3ce5f" xmlns:ns3="e3de43da-a351-43e5-b7a1-980afc0d19d1" targetNamespace="http://schemas.microsoft.com/office/2006/metadata/properties" ma:root="true" ma:fieldsID="374064172895cc941def87cadba20380" ns2:_="" ns3:_="">
    <xsd:import namespace="afd156ce-c20c-4333-9016-100ff8d3ce5f"/>
    <xsd:import namespace="e3de43da-a351-43e5-b7a1-980afc0d19d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d156ce-c20c-4333-9016-100ff8d3ce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图像标记" ma:readOnly="false" ma:fieldId="{5cf76f15-5ced-4ddc-b409-7134ff3c332f}" ma:taxonomyMulti="true" ma:sspId="0a21608a-12e9-46d7-aa35-d9915e8fc0e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3de43da-a351-43e5-b7a1-980afc0d19d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f82101b-7728-4906-b209-930a224fc08a}" ma:internalName="TaxCatchAll" ma:showField="CatchAllData" ma:web="e3de43da-a351-43e5-b7a1-980afc0d19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afd156ce-c20c-4333-9016-100ff8d3ce5f">
      <Terms xmlns="http://schemas.microsoft.com/office/infopath/2007/PartnerControls"/>
    </lcf76f155ced4ddcb4097134ff3c332f>
    <TaxCatchAll xmlns="e3de43da-a351-43e5-b7a1-980afc0d19d1" xsi:nil="true"/>
  </documentManagement>
</p:properties>
</file>

<file path=customXml/itemProps1.xml><?xml version="1.0" encoding="utf-8"?>
<ds:datastoreItem xmlns:ds="http://schemas.openxmlformats.org/officeDocument/2006/customXml" ds:itemID="{0FB9DF03-3D79-4366-A7EF-9906002C78E3}">
  <ds:schemaRefs>
    <ds:schemaRef ds:uri="http://schemas.microsoft.com/sharepoint/v3/contenttype/forms"/>
  </ds:schemaRefs>
</ds:datastoreItem>
</file>

<file path=customXml/itemProps2.xml><?xml version="1.0" encoding="utf-8"?>
<ds:datastoreItem xmlns:ds="http://schemas.openxmlformats.org/officeDocument/2006/customXml" ds:itemID="{097F179F-33CB-4BBD-9CD5-43BBAB85BBC4}">
  <ds:schemaRefs>
    <ds:schemaRef ds:uri="http://schemas.microsoft.com/DataMashup"/>
  </ds:schemaRefs>
</ds:datastoreItem>
</file>

<file path=customXml/itemProps3.xml><?xml version="1.0" encoding="utf-8"?>
<ds:datastoreItem xmlns:ds="http://schemas.openxmlformats.org/officeDocument/2006/customXml" ds:itemID="{9421C636-6CF0-4DD2-A6FB-67EE8DC3422B}"/>
</file>

<file path=customXml/itemProps4.xml><?xml version="1.0" encoding="utf-8"?>
<ds:datastoreItem xmlns:ds="http://schemas.openxmlformats.org/officeDocument/2006/customXml" ds:itemID="{9314BCC2-64D6-4C74-8297-6C86593A9F9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Requirements Trace Matrix</vt:lpstr>
      <vt:lpstr>Sheet1</vt:lpstr>
      <vt:lpstr>Sheet2</vt:lpstr>
      <vt:lpstr>Henkel Interface List</vt:lpstr>
      <vt:lpstr>排程</vt:lpstr>
      <vt:lpstr>Sheet3</vt:lpstr>
      <vt:lpstr>Sheet4</vt:lpstr>
      <vt:lpstr>'Requirements Trace Matrix'!Print_Area</vt:lpstr>
      <vt:lpstr>'Requirements Trace Matrix'!Print_Titles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Zhang, Zhenjuan</dc:creator>
  <cp:keywords/>
  <dc:description/>
  <cp:lastModifiedBy>Mengran Xiao</cp:lastModifiedBy>
  <cp:revision/>
  <dcterms:created xsi:type="dcterms:W3CDTF">2015-06-05T18:17:20Z</dcterms:created>
  <dcterms:modified xsi:type="dcterms:W3CDTF">2024-07-29T08:36:23Z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0x01010092A6694D2AC78A48A7C8E53FEF04F831</vt:lpwstr>
  </property>
</Properties>
</file>