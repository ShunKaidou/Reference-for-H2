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updateLinks="always" codeName="ThisWorkbook"/>
  <mc:AlternateContent xmlns:mc="http://schemas.openxmlformats.org/markup-compatibility/2006">
    <mc:Choice Requires="x15">
      <x15ac:absPath xmlns:x15ac="http://schemas.microsoft.com/office/spreadsheetml/2010/11/ac" url="https://thermofisher.sharepoint.com/sites/HenkelProjectInternalTeam/Shared Documents/General/05 RTM/signoff/"/>
    </mc:Choice>
  </mc:AlternateContent>
  <xr:revisionPtr revIDLastSave="13" documentId="13_ncr:1_{E37DCBD3-652A-46E7-879B-264FFE6450F9}" xr6:coauthVersionLast="47" xr6:coauthVersionMax="47" xr10:uidLastSave="{4CF1DE3A-5919-4BD3-8F4C-21581D5F3AFB}"/>
  <bookViews>
    <workbookView xWindow="-108" yWindow="-108" windowWidth="23256" windowHeight="12576" tabRatio="720" firstSheet="1" activeTab="1" xr2:uid="{00000000-000D-0000-FFFF-FFFF00000000}"/>
  </bookViews>
  <sheets>
    <sheet name="Definition" sheetId="7" r:id="rId1"/>
    <sheet name="Requirements Trace Matrix" sheetId="1" r:id="rId2"/>
    <sheet name="Non Functional" sheetId="5" r:id="rId3"/>
    <sheet name="Revision History" sheetId="4" r:id="rId4"/>
    <sheet name="Guidelines" sheetId="2" r:id="rId5"/>
  </sheets>
  <externalReferences>
    <externalReference r:id="rId6"/>
  </externalReferences>
  <definedNames>
    <definedName name="_xlnm._FilterDatabase" localSheetId="1" hidden="1">'Requirements Trace Matrix'!$A$7:$AI$601</definedName>
    <definedName name="Configuration">'Requirements Trace Matrix'!#REF!</definedName>
    <definedName name="cross">"ý"</definedName>
    <definedName name="Include_exclude">[1]Categories!$C$3:$C$4</definedName>
    <definedName name="_xlnm.Print_Titles" localSheetId="1">'Requirements Trace Matrix'!$1:$7</definedName>
    <definedName name="tick">"þ"</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3" i="5" l="1"/>
  <c r="R2" i="5"/>
  <c r="D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Dr Barry Pearce</author>
    <author>tc={729F79BF-F082-4FBE-96C8-CC8AE68E0A3E}</author>
    <author>tc={4FB76A7B-A7CD-4355-AE9C-EC4334F58A9B}</author>
    <author>tc={BD5FB6BE-00B4-4069-B97E-122A33109E29}</author>
    <author>tc={467F8052-B7A6-4CC5-8197-A900E1976EF0}</author>
    <author>tc={37C3D7D9-2FB3-468C-89D9-CC58284D8AE8}</author>
    <author>tc={45E9C921-298E-45C5-9841-90E783E1BFFB}</author>
    <author>tc={419760AC-D436-4676-80E6-A4EBDC46B3C4}</author>
    <author>tc={371531C1-B2C6-41F8-BB05-87632D51E4E4}</author>
    <author>tc={7DC27EA6-1670-4B52-966E-3D635B2304C0}</author>
    <author>tc={8CC714BC-1AD9-44A0-823F-887B71383516}</author>
    <author>tc={222FAC87-BCE2-44F9-BEA6-B4C5DA84A5EF}</author>
    <author>tc={109981BB-82A0-4CAD-9EDA-91CD33533368}</author>
    <author>tc={6A0F841E-4A63-4BFF-A708-42D3B983D456}</author>
    <author>tc={299161BF-D327-4500-A060-0D9640AFD2FD}</author>
    <author>tc={65885E7F-6A19-4E3F-8500-5D08164C0A17}</author>
    <author>tc={4BED2916-50C0-49B8-9285-942B4378BB28}</author>
    <author>tc={C48417D0-2C2B-471B-B6E5-5BE5D20DF471}</author>
    <author>tc={5029E3CD-098A-4A75-8691-9892D9F43600}</author>
    <author>tc={A67F6B7D-02B7-44D8-B666-5345B456A0B8}</author>
    <author>tc={716B41BD-2928-4171-9F13-B037712FE949}</author>
    <author>tc={145F7ED0-A851-4218-9DDF-18A4E56C8489}</author>
    <author>tc={769730FE-0D5B-402B-9BE7-4BFF704696E9}</author>
    <author>tc={3CAECBBB-87D2-44D7-BF7F-88C81CDD59E5}</author>
    <author>tc={9B125A46-3B2C-4BEE-81F9-5BCD66A99029}</author>
    <author>tc={19DCF94F-1B56-4047-980D-6F8D84C25991}</author>
    <author>tc={4BB00ACA-3EF7-4CF6-BFAA-F31B4543E1D0}</author>
    <author>tc={497CA0CE-403C-404E-BF85-A9107EA146ED}</author>
    <author>tc={A7C09A18-CF27-4236-8C22-35E7706959CD}</author>
    <author>tc={4CF404F4-E24D-49A7-9CBF-3013C565BC98}</author>
    <author>tc={596DB311-00E8-4444-838F-0584911AB771}</author>
    <author>tc={1ADDABCB-9617-4595-9826-EA582BCA50AD}</author>
    <author>tc={E615E9CA-0CA6-44B2-8353-30FA728F1FCD}</author>
    <author>tc={F1189E92-5F2F-4345-9652-6FAAAA8BCA30}</author>
    <author>tc={A07EB3BF-E9AD-46C8-B4ED-5303E734D055}</author>
    <author>tc={A7FE1E43-D067-412D-828A-156020C6ECC5}</author>
    <author>tc={5B27D6FF-F3DF-4267-8352-4548BFF2D250}</author>
    <author>tc={4F3DB61E-6C34-4494-9F31-CE362D35B58A}</author>
    <author>tc={20AE8D34-5966-4EA3-BCD7-AA4EC8622BEC}</author>
    <author>tc={50D2B8F5-0A9C-456B-B65D-9656F8EDB77E}</author>
    <author>tc={B5135588-EABB-4940-BF08-878C0360C89F}</author>
    <author>tc={0362E57A-9B75-455B-AB51-8A6A35AA98B2}</author>
    <author>tc={21B9D201-80C6-4418-BC82-9E860C72B86D}</author>
    <author>tc={4CACB32F-03B5-4C9F-B0D8-72718EC0565C}</author>
    <author>tc={6BFA3DC3-BEBD-467D-BBE9-11B72EE2BDA2}</author>
    <author>tc={90E02DF0-14AC-43C8-AB08-BC72D771E969}</author>
    <author>tc={1CA15D5C-84A8-4A85-8D04-94BCF9C30D4C}</author>
    <author>tc={795CC667-F7C4-4CD1-9D0B-01523E4888F8}</author>
    <author>tc={F43557C1-4186-47BD-B1B2-C03D5CC5CEFF}</author>
    <author>tc={06F0FEC7-7AD8-4829-9330-5D7C33ECFCB8}</author>
    <author>tc={0F55F44A-EBED-4172-94B5-91B4D4BF2D06}</author>
    <author>tc={B817C78D-98BC-4BE1-AB3D-1BF0900E2E01}</author>
    <author>tc={8B6D9A06-BE1F-4F98-AF23-25C53C4A38D0}</author>
    <author>tc={16E4305C-85E5-47B3-A770-B78B5B0AA944}</author>
    <author>tc={3A678848-E95B-4F2E-A674-846DD330A8E6}</author>
    <author>tc={2F2ED026-F70D-4B3E-A3F2-C962F0561E35}</author>
    <author>tc={C7D86BCB-7C1C-4B07-8C82-4B7D133B1609}</author>
  </authors>
  <commentList>
    <comment ref="D7" authorId="0" shapeId="0" xr:uid="{00000000-0006-0000-0100-000001000000}">
      <text>
        <r>
          <rPr>
            <sz val="9"/>
            <color indexed="81"/>
            <rFont val="Tahoma"/>
            <family val="2"/>
          </rPr>
          <t xml:space="preserve">This is colmun is typically used to refer to the URS or RFP requirement number
</t>
        </r>
      </text>
    </comment>
    <comment ref="G11" authorId="1" shapeId="0" xr:uid="{729F79BF-F082-4FBE-96C8-CC8AE68E0A3E}">
      <text>
        <t>[Threaded comment]
Your version of Excel allows you to read this threaded comment; however, any edits to it will get removed if the file is opened in a newer version of Excel. Learn more: https://go.microsoft.com/fwlink/?linkid=870924
Comment:
    It should be used also for standard testing. Ex: Truck RM, 903 - IPQC, non MES plants. Need a configuration to identify these scenarios</t>
      </text>
    </comment>
    <comment ref="G13" authorId="2" shapeId="0" xr:uid="{4FB76A7B-A7CD-4355-AE9C-EC4334F58A9B}">
      <text>
        <t>[Threaded comment]
Your version of Excel allows you to read this threaded comment; however, any edits to it will get removed if the file is opened in a newer version of Excel. Learn more: https://go.microsoft.com/fwlink/?linkid=870924
Comment:
    System shall be able to create sample based on events scheduled within QCLAD</t>
      </text>
    </comment>
    <comment ref="G14" authorId="3" shapeId="0" xr:uid="{BD5FB6BE-00B4-4069-B97E-122A33109E29}">
      <text>
        <t>[Threaded comment]
Your version of Excel allows you to read this threaded comment; however, any edits to it will get removed if the file is opened in a newer version of Excel. Learn more: https://go.microsoft.com/fwlink/?linkid=870924
Comment:
    Which has an inspection lot(automatic)</t>
      </text>
    </comment>
    <comment ref="G24" authorId="4" shapeId="0" xr:uid="{467F8052-B7A6-4CC5-8197-A900E1976EF0}">
      <text>
        <t>[Threaded comment]
Your version of Excel allows you to read this threaded comment; however, any edits to it will get removed if the file is opened in a newer version of Excel. Learn more: https://go.microsoft.com/fwlink/?linkid=870924
Comment:
    Date and time</t>
      </text>
    </comment>
    <comment ref="G26" authorId="5" shapeId="0" xr:uid="{37C3D7D9-2FB3-468C-89D9-CC58284D8AE8}">
      <text>
        <t>[Threaded comment]
Your version of Excel allows you to read this threaded comment; however, any edits to it will get removed if the file is opened in a newer version of Excel. Learn more: https://go.microsoft.com/fwlink/?linkid=870924
Comment:
    Need to add a mandatory comment for the cancellation.</t>
      </text>
    </comment>
    <comment ref="G29" authorId="6" shapeId="0" xr:uid="{45E9C921-298E-45C5-9841-90E783E1BFFB}">
      <text>
        <t>[Threaded comment]
Your version of Excel allows you to read this threaded comment; however, any edits to it will get removed if the file is opened in a newer version of Excel. Learn more: https://go.microsoft.com/fwlink/?linkid=870924
Comment:
    Do we need to mention some examples of configurable attributes  to ensure both teams are on same page?
Reply:
    Thermofisher will provide the details for henkel to choose</t>
      </text>
    </comment>
    <comment ref="G33" authorId="7" shapeId="0" xr:uid="{419760AC-D436-4676-80E6-A4EBDC46B3C4}">
      <text>
        <t>[Threaded comment]
Your version of Excel allows you to read this threaded comment; however, any edits to it will get removed if the file is opened in a newer version of Excel. Learn more: https://go.microsoft.com/fwlink/?linkid=870924
Comment:
    Sampling plan should be from QCLaD sop but not from SAP. What to test and skip lot rule need to pulled from SAP. How to test is from SOP.
Reply:
    Need discussion
Reply:
    Confirmed</t>
      </text>
    </comment>
    <comment ref="G37" authorId="8" shapeId="0" xr:uid="{371531C1-B2C6-41F8-BB05-87632D51E4E4}">
      <text>
        <t>[Threaded comment]
Your version of Excel allows you to read this threaded comment; however, any edits to it will get removed if the file is opened in a newer version of Excel. Learn more: https://go.microsoft.com/fwlink/?linkid=870924
Comment:
    Provision for traceability of split samples with a parent sample should be available</t>
      </text>
    </comment>
    <comment ref="G41" authorId="9" shapeId="0" xr:uid="{7DC27EA6-1670-4B52-966E-3D635B2304C0}">
      <text>
        <t>[Threaded comment]
Your version of Excel allows you to read this threaded comment; however, any edits to it will get removed if the file is opened in a newer version of Excel. Learn more: https://go.microsoft.com/fwlink/?linkid=870924
Comment:
    Should be access driven, only specific users with right roles can create or modify</t>
      </text>
    </comment>
    <comment ref="G43" authorId="10" shapeId="0" xr:uid="{8CC714BC-1AD9-44A0-823F-887B71383516}">
      <text>
        <t>[Threaded comment]
Your version of Excel allows you to read this threaded comment; however, any edits to it will get removed if the file is opened in a newer version of Excel. Learn more: https://go.microsoft.com/fwlink/?linkid=870924
Comment:
    If the test is failed and need to retest - Based on the sample number, multiple inspection points to be created in SAP for all standard testing flows. This is to record all failure as well as success of parameters in SAP.</t>
      </text>
    </comment>
    <comment ref="I45" authorId="11" shapeId="0" xr:uid="{222FAC87-BCE2-44F9-BEA6-B4C5DA84A5EF}">
      <text>
        <t>[Threaded comment]
Your version of Excel allows you to read this threaded comment; however, any edits to it will get removed if the file is opened in a newer version of Excel. Learn more: https://go.microsoft.com/fwlink/?linkid=870924
Comment:
    Why is this item customisation as it is standard functionality
Reply:
    All with interface is customisation for us</t>
      </text>
    </comment>
    <comment ref="G49" authorId="12" shapeId="0" xr:uid="{109981BB-82A0-4CAD-9EDA-91CD33533368}">
      <text>
        <t>[Threaded comment]
Your version of Excel allows you to read this threaded comment; however, any edits to it will get removed if the file is opened in a newer version of Excel. Learn more: https://go.microsoft.com/fwlink/?linkid=870924
Comment:
    Specification limit to be pulled from SAP inspection plan</t>
      </text>
    </comment>
    <comment ref="G57" authorId="13" shapeId="0" xr:uid="{6A0F841E-4A63-4BFF-A708-42D3B983D456}">
      <text>
        <t>[Threaded comment]
Your version of Excel allows you to read this threaded comment; however, any edits to it will get removed if the file is opened in a newer version of Excel. Learn more: https://go.microsoft.com/fwlink/?linkid=870924
Comment:
    It can be barcode or QRCode</t>
      </text>
    </comment>
    <comment ref="G67" authorId="14" shapeId="0" xr:uid="{299161BF-D327-4500-A060-0D9640AFD2FD}">
      <text>
        <t>[Threaded comment]
Your version of Excel allows you to read this threaded comment; however, any edits to it will get removed if the file is opened in a newer version of Excel. Learn more: https://go.microsoft.com/fwlink/?linkid=870924
Comment:
    It is the same thing with non-routine testing raised by non-QCLaD users.</t>
      </text>
    </comment>
    <comment ref="G68" authorId="15" shapeId="0" xr:uid="{65885E7F-6A19-4E3F-8500-5D08164C0A17}">
      <text>
        <t>[Threaded comment]
Your version of Excel allows you to read this threaded comment; however, any edits to it will get removed if the file is opened in a newer version of Excel. Learn more: https://go.microsoft.com/fwlink/?linkid=870924
Comment:
    Sample receipt and test as per the workflow. Sample receipt will start with label scanning.</t>
      </text>
    </comment>
    <comment ref="G70" authorId="16" shapeId="0" xr:uid="{4BED2916-50C0-49B8-9285-942B4378BB28}">
      <text>
        <t>[Threaded comment]
Your version of Excel allows you to read this threaded comment; however, any edits to it will get removed if the file is opened in a newer version of Excel. Learn more: https://go.microsoft.com/fwlink/?linkid=870924
Comment:
    What all attributes can be modified should be configurable and access driven.</t>
      </text>
    </comment>
    <comment ref="G77" authorId="17" shapeId="0" xr:uid="{C48417D0-2C2B-471B-B6E5-5BE5D20DF471}">
      <text>
        <t>[Threaded comment]
Your version of Excel allows you to read this threaded comment; however, any edits to it will get removed if the file is opened in a newer version of Excel. Learn more: https://go.microsoft.com/fwlink/?linkid=870924
Comment:
    For RM, in case CoA data already available in SAP inspection lot, the details should be displayed even if the data entry is not required in QCLAD
Reply:
    Details: Data recorded within inspection lot, MIC, Spec, Test result</t>
      </text>
    </comment>
    <comment ref="G79" authorId="18" shapeId="0" xr:uid="{5029E3CD-098A-4A75-8691-9892D9F43600}">
      <text>
        <t>[Threaded comment]
Your version of Excel allows you to read this threaded comment; however, any edits to it will get removed if the file is opened in a newer version of Excel. Learn more: https://go.microsoft.com/fwlink/?linkid=870924
Comment:
    Please refer to the comments of 4.1.2.3.1</t>
      </text>
    </comment>
    <comment ref="G81" authorId="19" shapeId="0" xr:uid="{A67F6B7D-02B7-44D8-B666-5345B456A0B8}">
      <text>
        <t>[Threaded comment]
Your version of Excel allows you to read this threaded comment; however, any edits to it will get removed if the file is opened in a newer version of Excel. Learn more: https://go.microsoft.com/fwlink/?linkid=870924
Comment:
    The instructions of calculations, lab instruments to be pulled from SOP.
Reply:
    Approved by Thermofisher 2024/06/18</t>
      </text>
    </comment>
    <comment ref="G92" authorId="20" shapeId="0" xr:uid="{716B41BD-2928-4171-9F13-B037712FE949}">
      <text>
        <t>[Threaded comment]
Your version of Excel allows you to read this threaded comment; however, any edits to it will get removed if the file is opened in a newer version of Excel. Learn more: https://go.microsoft.com/fwlink/?linkid=870924
Comment:
    Multiple test, samples can be from different materials, material types(Raw material, Semi finished goods, finished goods)
Reply:
    Approved by Thermofisher 2024/06/18</t>
      </text>
    </comment>
    <comment ref="G96" authorId="21" shapeId="0" xr:uid="{145F7ED0-A851-4218-9DDF-18A4E56C8489}">
      <text>
        <t xml:space="preserve">[Threaded comment]
Your version of Excel allows you to read this threaded comment; however, any edits to it will get removed if the file is opened in a newer version of Excel. Learn more: https://go.microsoft.com/fwlink/?linkid=870924
Comment:
    Only for active samples. </t>
      </text>
    </comment>
    <comment ref="G99" authorId="22" shapeId="0" xr:uid="{769730FE-0D5B-402B-9BE7-4BFF704696E9}">
      <text>
        <t>[Threaded comment]
Your version of Excel allows you to read this threaded comment; however, any edits to it will get removed if the file is opened in a newer version of Excel. Learn more: https://go.microsoft.com/fwlink/?linkid=870924
Comment:
    What data to be captured need to be aligned with Henkel team
Reply:
    Need more discussion</t>
      </text>
    </comment>
    <comment ref="G115" authorId="23" shapeId="0" xr:uid="{3CAECBBB-87D2-44D7-BF7F-88C81CDD59E5}">
      <text>
        <t>[Threaded comment]
Your version of Excel allows you to read this threaded comment; however, any edits to it will get removed if the file is opened in a newer version of Excel. Learn more: https://go.microsoft.com/fwlink/?linkid=870924
Comment:
    Test method</t>
      </text>
    </comment>
    <comment ref="G118" authorId="24" shapeId="0" xr:uid="{9B125A46-3B2C-4BEE-81F9-5BCD66A99029}">
      <text>
        <t>[Threaded comment]
Your version of Excel allows you to read this threaded comment; however, any edits to it will get removed if the file is opened in a newer version of Excel. Learn more: https://go.microsoft.com/fwlink/?linkid=870924
Comment:
    Need to record the information who/what/when changed for audit purpose</t>
      </text>
    </comment>
    <comment ref="G123" authorId="25" shapeId="0" xr:uid="{19DCF94F-1B56-4047-980D-6F8D84C25991}">
      <text>
        <t>[Threaded comment]
Your version of Excel allows you to read this threaded comment; however, any edits to it will get removed if the file is opened in a newer version of Excel. Learn more: https://go.microsoft.com/fwlink/?linkid=870924
Comment:
    Recording one result should be 1 user responsibility but test can be started by one person and continued by another person.
Reply:
    Confimed with Thermofisher 2024/06/18</t>
      </text>
    </comment>
    <comment ref="G132" authorId="26" shapeId="0" xr:uid="{4BB00ACA-3EF7-4CF6-BFAA-F31B4543E1D0}">
      <text>
        <t>[Threaded comment]
Your version of Excel allows you to read this threaded comment; however, any edits to it will get removed if the file is opened in a newer version of Excel. Learn more: https://go.microsoft.com/fwlink/?linkid=870924
Comment:
    Peer review should be configurable at material group level
Reply:
    There should be configurable option.</t>
      </text>
    </comment>
    <comment ref="G148" authorId="27" shapeId="0" xr:uid="{497CA0CE-403C-404E-BF85-A9107EA146ED}">
      <text>
        <t>[Threaded comment]
Your version of Excel allows you to read this threaded comment; however, any edits to it will get removed if the file is opened in a newer version of Excel. Learn more: https://go.microsoft.com/fwlink/?linkid=870924
Comment:
    Return to tester - reviewer should be able to select the operator and sample status have to be changed back to test status</t>
      </text>
    </comment>
    <comment ref="G155" authorId="28" shapeId="0" xr:uid="{A7C09A18-CF27-4236-8C22-35E7706959CD}">
      <text>
        <t>[Threaded comment]
Your version of Excel allows you to read this threaded comment; however, any edits to it will get removed if the file is opened in a newer version of Excel. Learn more: https://go.microsoft.com/fwlink/?linkid=870924
Comment:
    Ok</t>
      </text>
    </comment>
    <comment ref="G173" authorId="29" shapeId="0" xr:uid="{4CF404F4-E24D-49A7-9CBF-3013C565BC98}">
      <text>
        <t>[Threaded comment]
Your version of Excel allows you to read this threaded comment; however, any edits to it will get removed if the file is opened in a newer version of Excel. Learn more: https://go.microsoft.com/fwlink/?linkid=870924
Comment:
    Loading of reports should be in seconds. If user selects a range which will take time system should give warning of response time so that user can change the date range or wait for the delay</t>
      </text>
    </comment>
    <comment ref="G181" authorId="30" shapeId="0" xr:uid="{596DB311-00E8-4444-838F-0584911AB771}">
      <text>
        <t>[Threaded comment]
Your version of Excel allows you to read this threaded comment; however, any edits to it will get removed if the file is opened in a newer version of Excel. Learn more: https://go.microsoft.com/fwlink/?linkid=870924
Comment:
    Or store the file in a configurable shared drive
Reply:
    Manually or automatically
Reply:
    Automatically to a sharefolder</t>
      </text>
    </comment>
    <comment ref="G260" authorId="31" shapeId="0" xr:uid="{1ADDABCB-9617-4595-9826-EA582BCA50AD}">
      <text>
        <t>[Threaded comment]
Your version of Excel allows you to read this threaded comment; however, any edits to it will get removed if the file is opened in a newer version of Excel. Learn more: https://go.microsoft.com/fwlink/?linkid=870924
Comment:
    Instead of twice a day, a alignment has happened between Henkel and Thermofisher we do automatical task assignment after any new samples received  in lab or  scheduled task based on the shift management.</t>
      </text>
    </comment>
    <comment ref="G300" authorId="32" shapeId="0" xr:uid="{E615E9CA-0CA6-44B2-8353-30FA728F1FCD}">
      <text>
        <t>[Threaded comment]
Your version of Excel allows you to read this threaded comment; however, any edits to it will get removed if the file is opened in a newer version of Excel. Learn more: https://go.microsoft.com/fwlink/?linkid=870924
Comment:
    For Type C and type D only manual entry. It should also override the results recorded from Type A and Type B in case there are any issues in data capture.</t>
      </text>
    </comment>
    <comment ref="G303" authorId="33" shapeId="0" xr:uid="{F1189E92-5F2F-4345-9652-6FAAAA8BCA30}">
      <text>
        <t xml:space="preserve">[Threaded comment]
Your version of Excel allows you to read this threaded comment; however, any edits to it will get removed if the file is opened in a newer version of Excel. Learn more: https://go.microsoft.com/fwlink/?linkid=870924
Comment:
    what is export readable file?
Reply:
    That means readable files generated by Type B instrument software should be exported to QCLaD for test result
Reply:
    If Type B instrument can generate a file, the integration should be possible. For Type A, there wont be any file
</t>
      </text>
    </comment>
    <comment ref="G315" authorId="34" shapeId="0" xr:uid="{A07EB3BF-E9AD-46C8-B4ED-5303E734D055}">
      <text>
        <t>[Threaded comment]
Your version of Excel allows you to read this threaded comment; however, any edits to it will get removed if the file is opened in a newer version of Excel. Learn more: https://go.microsoft.com/fwlink/?linkid=870924
Comment:
    System shall display standard cycle time, operator id who is performing the task, items consumed in the test process and its quantity. We also need to check whether it is possible to get actual cycle time of sample testing.
Reply:
    For cycle time of test under MIC level, the system should be able to compare standard cycle time to actual cycle time.
Reply:
    Update</t>
      </text>
    </comment>
    <comment ref="G317" authorId="35" shapeId="0" xr:uid="{A7FE1E43-D067-412D-828A-156020C6ECC5}">
      <text>
        <t>[Threaded comment]
Your version of Excel allows you to read this threaded comment; however, any edits to it will get removed if the file is opened in a newer version of Excel. Learn more: https://go.microsoft.com/fwlink/?linkid=870924
Comment:
    Ok</t>
      </text>
    </comment>
    <comment ref="G325" authorId="36" shapeId="0" xr:uid="{5B27D6FF-F3DF-4267-8352-4548BFF2D250}">
      <text>
        <t>[Threaded comment]
Your version of Excel allows you to read this threaded comment; however, any edits to it will get removed if the file is opened in a newer version of Excel. Learn more: https://go.microsoft.com/fwlink/?linkid=870924
Comment:
    Should be "click and view" the hyperlink as hyperlink url to be added in master data as part of SOP/workflow.
Reply:
    Updated</t>
      </text>
    </comment>
    <comment ref="G328" authorId="37" shapeId="0" xr:uid="{4F3DB61E-6C34-4494-9F31-CE362D35B58A}">
      <text>
        <t>[Threaded comment]
Your version of Excel allows you to read this threaded comment; however, any edits to it will get removed if the file is opened in a newer version of Excel. Learn more: https://go.microsoft.com/fwlink/?linkid=870924
Comment:
    System should allow scanning of labels or QR code from iPAD or tablet. 
Reply:
    Ipad cannot scan label or QR directly, need a tablet with a scanning camera.
Reply:
    What they mention tablet is a Ipad slightly bigger than the normal one for better handling and it has the scanning function. Henkel need to understand whether we can utilize the existing Ipads and scanning guns to realize the operation of QCLaD.</t>
      </text>
    </comment>
    <comment ref="G338" authorId="38" shapeId="0" xr:uid="{20AE8D34-5966-4EA3-BCD7-AA4EC8622BEC}">
      <text>
        <t>[Threaded comment]
Your version of Excel allows you to read this threaded comment; however, any edits to it will get removed if the file is opened in a newer version of Excel. Learn more: https://go.microsoft.com/fwlink/?linkid=870924
Comment:
    what does remote location means?
Reply:
    Maybe refer to client?
Reply:
    This is what we want to confirm with you . Our understanding is system support remote operation
Reply:
    Confirmed, the sample entry and test instrument  may not be in the same room.</t>
      </text>
    </comment>
    <comment ref="G351" authorId="39" shapeId="0" xr:uid="{50D2B8F5-0A9C-456B-B65D-9656F8EDB77E}">
      <text>
        <t>[Threaded comment]
Your version of Excel allows you to read this threaded comment; however, any edits to it will get removed if the file is opened in a newer version of Excel. Learn more: https://go.microsoft.com/fwlink/?linkid=870924
Comment:
    Resample will be taken from MES and a new unique sample ID will be received.
Reply:
    Disscussion next week</t>
      </text>
    </comment>
    <comment ref="G364" authorId="40" shapeId="0" xr:uid="{B5135588-EABB-4940-BF08-878C0360C89F}">
      <text>
        <t>[Threaded comment]
Your version of Excel allows you to read this threaded comment; however, any edits to it will get removed if the file is opened in a newer version of Excel. Learn more: https://go.microsoft.com/fwlink/?linkid=870924
Comment:
    We need to maintain a flag in material master data to identify whether the material result is captured by Ecoa or not. If yes, we only to display the results in SAP inspection lot. If no, the manual entry of SAP inspection result is required.
Reply:
    conifrmed</t>
      </text>
    </comment>
    <comment ref="G383" authorId="41" shapeId="0" xr:uid="{0362E57A-9B75-455B-AB51-8A6A35AA98B2}">
      <text>
        <t>[Threaded comment]
Your version of Excel allows you to read this threaded comment; however, any edits to it will get removed if the file is opened in a newer version of Excel. Learn more: https://go.microsoft.com/fwlink/?linkid=870924
Comment:
    Ok</t>
      </text>
    </comment>
    <comment ref="G415" authorId="42" shapeId="0" xr:uid="{21B9D201-80C6-4418-BC82-9E860C72B86D}">
      <text>
        <t>[Threaded comment]
Your version of Excel allows you to read this threaded comment; however, any edits to it will get removed if the file is opened in a newer version of Excel. Learn more: https://go.microsoft.com/fwlink/?linkid=870924
Comment:
    What is the question. What we are expecting is that the system calculate the details in a table format. Henkel can describe the details of each field in our plant visit.
Reply:
    Disscussion Next week</t>
      </text>
    </comment>
    <comment ref="G483" authorId="43" shapeId="0" xr:uid="{4CACB32F-03B5-4C9F-B0D8-72718EC0565C}">
      <text>
        <t>[Threaded comment]
Your version of Excel allows you to read this threaded comment; however, any edits to it will get removed if the file is opened in a newer version of Excel. Learn more: https://go.microsoft.com/fwlink/?linkid=870924
Comment:
    Specification and parameters have to be maintained in equipment master data whereas the details of spare parts, calibration and maintenance requirements to be available in their respective SOPs. 
Reply:
    Update</t>
      </text>
    </comment>
    <comment ref="G492" authorId="44" shapeId="0" xr:uid="{6BFA3DC3-BEBD-467D-BBE9-11B72EE2BDA2}">
      <text>
        <t>[Threaded comment]
Your version of Excel allows you to read this threaded comment; however, any edits to it will get removed if the file is opened in a newer version of Excel. Learn more: https://go.microsoft.com/fwlink/?linkid=870924
Comment:
    Instrument is out of scope in alerting users of expiry
Reply:
    Yes，update</t>
      </text>
    </comment>
    <comment ref="G494" authorId="45" shapeId="0" xr:uid="{90E02DF0-14AC-43C8-AB08-BC72D771E969}">
      <text>
        <t xml:space="preserve">[Threaded comment]
Your version of Excel allows you to read this threaded comment; however, any edits to it will get removed if the file is opened in a newer version of Excel. Learn more: https://go.microsoft.com/fwlink/?linkid=870924
Comment:
    System should not allow the user to take a testing task if the operator is not qualified
Reply:
    Agreed.
Reply:
    Update
</t>
      </text>
    </comment>
    <comment ref="G501" authorId="46" shapeId="0" xr:uid="{1CA15D5C-84A8-4A85-8D04-94BCF9C30D4C}">
      <text>
        <t>[Threaded comment]
Your version of Excel allows you to read this threaded comment; however, any edits to it will get removed if the file is opened in a newer version of Excel. Learn more: https://go.microsoft.com/fwlink/?linkid=870924
Comment:
    The fields for master data to be agreed by both teams
Reply:
    Agree</t>
      </text>
    </comment>
    <comment ref="G509" authorId="47" shapeId="0" xr:uid="{795CC667-F7C4-4CD1-9D0B-01523E4888F8}">
      <text>
        <t>[Threaded comment]
Your version of Excel allows you to read this threaded comment; however, any edits to it will get removed if the file is opened in a newer version of Excel. Learn more: https://go.microsoft.com/fwlink/?linkid=870924
Comment:
    User's training module should be a part of OSDP. It is out of scope based on our pre-alignment with Anson</t>
      </text>
    </comment>
    <comment ref="G517" authorId="48" shapeId="0" xr:uid="{F43557C1-4186-47BD-B1B2-C03D5CC5CEFF}">
      <text>
        <t>[Threaded comment]
Your version of Excel allows you to read this threaded comment; however, any edits to it will get removed if the file is opened in a newer version of Excel. Learn more: https://go.microsoft.com/fwlink/?linkid=870924
Comment:
    do we need to mention where all the custom calculations are required?
Reply:
    Custom calculations means there are some intermediate result for some tests. The final result should be calculated according to the intermediate results and a configurable formula.
Reply:
    We will reach an agreement during implementation.</t>
      </text>
    </comment>
    <comment ref="G521" authorId="49" shapeId="0" xr:uid="{06F0FEC7-7AD8-4829-9330-5D7C33ECFCB8}">
      <text>
        <t>[Threaded comment]
Your version of Excel allows you to read this threaded comment; however, any edits to it will get removed if the file is opened in a newer version of Excel. Learn more: https://go.microsoft.com/fwlink/?linkid=870924
Comment:
    what is multi level product specification? Do we need to mention the details?
Reply:
    Like internal spec for Summer and spec for winter.
Reply:
    We can omit multi-level product specification part.</t>
      </text>
    </comment>
    <comment ref="G530" authorId="50" shapeId="0" xr:uid="{0F55F44A-EBED-4172-94B5-91B4D4BF2D06}">
      <text>
        <t>[Threaded comment]
Your version of Excel allows you to read this threaded comment; however, any edits to it will get removed if the file is opened in a newer version of Excel. Learn more: https://go.microsoft.com/fwlink/?linkid=870924
Comment:
    do we also need maximum quantity?
Reply:
    Yes, for flammable and explosive reagents 
Reply:
    TF need to add maximum part also
Reply:
    update</t>
      </text>
    </comment>
    <comment ref="G537" authorId="51" shapeId="0" xr:uid="{B817C78D-98BC-4BE1-AB3D-1BF0900E2E01}">
      <text>
        <t>[Threaded comment]
Your version of Excel allows you to read this threaded comment; however, any edits to it will get removed if the file is opened in a newer version of Excel. Learn more: https://go.microsoft.com/fwlink/?linkid=870924
Comment:
    The understanding, by giving the material and batch, we should be able to retrieve the storage location for consumables, retain sample
Reply:
    Exactly
Reply:
    update</t>
      </text>
    </comment>
    <comment ref="G541" authorId="52" shapeId="0" xr:uid="{8B6D9A06-BE1F-4F98-AF23-25C53C4A38D0}">
      <text>
        <t>[Threaded comment]
Your version of Excel allows you to read this threaded comment; however, any edits to it will get removed if the file is opened in a newer version of Excel. Learn more: https://go.microsoft.com/fwlink/?linkid=870924
Comment:
    Stock solution is an intermediate solution created from two or more consumables
Reply:
    Yes</t>
      </text>
    </comment>
    <comment ref="G554" authorId="53" shapeId="0" xr:uid="{16E4305C-85E5-47B3-A770-B78B5B0AA944}">
      <text>
        <t xml:space="preserve">[Threaded comment]
Your version of Excel allows you to read this threaded comment; however, any edits to it will get removed if the file is opened in a newer version of Excel. Learn more: https://go.microsoft.com/fwlink/?linkid=870924
Comment:
    what is the basis of automatic assignment?
Reply:
    Can be found in task list
Reply:
    Solution preparation will also be maintained in skill matrix. </t>
      </text>
    </comment>
    <comment ref="G555" authorId="54" shapeId="0" xr:uid="{3A678848-E95B-4F2E-A674-846DD330A8E6}">
      <text>
        <t>[Threaded comment]
Your version of Excel allows you to read this threaded comment; however, any edits to it will get removed if the file is opened in a newer version of Excel. Learn more: https://go.microsoft.com/fwlink/?linkid=870924
Comment:
    need to add the maintenance of instruments in OSDP as one skill. This should be available for each equipment</t>
      </text>
    </comment>
    <comment ref="G558" authorId="55" shapeId="0" xr:uid="{2F2ED026-F70D-4B3E-A3F2-C962F0561E35}">
      <text>
        <t>[Threaded comment]
Your version of Excel allows you to read this threaded comment; however, any edits to it will get removed if the file is opened in a newer version of Excel. Learn more: https://go.microsoft.com/fwlink/?linkid=870924
Comment:
    GHS information to be pulled from SAP system
Reply:
    update</t>
      </text>
    </comment>
    <comment ref="G587" authorId="56" shapeId="0" xr:uid="{C7D86BCB-7C1C-4B07-8C82-4B7D133B1609}">
      <text>
        <t>[Threaded comment]
Your version of Excel allows you to read this threaded comment; however, any edits to it will get removed if the file is opened in a newer version of Excel. Learn more: https://go.microsoft.com/fwlink/?linkid=870924
Comment:
    Lab, plant, region, globe level. Region and globe will have view access(lab and plant level can have edit and view access roles)</t>
      </text>
    </comment>
  </commentList>
</comments>
</file>

<file path=xl/sharedStrings.xml><?xml version="1.0" encoding="utf-8"?>
<sst xmlns="http://schemas.openxmlformats.org/spreadsheetml/2006/main" count="3738" uniqueCount="1552">
  <si>
    <t>Field</t>
  </si>
  <si>
    <t>Value</t>
  </si>
  <si>
    <t>Description</t>
  </si>
  <si>
    <t>Type</t>
  </si>
  <si>
    <t>Standard</t>
  </si>
  <si>
    <t>Population a record with values eg user roles, instruments, configuration times, login template</t>
  </si>
  <si>
    <t>Configure</t>
  </si>
  <si>
    <t>Altering the functionality of the standard product using in built tools e.g. Forms Designer, Workflow, new teables / fields</t>
  </si>
  <si>
    <t>Extension</t>
  </si>
  <si>
    <t>Extending the functionality of the standard produce with a service module / customer specific coding (C#, VGL) using the available triggers</t>
  </si>
  <si>
    <t>Customise</t>
  </si>
  <si>
    <t xml:space="preserve">Altering  functionality of the standard product using programming tools e.g. c# in a supportable way as enabled by the SampleManager product architecture </t>
  </si>
  <si>
    <t>Note: Where the type is out of scope it means that there is no additional effort for Thermo Fisher, if the priority is won't then already agreed requirement is not needed by BRB, if Must, Should or Could the functionality already exists or else the  effort will be with QLD DAF.</t>
  </si>
  <si>
    <t>Out of scope</t>
  </si>
  <si>
    <t>This is outside of the scope of the project effort to be delivered by ThermoFisher resource</t>
  </si>
  <si>
    <t>Priority</t>
  </si>
  <si>
    <t>Wont</t>
  </si>
  <si>
    <t>Will not be included in the project</t>
  </si>
  <si>
    <t>Should</t>
  </si>
  <si>
    <t>Recommended to include in the scope</t>
  </si>
  <si>
    <t>Could</t>
  </si>
  <si>
    <t>Could be included if business benefit is justified</t>
  </si>
  <si>
    <t>Must</t>
  </si>
  <si>
    <t>Must be in scope as agree by BRG or existing functionality to be replicated/maintained</t>
  </si>
  <si>
    <t>REQUIREMENTS TRACE MATRIX</t>
  </si>
  <si>
    <t xml:space="preserve">Document Ref: </t>
  </si>
  <si>
    <t>Appendix 01_Functional Requirements_LIMS - Thermo Fisher</t>
  </si>
  <si>
    <t xml:space="preserve">Version: </t>
  </si>
  <si>
    <t xml:space="preserve">Date: </t>
  </si>
  <si>
    <t>gathering
status</t>
  </si>
  <si>
    <t>Module</t>
  </si>
  <si>
    <t>Req. No.</t>
  </si>
  <si>
    <t>URS Ref.</t>
  </si>
  <si>
    <t xml:space="preserve">Delivery Phase </t>
  </si>
  <si>
    <t>Functional Area / Workshop</t>
  </si>
  <si>
    <t>Requirement</t>
  </si>
  <si>
    <t xml:space="preserve"> Standard RM test for Incoming</t>
  </si>
  <si>
    <t>Standard in process testing for semi finished and finished goods</t>
  </si>
  <si>
    <t>Standard finished goods outgoing test</t>
  </si>
  <si>
    <t xml:space="preserve"> Consumables incoming test</t>
  </si>
  <si>
    <t>package material incoming test</t>
  </si>
  <si>
    <t>instrument calibration sample test</t>
  </si>
  <si>
    <t>Test For MSA</t>
  </si>
  <si>
    <t xml:space="preserve"> Certification test for QC technician</t>
  </si>
  <si>
    <t>Test for SCMS/NCMR /CCMS investigation</t>
  </si>
  <si>
    <t>Test for NCMR-Shelf life extension</t>
  </si>
  <si>
    <t>Testing for Customer/Supplier/PD/TCS/Other sites/MOC/NPI / Improvement project</t>
  </si>
  <si>
    <t>Moving sample/material to storage location</t>
  </si>
  <si>
    <t>Perform skip lot testing</t>
  </si>
  <si>
    <t>X-Ref</t>
  </si>
  <si>
    <t>Owner</t>
  </si>
  <si>
    <t>Include</t>
  </si>
  <si>
    <t>Desing Idea</t>
  </si>
  <si>
    <t>Fields Tables</t>
  </si>
  <si>
    <t>Complexity</t>
  </si>
  <si>
    <t>P/Type</t>
  </si>
  <si>
    <t>Addresses Requirement</t>
  </si>
  <si>
    <t>Design Conclusion</t>
  </si>
  <si>
    <t>FDS Ref.</t>
  </si>
  <si>
    <t>Test Script Ref.</t>
  </si>
  <si>
    <t>Expanded Details/Comments</t>
  </si>
  <si>
    <t>Estimate</t>
  </si>
  <si>
    <t>complete</t>
    <phoneticPr fontId="6" type="noConversion"/>
  </si>
  <si>
    <t>4.1.1.1</t>
    <phoneticPr fontId="0" type="noConversion"/>
  </si>
  <si>
    <t>Sample Login/Sample Receipt</t>
  </si>
  <si>
    <t>The system shall provide functionality to log samples using configurable templates
In case of plants with Smart factory, Smart factory MES samples are collected in those application for standard testing
Samples have to be created using QCLaD for non-standard testing, and for sites where there is no MES or Smart factory.</t>
  </si>
  <si>
    <t>Sample</t>
  </si>
  <si>
    <t>R001</t>
  </si>
  <si>
    <t>4.1.1.1.1</t>
    <phoneticPr fontId="0" type="noConversion"/>
  </si>
  <si>
    <t>Phase A</t>
  </si>
  <si>
    <t>System shall be able to login samples using configurable templates</t>
  </si>
  <si>
    <t>Configuration</t>
  </si>
  <si>
    <t>ü</t>
  </si>
  <si>
    <t>x</t>
  </si>
  <si>
    <t>配置Sample entity template，需要添加字段</t>
  </si>
  <si>
    <t>complete</t>
  </si>
  <si>
    <t>4.1.1.1.2</t>
  </si>
  <si>
    <t>Mark</t>
  </si>
  <si>
    <t>Henkel offer the sample request template for reference.</t>
  </si>
  <si>
    <t>R002</t>
  </si>
  <si>
    <t>4.1.1.1.3</t>
  </si>
  <si>
    <t>System shall be able to create samples manually for standard testing.</t>
    <phoneticPr fontId="59" type="noConversion"/>
  </si>
  <si>
    <t>配置standard testing的工作流，如果要加其他特定功能，不好评估时间</t>
  </si>
  <si>
    <t>R003</t>
  </si>
  <si>
    <t>4.1.1.1.4</t>
    <phoneticPr fontId="0" type="noConversion"/>
  </si>
  <si>
    <t>System shall be able to create samples manually for non-standard testing.</t>
    <phoneticPr fontId="0" type="noConversion"/>
  </si>
  <si>
    <t>4.1.1.2</t>
    <phoneticPr fontId="0" type="noConversion"/>
  </si>
  <si>
    <t>The system shall provide functionality to log samples automatically based on trigger events in an external system or schedule</t>
  </si>
  <si>
    <t>Interface</t>
  </si>
  <si>
    <t>R004</t>
    <phoneticPr fontId="59" type="noConversion"/>
  </si>
  <si>
    <t>4.1.1.2.1</t>
    <phoneticPr fontId="0" type="noConversion"/>
  </si>
  <si>
    <t>System shall be able to receive inspection lot  from SAP and create sample and test.
Refer to 4.5.1.1</t>
  </si>
  <si>
    <t>Customisation</t>
  </si>
  <si>
    <t>SMIDI或定制开发接口</t>
    <phoneticPr fontId="0" type="noConversion"/>
  </si>
  <si>
    <t>R005</t>
  </si>
  <si>
    <t>4.1.1.2.2</t>
  </si>
  <si>
    <t>Phase B</t>
  </si>
  <si>
    <t>System shall be able to trigger a resample from MES.</t>
    <phoneticPr fontId="0" type="noConversion"/>
  </si>
  <si>
    <r>
      <t xml:space="preserve">定制开发接口，当MES触发ReSample操作时，调用QCLaD接口，将相应sample做Resample操作（重新生产一个新的sample）
</t>
    </r>
    <r>
      <rPr>
        <sz val="11"/>
        <color rgb="FFFF0000"/>
        <rFont val="Cambria"/>
        <family val="3"/>
        <charset val="134"/>
        <scheme val="major"/>
      </rPr>
      <t>样品登录是由SAP接口触发，那MES中触发resample,如何与QCLaD中的sample关联？</t>
    </r>
    <phoneticPr fontId="0" type="noConversion"/>
  </si>
  <si>
    <t>R006</t>
  </si>
  <si>
    <t>4.1.1.2.2</t>
    <phoneticPr fontId="0" type="noConversion"/>
  </si>
  <si>
    <t>System shall be able to create sample based on events scheduled within QCLAD.</t>
    <phoneticPr fontId="0" type="noConversion"/>
  </si>
  <si>
    <t>4.1.1.3</t>
    <phoneticPr fontId="0" type="noConversion"/>
  </si>
  <si>
    <t>The system shall assign a unique sample ID to each sample logged in
Unique id has to be pulled from sample label if exists and reuse. If it doesn’t exist, system can create one.</t>
    <phoneticPr fontId="6" type="noConversion"/>
  </si>
  <si>
    <t>R007</t>
    <phoneticPr fontId="59" type="noConversion"/>
  </si>
  <si>
    <t>4.1.1.3.1</t>
  </si>
  <si>
    <t>System shall assign a unique sample ID to each sample logged in.</t>
  </si>
  <si>
    <t>配置Sample Idtext的Syntax</t>
  </si>
  <si>
    <t>R008</t>
  </si>
  <si>
    <t>4.1.1.3.2</t>
  </si>
  <si>
    <t>System shall be able to scan the Labels from MES system and fetch unique ID.</t>
  </si>
  <si>
    <t>定制开发，样品在接收的时候，将MES的标签上的ID存在sample表中，与sample中的id对应</t>
    <phoneticPr fontId="6" type="noConversion"/>
  </si>
  <si>
    <t>4.1.1.3.3</t>
  </si>
  <si>
    <t>mark</t>
  </si>
  <si>
    <t>Henkel need to check label template with Dragon. ( offer QR code rule  )</t>
  </si>
  <si>
    <t>R009</t>
    <phoneticPr fontId="59" type="noConversion"/>
  </si>
  <si>
    <t>4.1.1.3.4</t>
  </si>
  <si>
    <t>System shall allow user to print QCLaD Labels if the Plant doesn’t use MES system.</t>
  </si>
  <si>
    <t>配置Label和菜单</t>
  </si>
  <si>
    <t>4.1.1.3.5</t>
  </si>
  <si>
    <t xml:space="preserve">mark </t>
    <phoneticPr fontId="6" type="noConversion"/>
  </si>
  <si>
    <t>Henkel already offered sample ID naming rules for non-standard Sample .(TF already provided sample ID naming rules examples)</t>
  </si>
  <si>
    <t>4.1.1.4</t>
  </si>
  <si>
    <t>The system shall provide functionality to capture the date and time of sample receipt</t>
  </si>
  <si>
    <t>R010</t>
    <phoneticPr fontId="59" type="noConversion"/>
  </si>
  <si>
    <t>4.1.1.4.1</t>
  </si>
  <si>
    <t>System shall be able to retrive the sample receive date and time.</t>
  </si>
  <si>
    <t>自带功能</t>
  </si>
  <si>
    <t>4.1.1.5</t>
  </si>
  <si>
    <t>R011</t>
    <phoneticPr fontId="59" type="noConversion"/>
  </si>
  <si>
    <t>4.1.1.5.1</t>
  </si>
  <si>
    <t>System shall be able to allow privileged users to cancel samples.</t>
  </si>
  <si>
    <t>配置权限</t>
  </si>
  <si>
    <t>R012</t>
    <phoneticPr fontId="59" type="noConversion"/>
  </si>
  <si>
    <t>4.1.1.5.2</t>
    <phoneticPr fontId="0" type="noConversion"/>
  </si>
  <si>
    <t>System shall be able to add a mandatory comment for the cancellation.</t>
    <phoneticPr fontId="0" type="noConversion"/>
  </si>
  <si>
    <t>4.1.1.6</t>
  </si>
  <si>
    <t>The system shall provide functionality to define configurable attributes for a sample which can be modified</t>
  </si>
  <si>
    <t>R013</t>
    <phoneticPr fontId="59" type="noConversion"/>
  </si>
  <si>
    <t>4.1.1.6.1</t>
  </si>
  <si>
    <t>System shall be able to define configurable attributes for a sample which can be modified.</t>
  </si>
  <si>
    <t>4.1.1.7</t>
  </si>
  <si>
    <t>The system shall provide functionality to allow the definition of sample types and sampling plans. This should include functionality to log in predefined batches of samples at one time in accordance with a defined sampling plan</t>
  </si>
  <si>
    <t>R014</t>
    <phoneticPr fontId="59" type="noConversion"/>
  </si>
  <si>
    <t>4.1.1.7.1</t>
  </si>
  <si>
    <t>System shall be able to allow the definition of sample types and test schedule.</t>
  </si>
  <si>
    <t>4.1.1.7.2</t>
  </si>
  <si>
    <t>Henkel need to check function of sample typle and sampling plans with Maline.
Re: sampling plan means sampling quantity</t>
  </si>
  <si>
    <t>R015</t>
    <phoneticPr fontId="59" type="noConversion"/>
  </si>
  <si>
    <t>4.1.1.7.3</t>
  </si>
  <si>
    <t>System shall be able to log in predefined batches of samples at one time in accordance with a defined sampling plan.</t>
  </si>
  <si>
    <t>在schedule中配置登样计划，需要配置schedule登样工作流</t>
  </si>
  <si>
    <t>4.1.1.8</t>
  </si>
  <si>
    <t>The system shall provide functionality to log in either single or multiple samples from the same batch</t>
  </si>
  <si>
    <t>R016</t>
    <phoneticPr fontId="59" type="noConversion"/>
  </si>
  <si>
    <t>4.1.1.8.1</t>
  </si>
  <si>
    <t>System shall be able to log in either single or multiple samples from the same batch.</t>
  </si>
  <si>
    <t>4.1.1.9</t>
  </si>
  <si>
    <t>The system shall provide functionality to manage ‘sample split’</t>
    <phoneticPr fontId="6" type="noConversion"/>
  </si>
  <si>
    <t>R017</t>
    <phoneticPr fontId="59" type="noConversion"/>
  </si>
  <si>
    <t>4.1.1.9.1</t>
  </si>
  <si>
    <t>The system shall be able to split samples.</t>
    <phoneticPr fontId="6" type="noConversion"/>
  </si>
  <si>
    <t>Security</t>
  </si>
  <si>
    <t>R018</t>
    <phoneticPr fontId="59" type="noConversion"/>
  </si>
  <si>
    <t>4.1.1.9.2</t>
    <phoneticPr fontId="0" type="noConversion"/>
  </si>
  <si>
    <t>System shall be able to display the traceability of split samples with a parent sample.</t>
    <phoneticPr fontId="0" type="noConversion"/>
  </si>
  <si>
    <t>4.1.1.10</t>
  </si>
  <si>
    <t>The system shall provide functionality to log non routine samples with the user selecting a pre-defined specification or manually assigning tests from a pre- defined test list</t>
  </si>
  <si>
    <t>R019</t>
    <phoneticPr fontId="6" type="noConversion"/>
  </si>
  <si>
    <t>4.1.1.10.1</t>
  </si>
  <si>
    <t xml:space="preserve">System shall be able to log in non routine samples. </t>
    <phoneticPr fontId="6" type="noConversion"/>
  </si>
  <si>
    <t>R020</t>
    <phoneticPr fontId="6" type="noConversion"/>
  </si>
  <si>
    <t>4.1.1.10.2</t>
  </si>
  <si>
    <t>System shall allow specific user to select specifications and test methods for non routine samples.</t>
  </si>
  <si>
    <t>4.1.1.11</t>
  </si>
  <si>
    <t>The system shall provide functionality to manage retesting of samples that have an adverse finding</t>
    <phoneticPr fontId="6" type="noConversion"/>
  </si>
  <si>
    <t>R021</t>
    <phoneticPr fontId="6" type="noConversion"/>
  </si>
  <si>
    <t>4.1.1.11.1</t>
  </si>
  <si>
    <t>system shall be able to retest.</t>
    <phoneticPr fontId="6" type="noConversion"/>
  </si>
  <si>
    <t>配置retest功能，retest具体如何实现待商榷</t>
  </si>
  <si>
    <t>R022</t>
    <phoneticPr fontId="6" type="noConversion"/>
  </si>
  <si>
    <t>4.1.1.11.2</t>
  </si>
  <si>
    <t>System shall be record all failure as well as success of parameters in QCLAD.</t>
  </si>
  <si>
    <t>R023</t>
    <phoneticPr fontId="6" type="noConversion"/>
  </si>
  <si>
    <t>4.1.1.11.3</t>
    <phoneticPr fontId="0" type="noConversion"/>
  </si>
  <si>
    <t>System shall be push all failure as well as success of parameters to SAP.
Refer to 4.5.1.7</t>
  </si>
  <si>
    <t>4.1.1.12</t>
  </si>
  <si>
    <t>The system shall provide functionality to manage re-samples and their association with the original sample</t>
  </si>
  <si>
    <t>R024</t>
    <phoneticPr fontId="6" type="noConversion"/>
  </si>
  <si>
    <t>4.1.1.12.1</t>
  </si>
  <si>
    <t>System shall be able to resample and association with the original sample.</t>
  </si>
  <si>
    <t>配置resample功能，字段与原sample 关联。 resample是不是和接口相关？</t>
  </si>
  <si>
    <t>4.1.1.13</t>
  </si>
  <si>
    <t>The system shall provide functionality to associate specification limits to the tests for a sample</t>
  </si>
  <si>
    <t>R025</t>
    <phoneticPr fontId="6" type="noConversion"/>
  </si>
  <si>
    <t>4.1.1.13.1</t>
  </si>
  <si>
    <t>System shall be able to associate MLP to the tests for a sample.</t>
  </si>
  <si>
    <t>R026</t>
    <phoneticPr fontId="6" type="noConversion"/>
  </si>
  <si>
    <t>4.1.1.13.2</t>
    <phoneticPr fontId="0" type="noConversion"/>
  </si>
  <si>
    <t>System shall be receive specification limit to be pulled from SAP.
Refer to 4.5.1.3</t>
  </si>
  <si>
    <t>mlp同步，SMIDI或定制开发接口</t>
    <phoneticPr fontId="0" type="noConversion"/>
  </si>
  <si>
    <t>4.1.1.14</t>
  </si>
  <si>
    <t>The system shall provide functionality to allow restriction of sample types or sample groups to specific user groups, specialist analysts and restriction can be modified during the sample life cycle</t>
    <phoneticPr fontId="6" type="noConversion"/>
  </si>
  <si>
    <t>R027</t>
    <phoneticPr fontId="6" type="noConversion"/>
  </si>
  <si>
    <t>4.1.1.14.1</t>
  </si>
  <si>
    <t>R028</t>
  </si>
  <si>
    <t>4.1.1.14.2</t>
  </si>
  <si>
    <t>System shall support modify specialist analysts and group restriction during the sample life cycle.</t>
  </si>
  <si>
    <t>配置修改测试人的按钮；在entity template中加一个group的修改项</t>
  </si>
  <si>
    <t>4.1.1.15</t>
  </si>
  <si>
    <t>The system shall provide the capability to enter free text information at Sample log-in</t>
  </si>
  <si>
    <t>R029</t>
    <phoneticPr fontId="6" type="noConversion"/>
  </si>
  <si>
    <t>4.1.1.15.1</t>
  </si>
  <si>
    <t>System shall be able to allow user to enter comments at Sample log-in.</t>
  </si>
  <si>
    <t>在entity  template中配置一个comment的字段</t>
  </si>
  <si>
    <t>4.1.1.16</t>
  </si>
  <si>
    <t>The system must be able to scan barcode information and transmit this information to the solution using an appropriate system</t>
  </si>
  <si>
    <t>R030</t>
    <phoneticPr fontId="6" type="noConversion"/>
  </si>
  <si>
    <t>4.1.1.16.1</t>
  </si>
  <si>
    <t>System shall be able to scan barcode or QRCode and match barcode or QRCode sample in QCLAD system.</t>
  </si>
  <si>
    <t>标准样品是MES标签，非标准样品是QCLaD标签</t>
    <phoneticPr fontId="0" type="noConversion"/>
  </si>
  <si>
    <t>4.1.1.17</t>
  </si>
  <si>
    <t>The system should be able to automatically login samples from a schedule or other systems (SAP, Henkel Smart Factory, MES)</t>
  </si>
  <si>
    <t>R031</t>
    <phoneticPr fontId="6" type="noConversion"/>
  </si>
  <si>
    <t>4.1.1.17.1</t>
  </si>
  <si>
    <t>System shall be automatically login samples from a schedule.</t>
  </si>
  <si>
    <t>R032</t>
  </si>
  <si>
    <t>4.1.1.17.2</t>
  </si>
  <si>
    <t>System shall be automatically login samples from SAP.
Refer to 4.5.1.1</t>
  </si>
  <si>
    <r>
      <t xml:space="preserve">SMIDI或定制开发接口
</t>
    </r>
    <r>
      <rPr>
        <sz val="11"/>
        <color rgb="FFFF0000"/>
        <rFont val="Cambria"/>
        <family val="3"/>
        <charset val="134"/>
        <scheme val="major"/>
      </rPr>
      <t>一个检验批是否只对应一个sample？
是否存在混检？</t>
    </r>
    <phoneticPr fontId="0" type="noConversion"/>
  </si>
  <si>
    <t>R033</t>
  </si>
  <si>
    <t>4.1.1.17.3</t>
  </si>
  <si>
    <t>System shall be automatically login samples from MES.</t>
  </si>
  <si>
    <t>定制开发接口，当MES需要登录样品的时候，调用QCLAD的接口，登录相应sample</t>
    <phoneticPr fontId="0" type="noConversion"/>
  </si>
  <si>
    <t>4.1.1.18</t>
  </si>
  <si>
    <t>The system shall provide functionality to allow entry / modification of attribute data at point of single or multiple sample receipt using configurable templates. 
For sites where there is labeling through MES, SFS or labelling solution, sample receipt has to be done by scanning the labels. 
For non MES/SFS sites, labels created from QCLAD to be used for scanning the sample receipt</t>
  </si>
  <si>
    <t>R034</t>
    <phoneticPr fontId="6" type="noConversion"/>
  </si>
  <si>
    <t>4.1.1.18.1</t>
  </si>
  <si>
    <t>Sytem shall be able to allow entry / modification of attribute data at point of single or multiple sample receipt using configurable templates.</t>
  </si>
  <si>
    <t>扫码收样时修改属性</t>
    <phoneticPr fontId="0" type="noConversion"/>
  </si>
  <si>
    <t>R035</t>
  </si>
  <si>
    <t>4.1.1.18.2</t>
  </si>
  <si>
    <t>System shall be able to receive sample by scanning MES label</t>
  </si>
  <si>
    <t>Report&amp;Label</t>
  </si>
  <si>
    <t>R036</t>
  </si>
  <si>
    <t>4.1.1.18.3</t>
  </si>
  <si>
    <t>System shall be able to create labels for sample scan receiving for non MES samples.</t>
  </si>
  <si>
    <t>配置标签</t>
  </si>
  <si>
    <t>4.1.1.19</t>
  </si>
  <si>
    <t>The system shall provide functionality to allow entry of any irregularities recorded and route sample according to laboratory business rules</t>
  </si>
  <si>
    <t>pending</t>
  </si>
  <si>
    <t>R037</t>
    <phoneticPr fontId="6" type="noConversion"/>
  </si>
  <si>
    <t>4.1.1.19.1</t>
  </si>
  <si>
    <t>The system shall provide functionality to allow entry of any irregularities recorded  sample according to laboratory business rules.</t>
  </si>
  <si>
    <t>R038</t>
  </si>
  <si>
    <t>4.1.1.19.2</t>
  </si>
  <si>
    <t xml:space="preserve">The system shall provide functionality to allow entry of any routine sample according to laboratory business rules. </t>
  </si>
  <si>
    <t>4.1.1.20</t>
  </si>
  <si>
    <t>The system shall provide functionality to allow users to change sample attributes after sample receipt</t>
  </si>
  <si>
    <t>4.1.1.20.1</t>
  </si>
  <si>
    <t>System shall allow users to modify sample attributes after sample receipt.</t>
    <phoneticPr fontId="6" type="noConversion"/>
  </si>
  <si>
    <t>用entity template配置可以修改的字段</t>
  </si>
  <si>
    <t>4.1.2.1</t>
    <phoneticPr fontId="0" type="noConversion"/>
  </si>
  <si>
    <t>Sample Testing/Results Entry</t>
  </si>
  <si>
    <t>The system shall provide two ways to assign works/tests to users:
i) Manually, Lab supervisor can allocate the work periodically based on requirements.
ii) Automatically, QCLaD arrange work based on pre-defined rules. The rule is Henkel customize, it can be configurable by Henkel site QC supervisor. The rule is based on Henkel resource (QC technician skill, workload, work shift and instrument availability, etc.); 
iii) function to support QC supervisor stop or modify auto assign task.
iv) capability to receive QC technician skills from Henkel Skill Matrix application for automatic task assignment in case the plant has configured Skill matrix application</t>
  </si>
  <si>
    <t>Assignment</t>
  </si>
  <si>
    <t>4.1.2.1.1</t>
    <phoneticPr fontId="0" type="noConversion"/>
  </si>
  <si>
    <t>System shall be able to assign tests to an operator manually or automatically.</t>
  </si>
  <si>
    <t>定制开发，手动分配参考PT功能</t>
    <phoneticPr fontId="0" type="noConversion"/>
  </si>
  <si>
    <t>4.1.2.1.2</t>
  </si>
  <si>
    <t>Automatically assigning details refer to 4.2.1.1 part.</t>
  </si>
  <si>
    <t>4.1.2.1.3</t>
  </si>
  <si>
    <t>System shall support to stop or modify auto assign task.</t>
    <phoneticPr fontId="6" type="noConversion"/>
  </si>
  <si>
    <r>
      <t>定制开发，修改任务的分配，手动分配，</t>
    </r>
    <r>
      <rPr>
        <sz val="11"/>
        <color rgb="FFFF0000"/>
        <rFont val="Cambria"/>
        <family val="3"/>
        <charset val="134"/>
        <scheme val="major"/>
      </rPr>
      <t>Stop是停止全局的自动分配？</t>
    </r>
    <phoneticPr fontId="0" type="noConversion"/>
  </si>
  <si>
    <t>4.1.2.1.4</t>
  </si>
  <si>
    <t>System shall be able to assign test based on the versatility matrix from OSDP system once integrated.</t>
    <phoneticPr fontId="6" type="noConversion"/>
  </si>
  <si>
    <t>定制开发接口，与培训信息表同步，单项集成，OSDP-&gt;QCLAD</t>
    <phoneticPr fontId="0" type="noConversion"/>
  </si>
  <si>
    <t>4.1.2.3</t>
    <phoneticPr fontId="0" type="noConversion"/>
  </si>
  <si>
    <t>The system shall provide functionality to reference all results data to the sample</t>
  </si>
  <si>
    <t>4.1.2.3.1</t>
    <phoneticPr fontId="0" type="noConversion"/>
  </si>
  <si>
    <t>System shall be able to display all results data to the sample.</t>
  </si>
  <si>
    <t>4.1.2.3.2</t>
  </si>
  <si>
    <t>System shall be able to retrive the result data in CoA data already available in SAP inspection lot.</t>
  </si>
  <si>
    <r>
      <t xml:space="preserve">定制开发，QCLAD抓取SAP的coa报告中的结果，存储在result表中
</t>
    </r>
    <r>
      <rPr>
        <sz val="11"/>
        <color rgb="FFFF0000"/>
        <rFont val="Cambria"/>
        <family val="3"/>
        <charset val="134"/>
        <scheme val="major"/>
      </rPr>
      <t>Sample、Test是QCLAD中已经存在的吗？</t>
    </r>
    <phoneticPr fontId="0" type="noConversion"/>
  </si>
  <si>
    <t>4.1.2.3.3</t>
  </si>
  <si>
    <t>System shall be able to display the Data recorded within inspection lot, MIC, Spec, Test result from the CoA in SAP even if the data entry is not required in QCLAD.</t>
  </si>
  <si>
    <t>4.1.2.4</t>
    <phoneticPr fontId="0" type="noConversion"/>
  </si>
  <si>
    <t>The system shall provide functionality to calculate results based on reported or recorded data entered against a sample and data obtained from values held externally to the QCLAD.
E.g., 1st step, QCLaD capture data from lab instruments (one or multiple instruments), 2nd step, the QCLaD calculate final result based on formular defined by Henkel site admin/user</t>
  </si>
  <si>
    <t>4.1.2.4.1</t>
    <phoneticPr fontId="0" type="noConversion"/>
  </si>
  <si>
    <t>System shall be able to calculate results based on reported or recorded data which from instruments.</t>
  </si>
  <si>
    <t>静态数据配置和仪器接口；计算结果是在仪器里做好的传过来的还是要在lims里计算</t>
  </si>
  <si>
    <t>4.1.2.5</t>
    <phoneticPr fontId="0" type="noConversion"/>
  </si>
  <si>
    <t>The system shall provide functionality to automatically check intermediate values (e.g., raw, recorded and reported data) and final results against specification limits and flag failures
Intermediate values: all data in whole testing process, e.g., raw data captured from instrument, recorded-data, data calculated by formular, reported data, data which push to SAP</t>
  </si>
  <si>
    <t>4.1.2.5.1</t>
    <phoneticPr fontId="0" type="noConversion"/>
  </si>
  <si>
    <t>涉及需要定制开发的功能，如推送SAP的数据登录，定制开发是会有日志记录，但其他的数据记录应该是系统标准功能</t>
  </si>
  <si>
    <t>4.1.2.5.2</t>
  </si>
  <si>
    <t>System shall be able to mark final results against specification limits and flag failures.</t>
  </si>
  <si>
    <t>MLP中配置超限规则</t>
  </si>
  <si>
    <t>4.1.2.6</t>
    <phoneticPr fontId="0" type="noConversion"/>
  </si>
  <si>
    <t>The system shall provide functionality to manage repeat testing</t>
    <phoneticPr fontId="6" type="noConversion"/>
  </si>
  <si>
    <t>4.1.2.6.1</t>
    <phoneticPr fontId="0" type="noConversion"/>
  </si>
  <si>
    <t>System shall be able to support to manage repeat testing.(e.g. entry multiple  results and then get max or min or average value)</t>
    <phoneticPr fontId="6" type="noConversion"/>
  </si>
  <si>
    <t>是需要在什么时候获取这些最大值最小值平均值？--结果中需要计算
求平均值时有需要去掉最大值最小值后求平均值；定制化公式</t>
    <phoneticPr fontId="0" type="noConversion"/>
  </si>
  <si>
    <t>4.1.2.7</t>
    <phoneticPr fontId="0" type="noConversion"/>
  </si>
  <si>
    <t>The system shall provide functionality to enable results entry for multiple tests performed on a single sample</t>
  </si>
  <si>
    <t>4.1.2.7.1</t>
    <phoneticPr fontId="0" type="noConversion"/>
  </si>
  <si>
    <t>System shall be able to support results entry for multiple tests performed on a single sample.</t>
  </si>
  <si>
    <t>4.1.2.8</t>
    <phoneticPr fontId="0" type="noConversion"/>
  </si>
  <si>
    <t>The system shall provide functionality to enable results entry for an individual test on a single sample</t>
  </si>
  <si>
    <t>4.1.2.8.1</t>
    <phoneticPr fontId="0" type="noConversion"/>
  </si>
  <si>
    <t>System shall be able to support results entry for an individual test on a single sample.</t>
  </si>
  <si>
    <t>4.1.2.9</t>
    <phoneticPr fontId="0" type="noConversion"/>
  </si>
  <si>
    <t>The system shall provide functionality to enable results entry for single or multiple tests performed on multiple samples
E.g., GC testing, auto-sampler for multiple samples (sequence must be followed), system support to entry single or multiple test result</t>
  </si>
  <si>
    <t>4.1.29.1</t>
    <phoneticPr fontId="0" type="noConversion"/>
  </si>
  <si>
    <t>System shall be able to support results entry for single or multiple tests performed on multiple samples.</t>
  </si>
  <si>
    <t>4.1.2.10</t>
    <phoneticPr fontId="0" type="noConversion"/>
  </si>
  <si>
    <t>The system shall provide functionality to verify entered results data (e.g., pH, sample color, specific gravity) against pre-set method limits
E.g., PH pre-set method limits is 0-14, result cannot be 15</t>
  </si>
  <si>
    <t>4.1.2.10.1</t>
  </si>
  <si>
    <t>System shall be able to verify entered results data (e.g., pH, sample color, specific gravity) against specification limits.</t>
  </si>
  <si>
    <t>4.1.2.11</t>
    <phoneticPr fontId="0" type="noConversion"/>
  </si>
  <si>
    <t>The system shall prevent the acceptance of partial or incomplete data entry for results and samples
E.g., one test has two parallel samples, system doesn’t allow to report data for only for one sample.</t>
  </si>
  <si>
    <t>4.1.2.11.1</t>
    <phoneticPr fontId="0" type="noConversion"/>
  </si>
  <si>
    <t>System shall be able to prevent the acceptance of partial or incomplete data entry for results and active samples.</t>
  </si>
  <si>
    <t>样品文件夹配置，没有完成的sample不出现</t>
  </si>
  <si>
    <t>4.1.2.12</t>
    <phoneticPr fontId="0" type="noConversion"/>
  </si>
  <si>
    <t>The system shall provide configurable screens aligned to analytical method steps with potential to lead the user through the operation in a step-by-step manner. This would facilitate data capture in real time
Can record time taken as well and have video instruction about how to do test.</t>
  </si>
  <si>
    <t>LES</t>
  </si>
  <si>
    <t>4.1.2.12.1</t>
    <phoneticPr fontId="0" type="noConversion"/>
  </si>
  <si>
    <t>System shall be able to provide configurable analytical method steps with potential to lead the user through the operation in a step-by-step manner.(LES module)</t>
  </si>
  <si>
    <t>IM Integartion</t>
  </si>
  <si>
    <t>4.1.2.12.2</t>
  </si>
  <si>
    <r>
      <t xml:space="preserve">System shall be able to capture </t>
    </r>
    <r>
      <rPr>
        <sz val="11"/>
        <color rgb="FFFF0000"/>
        <rFont val="Cambria"/>
        <family val="1"/>
        <scheme val="major"/>
      </rPr>
      <t>instrument</t>
    </r>
    <r>
      <rPr>
        <sz val="11"/>
        <rFont val="Cambria"/>
        <family val="1"/>
        <scheme val="major"/>
      </rPr>
      <t xml:space="preserve"> </t>
    </r>
    <r>
      <rPr>
        <sz val="11"/>
        <color rgb="FFFF0000"/>
        <rFont val="Cambria"/>
        <family val="1"/>
        <scheme val="major"/>
      </rPr>
      <t>data(for Type A) and report from  instrument (for Type B)</t>
    </r>
    <r>
      <rPr>
        <sz val="11"/>
        <rFont val="Cambria"/>
        <family val="1"/>
        <scheme val="major"/>
      </rPr>
      <t xml:space="preserve"> in real time.</t>
    </r>
  </si>
  <si>
    <t>4.1.2.12.3</t>
  </si>
  <si>
    <t>System shall be able to upload attachements(including video) in LES.</t>
  </si>
  <si>
    <t>4.1.2.12.4</t>
  </si>
  <si>
    <t>System shall be able to record start date and end date in LES.</t>
  </si>
  <si>
    <t>4.1.2.12.5</t>
    <phoneticPr fontId="0" type="noConversion"/>
  </si>
  <si>
    <t>Mark</t>
    <phoneticPr fontId="6" type="noConversion"/>
  </si>
  <si>
    <t>Video Size depends on Henkel service provided performance.</t>
  </si>
  <si>
    <t>4.1.2.13</t>
    <phoneticPr fontId="0" type="noConversion"/>
  </si>
  <si>
    <t>The system shall be able to accept numeric, qualified numeric, free text, characters, calculated values, file, Boolean and pre-defined list data entry</t>
  </si>
  <si>
    <t>4.1.2.13.1</t>
    <phoneticPr fontId="0" type="noConversion"/>
  </si>
  <si>
    <t>System shall be able to support multipe analysis type, including numeric, text, characters, calculated, file, Boolean and optional.</t>
  </si>
  <si>
    <t>4.1.2.14</t>
    <phoneticPr fontId="0" type="noConversion"/>
  </si>
  <si>
    <t xml:space="preserve">The system shall have the capability to receive data via manual input (for type C and D instrument and when type A and B malfunction), electronic transfer and instrument interface and indicate mode of entry
Instrument interface: get data from instrument directly. </t>
  </si>
  <si>
    <t>4.1.2.14.1</t>
    <phoneticPr fontId="0" type="noConversion"/>
  </si>
  <si>
    <t>System shall be able to entry result data manually.</t>
  </si>
  <si>
    <t>4.1.2.14.2</t>
  </si>
  <si>
    <t>System shall be able to entry result data via instrument automatically.</t>
  </si>
  <si>
    <t>Sweeper?</t>
    <phoneticPr fontId="0" type="noConversion"/>
  </si>
  <si>
    <t>4.1.2.15</t>
    <phoneticPr fontId="0" type="noConversion"/>
  </si>
  <si>
    <t>The system shall provide a way to manually upload files (Excel, CSV, Xps, xml, Jpg or Pdf format) for documentation</t>
  </si>
  <si>
    <t>4.1.2.15.1</t>
    <phoneticPr fontId="0" type="noConversion"/>
  </si>
  <si>
    <t>System shall support attachment format: Xps, txt, resx, repx, xml, rtf, jpg, jpeg, img, svg, doc, pdf, ico, png, lbl, resources, caf, csv, log, msg, smpkg.</t>
  </si>
  <si>
    <t>4.1.2.16</t>
    <phoneticPr fontId="0" type="noConversion"/>
  </si>
  <si>
    <t>The system shall be able to interface with the Henkel type A and B instruments.</t>
  </si>
  <si>
    <t>4.1.2.16.1</t>
    <phoneticPr fontId="0" type="noConversion"/>
  </si>
  <si>
    <t>System shall be able to interface with the Henkel type A and B instruments.</t>
  </si>
  <si>
    <t>Sweeper?</t>
  </si>
  <si>
    <t>4.1.2.17</t>
    <phoneticPr fontId="0" type="noConversion"/>
  </si>
  <si>
    <t xml:space="preserve">The system shall be able to automatically capture results from the Henkel type A and B instruments </t>
  </si>
  <si>
    <t>4.1.2.17.1</t>
    <phoneticPr fontId="0" type="noConversion"/>
  </si>
  <si>
    <t>System shall be able to automatically capture results from the Henkel type A and B instruments.</t>
  </si>
  <si>
    <t>4.1.2.18</t>
    <phoneticPr fontId="0" type="noConversion"/>
  </si>
  <si>
    <t xml:space="preserve">The system should have capability to map the equipment based on test. The equipment should be selected by system based on the test and equipment master data
In case of any change, the user can modify based on access </t>
  </si>
  <si>
    <t>4.1.2.18.1</t>
    <phoneticPr fontId="0" type="noConversion"/>
  </si>
  <si>
    <t>System shall be able to selecte equipments based on test method in LES.</t>
  </si>
  <si>
    <t>4.1.2.18.2</t>
  </si>
  <si>
    <t>System shall be able to allow authorized user to modify instruments in LES.</t>
  </si>
  <si>
    <t>4.1.2.19</t>
    <phoneticPr fontId="0" type="noConversion"/>
  </si>
  <si>
    <t>The system shall be able to protect the calculation template(s) for the final test results so that they cannot be changed by all users
The calculation template(s) to be controlled by user role/rights access</t>
  </si>
  <si>
    <t>4.1.2.19.1</t>
    <phoneticPr fontId="0" type="noConversion"/>
  </si>
  <si>
    <t>System shall only allow authorized users to modify calculation template in LES.</t>
  </si>
  <si>
    <t>4.1.2.19.2</t>
    <phoneticPr fontId="0" type="noConversion"/>
  </si>
  <si>
    <t>System shall support audit traceability in LES.</t>
  </si>
  <si>
    <t>4.1.2.20</t>
    <phoneticPr fontId="0" type="noConversion"/>
  </si>
  <si>
    <t>The system shall record the source of any entered data (e.g., instrument ID) and / or the user ID of any user entering data</t>
  </si>
  <si>
    <t>4.1.2.20.1</t>
    <phoneticPr fontId="0" type="noConversion"/>
  </si>
  <si>
    <t>The system shall record the source of any entered data (e.g., instrument ID) and / or the user ID of any user entering data.</t>
  </si>
  <si>
    <t>在LES中配置仪器选择，和结果抓取配置</t>
  </si>
  <si>
    <t>4.1.2.21</t>
    <phoneticPr fontId="0" type="noConversion"/>
  </si>
  <si>
    <t>The system shall provide the functionality to record multiple users against a test or result (e.g., if a test is performed by two analysts)
E.g., OHV test, GAP value and Acid value needed for OHV test, QCLaD allows different person conduct GAP and Acid value at same time and record data in QCLaD.</t>
  </si>
  <si>
    <t>4.1.2.21.1</t>
    <phoneticPr fontId="0" type="noConversion"/>
  </si>
  <si>
    <t>System shall be able to record multiple users against a test or result.</t>
  </si>
  <si>
    <t>4.1.2.22</t>
    <phoneticPr fontId="0" type="noConversion"/>
  </si>
  <si>
    <t>The system shall manage retesting without loss of original data</t>
  </si>
  <si>
    <t>4.1.2.22.1</t>
    <phoneticPr fontId="0" type="noConversion"/>
  </si>
  <si>
    <t>System shall be able to retest without loss of original data.</t>
  </si>
  <si>
    <t>在workflow里配置retest，同上</t>
  </si>
  <si>
    <t>4.1.2.23</t>
    <phoneticPr fontId="0" type="noConversion"/>
  </si>
  <si>
    <t>The system shall enforce entry of a justification if there is a retest / repeat</t>
  </si>
  <si>
    <t>4.1.2.23.1</t>
  </si>
  <si>
    <t>System shall be able to enforce entry of a justification if there is a retest/resample.</t>
  </si>
  <si>
    <t>在workflow里配置comment</t>
  </si>
  <si>
    <t>4.1.2.23.2</t>
  </si>
  <si>
    <t>system shall be able to record comment as mandatory and it is configurable.</t>
  </si>
  <si>
    <t>工作流配置弹窗，添加comments字段。
和retest设计相关，多次重测可能会覆盖comments</t>
  </si>
  <si>
    <t>4.1.2.24</t>
    <phoneticPr fontId="0" type="noConversion"/>
  </si>
  <si>
    <t>The system shall provide functionality to perform simple trend analysis at Results Entry to identify any atypical results and alert the user accordingly</t>
    <phoneticPr fontId="6" type="noConversion"/>
  </si>
  <si>
    <t>Out Of Scope</t>
  </si>
  <si>
    <t>4.1.2.24.1</t>
  </si>
  <si>
    <t>SQC is not in scope. Henkel need to check with Anson.</t>
  </si>
  <si>
    <t>4.1.2.25</t>
    <phoneticPr fontId="0" type="noConversion"/>
  </si>
  <si>
    <t>The system shall be configurable, at the test level, to enforce peer review by a different user to the user that entered the test results</t>
  </si>
  <si>
    <t>4.1.2.25.1</t>
    <phoneticPr fontId="0" type="noConversion"/>
  </si>
  <si>
    <t>System shall be able to enforce peer review by a different user at the material group level.</t>
  </si>
  <si>
    <t>在workflow里配置按钮，文件夹筛选</t>
  </si>
  <si>
    <t>4.1.2.25.2</t>
  </si>
  <si>
    <t>System shall be able to support peer review by configurable option.</t>
  </si>
  <si>
    <t>4.1.2.26</t>
    <phoneticPr fontId="0" type="noConversion"/>
  </si>
  <si>
    <t>The system shall allow the peer review of results by Single sample, Multi test and Multi sample, single test where required</t>
  </si>
  <si>
    <t>4.1.2.26.1</t>
    <phoneticPr fontId="0" type="noConversion"/>
  </si>
  <si>
    <t>System shall allow the peer review of results by Single sample, Multi test and Multi sample, single test where required.</t>
  </si>
  <si>
    <t>4.1.2.27</t>
    <phoneticPr fontId="0" type="noConversion"/>
  </si>
  <si>
    <t>The system must lock test data after peer review to prevent further modification except with appropriate permissions and audit trail</t>
  </si>
  <si>
    <t>4.1.2.27.1</t>
    <phoneticPr fontId="0" type="noConversion"/>
  </si>
  <si>
    <t>System shall prevent user from further modification on test data after peer review except authorized user and audit trail will be record.</t>
    <phoneticPr fontId="6" type="noConversion"/>
  </si>
  <si>
    <t>4.1.2.28</t>
    <phoneticPr fontId="0" type="noConversion"/>
  </si>
  <si>
    <t>The system shall provide planning tools to display and assess laboratory workload, including analyst, sample, instrument assignment and sample testing schedule.</t>
  </si>
  <si>
    <t>4.1.2.28.1</t>
  </si>
  <si>
    <t>Henkel need to offer dashboard template.</t>
  </si>
  <si>
    <t>Dashboard</t>
  </si>
  <si>
    <t>4.1.2.28.2</t>
  </si>
  <si>
    <t>System shall provide dashboard.</t>
    <phoneticPr fontId="6" type="noConversion"/>
  </si>
  <si>
    <t>4.1.3.1</t>
    <phoneticPr fontId="0" type="noConversion"/>
  </si>
  <si>
    <t>Authorization</t>
  </si>
  <si>
    <t>The system shall provide configurable functionality to approve individual results</t>
  </si>
  <si>
    <t>4.1.3.1.1</t>
    <phoneticPr fontId="0" type="noConversion"/>
  </si>
  <si>
    <t>System shall be able to approve individual results.</t>
  </si>
  <si>
    <t>4.1.3.1.2</t>
  </si>
  <si>
    <t>System shall be able to support configure approve option within workflow.</t>
  </si>
  <si>
    <t>4.1.3.2</t>
    <phoneticPr fontId="0" type="noConversion"/>
  </si>
  <si>
    <t>The system shall allow for the approval of single or multiple samples</t>
  </si>
  <si>
    <t>4.1.3.2.1</t>
    <phoneticPr fontId="0" type="noConversion"/>
  </si>
  <si>
    <t>System shall be able to approve single or multiple samples.</t>
  </si>
  <si>
    <t>4.1.3.3</t>
    <phoneticPr fontId="0" type="noConversion"/>
  </si>
  <si>
    <t>The system shall prevent users that have peer reviewed results from changing any data on the sample when authorize</t>
  </si>
  <si>
    <t>4.1.3.3.1</t>
    <phoneticPr fontId="0" type="noConversion"/>
  </si>
  <si>
    <t>System shall prevent user from further modification on test data after peer review.</t>
  </si>
  <si>
    <t>配置权限，文件夹控制</t>
  </si>
  <si>
    <t>4.1.3.3.2</t>
  </si>
  <si>
    <t>System shall be able to return test to tester if result need modification .</t>
  </si>
  <si>
    <t>配置workflow，加按钮，配文件夹</t>
  </si>
  <si>
    <t>4.1.3.3.3</t>
  </si>
  <si>
    <t>System shall be able to support return test to another operator.</t>
  </si>
  <si>
    <r>
      <t xml:space="preserve">新增退回人员字段，或者是更改分配人员字段
</t>
    </r>
    <r>
      <rPr>
        <sz val="11"/>
        <color rgb="FFFF0000"/>
        <rFont val="Cambria"/>
        <family val="3"/>
        <charset val="134"/>
        <scheme val="major"/>
      </rPr>
      <t>分配人员是否涉及统计任务量？</t>
    </r>
    <phoneticPr fontId="0" type="noConversion"/>
  </si>
  <si>
    <t>4.1.3.4</t>
    <phoneticPr fontId="0" type="noConversion"/>
  </si>
  <si>
    <t>The system shall provide configurable system approval functionality to automatically assign an authorization at test level and sample level.</t>
  </si>
  <si>
    <t>4.1.3.4.1</t>
    <phoneticPr fontId="0" type="noConversion"/>
  </si>
  <si>
    <t>System shall be able to configure system approval functionality at test level and sample level.</t>
  </si>
  <si>
    <t>配置inspection plan，添加按钮在 test level and sample level.</t>
  </si>
  <si>
    <t>4.1.3.5</t>
    <phoneticPr fontId="0" type="noConversion"/>
  </si>
  <si>
    <t>The system shall provide functionality for manual approval at test level, sample level</t>
  </si>
  <si>
    <t>4.1.3.5.1</t>
    <phoneticPr fontId="0" type="noConversion"/>
  </si>
  <si>
    <t>System shall be able to approval  manually at test level and sample level.</t>
  </si>
  <si>
    <t>4.1.3.6</t>
    <phoneticPr fontId="0" type="noConversion"/>
  </si>
  <si>
    <t>The system shall prevent the sample authorization with incomplete testing and alert defined users to the situation
Prevent the sample authorization means if the sample in one incomplete phase (e.g., Testing), it cannot go to next phase. Sample can only in one phase in QCLaD.</t>
  </si>
  <si>
    <t>4.1.3.6.1</t>
  </si>
  <si>
    <r>
      <t xml:space="preserve">System shall prevent the sample authorization with incomplete testing and alert defined users to the situation </t>
    </r>
    <r>
      <rPr>
        <sz val="11"/>
        <rFont val="Cambria"/>
        <family val="3"/>
        <charset val="134"/>
        <scheme val="major"/>
      </rPr>
      <t>in folder</t>
    </r>
    <r>
      <rPr>
        <sz val="11"/>
        <rFont val="Cambria"/>
        <family val="1"/>
        <scheme val="major"/>
      </rPr>
      <t>.</t>
    </r>
    <phoneticPr fontId="0" type="noConversion"/>
  </si>
  <si>
    <t>配置workflow，添加提醒</t>
  </si>
  <si>
    <t>4.1.3.6.2</t>
  </si>
  <si>
    <t>System shall only have one status of a sample in one time.</t>
  </si>
  <si>
    <t>4.1.3.7</t>
    <phoneticPr fontId="0" type="noConversion"/>
  </si>
  <si>
    <t>The system shall allow authorized users to change the status of a sample to allow controlled modifications or entry of data
E.g., QCLaD allows user to modify inspection plan of non-standard testing, inspection plan of standard test should come from SAP.</t>
  </si>
  <si>
    <t>4.1.3.7.1</t>
    <phoneticPr fontId="0" type="noConversion"/>
  </si>
  <si>
    <t>System shall allow authorized users to change the status of a sample to allow controlled modifications or entry data.</t>
  </si>
  <si>
    <t>权限配置</t>
  </si>
  <si>
    <t>4.1.3.8</t>
    <phoneticPr fontId="0" type="noConversion"/>
  </si>
  <si>
    <t>The system shall allow certain authorized users to change the proposed user for testing</t>
  </si>
  <si>
    <t>4.1.3.8.1</t>
    <phoneticPr fontId="0" type="noConversion"/>
  </si>
  <si>
    <t>System shall allow certain authorized users to change the proposed user for testing.</t>
  </si>
  <si>
    <t>权限配置，添加修改tester的按钮</t>
  </si>
  <si>
    <t>4.1.3.9</t>
    <phoneticPr fontId="0" type="noConversion"/>
  </si>
  <si>
    <t>The system shall provide a way to check and indicate the results/samples waiting for approval.</t>
  </si>
  <si>
    <t>4.1.3.9.1</t>
    <phoneticPr fontId="0" type="noConversion"/>
  </si>
  <si>
    <t>System shall provide a way to check and indicate the results/samples waiting for approval.</t>
  </si>
  <si>
    <t>配置查看界面</t>
  </si>
  <si>
    <t>4.1.4.1</t>
    <phoneticPr fontId="0" type="noConversion"/>
  </si>
  <si>
    <t>Reporting</t>
  </si>
  <si>
    <t>The system shall provide a reporting tool to have users to define report templates by themselves</t>
  </si>
  <si>
    <t>4.1.4.1.1</t>
    <phoneticPr fontId="0" type="noConversion"/>
  </si>
  <si>
    <t>System shall allow users to define report templates by themselves using reporting tool.</t>
  </si>
  <si>
    <t>4.1.4.10</t>
    <phoneticPr fontId="0" type="noConversion"/>
  </si>
  <si>
    <t>The system shall support to generate single sample report, multiple sample report, COA report etc.</t>
  </si>
  <si>
    <t>4.1.4.10.1</t>
    <phoneticPr fontId="0" type="noConversion"/>
  </si>
  <si>
    <t>System shall support to generate single sample report, multiple sample report, COA report.</t>
  </si>
  <si>
    <t>配置报告模板</t>
  </si>
  <si>
    <t>4.1.4.10.2</t>
  </si>
  <si>
    <t>Henkel need to offer all report template.</t>
  </si>
  <si>
    <t>4.1.4.11</t>
    <phoneticPr fontId="0" type="noConversion"/>
  </si>
  <si>
    <t>The system shall provide functionality to route the output of reports to screen, printer, file (CSV, XML) or email</t>
  </si>
  <si>
    <t>4.1.4.11.1</t>
    <phoneticPr fontId="0" type="noConversion"/>
  </si>
  <si>
    <t>System shall be able to route the output of reports to screen, printer, file (CSV, XML, PDF) or email.</t>
  </si>
  <si>
    <t>4.1.4.12</t>
    <phoneticPr fontId="0" type="noConversion"/>
  </si>
  <si>
    <t>The system shall provide functionality to generate reports in various formats (e.g., tabular, matrix, graphical or text)</t>
  </si>
  <si>
    <t>4.1.4.12.1</t>
    <phoneticPr fontId="0" type="noConversion"/>
  </si>
  <si>
    <t>System shall be able to support various formats (e.g., tabular, matrix, graphical or text) in report templates.</t>
  </si>
  <si>
    <t>4.1.4.13</t>
    <phoneticPr fontId="0" type="noConversion"/>
  </si>
  <si>
    <t>The systems performance must not be adversely affected by running reports</t>
  </si>
  <si>
    <t>4.1.4.13.1</t>
    <phoneticPr fontId="0" type="noConversion"/>
  </si>
  <si>
    <t>Systems performance must not be adversely affected by running reports.</t>
  </si>
  <si>
    <t>4.1.4.13.2</t>
  </si>
  <si>
    <t>System shall be able to give warning of response if user selects a range which will take time.</t>
  </si>
  <si>
    <t>4.1.4.14</t>
    <phoneticPr fontId="0" type="noConversion"/>
  </si>
  <si>
    <t>The system shall be capable of sending notifications and alert messages via electronic mail</t>
  </si>
  <si>
    <t>4.1.4.14.1</t>
    <phoneticPr fontId="0" type="noConversion"/>
  </si>
  <si>
    <t>System shall be able to send notifications and alert messages within folders.</t>
  </si>
  <si>
    <t>配置文件夹，或工作流触发internal message或邮件</t>
  </si>
  <si>
    <t>4.1.4.15</t>
    <phoneticPr fontId="0" type="noConversion"/>
  </si>
  <si>
    <t>The system shall be capable to generate Henkel customer requested CoA (certificate of analysis) report with customer’s template based on data in QCLaD system.
The system should have capability to allow site admin to create customer CoA template based on different customer requirements.
The system should have capability to send email with attachment to dedicate E-mail address based on master data configuration</t>
    <phoneticPr fontId="0" type="noConversion"/>
  </si>
  <si>
    <t>4.1.4.15.1</t>
    <phoneticPr fontId="0" type="noConversion"/>
  </si>
  <si>
    <t>System shall allow users to define report templates based on customer or product .</t>
    <phoneticPr fontId="6" type="noConversion"/>
  </si>
  <si>
    <t>4.1.4.15.2</t>
  </si>
  <si>
    <t>System shall allow user to create and modify report templates.</t>
  </si>
  <si>
    <t>4.1.4.15.3</t>
  </si>
  <si>
    <t>System shall allow user to update version for reprot templates.</t>
  </si>
  <si>
    <t>Notification</t>
  </si>
  <si>
    <t>4.1.4.15.4</t>
  </si>
  <si>
    <t>System shall be able to send email with attachment to dedicate E-mail address based on master data configuration or store the file in a configurable shared drive automatically.</t>
  </si>
  <si>
    <r>
      <t xml:space="preserve">定制开发，报告审批后的pdf文件存储到共享路径，将报告pdf文件加入邮件中发送；
</t>
    </r>
    <r>
      <rPr>
        <sz val="11"/>
        <color rgb="FFFF0000"/>
        <rFont val="Cambria"/>
        <family val="3"/>
        <charset val="134"/>
        <scheme val="major"/>
      </rPr>
      <t>什么时候触发发送？</t>
    </r>
    <r>
      <rPr>
        <sz val="11"/>
        <color theme="4"/>
        <rFont val="Cambria"/>
        <family val="1"/>
        <scheme val="major"/>
      </rPr>
      <t xml:space="preserve">
</t>
    </r>
  </si>
  <si>
    <t>4.1.4.2</t>
    <phoneticPr fontId="0" type="noConversion"/>
  </si>
  <si>
    <t>The text style or format in the text report shall be edible by the users.</t>
  </si>
  <si>
    <t>4.1.4.2.1</t>
    <phoneticPr fontId="0" type="noConversion"/>
  </si>
  <si>
    <t>System shall be able to provide editable text style or format in the text report.</t>
  </si>
  <si>
    <t>4.1.4.3</t>
    <phoneticPr fontId="0" type="noConversion"/>
  </si>
  <si>
    <t>The system must be able to report on the analyzed data at all levels (e.g., raw, recorded and reported analytical data)</t>
  </si>
  <si>
    <t>4.1.4.3.1</t>
    <phoneticPr fontId="0" type="noConversion"/>
  </si>
  <si>
    <t>System must be able to report on the analyzed data at all levels (e.g., raw, recorded and reported analytical data).</t>
  </si>
  <si>
    <t xml:space="preserve">配置report；不知道报告长啥样，不好评估 </t>
  </si>
  <si>
    <t>4.1.4.4</t>
    <phoneticPr fontId="0" type="noConversion"/>
  </si>
  <si>
    <t>The system shall collate results from multiple tests for each sample</t>
  </si>
  <si>
    <t>4.1.4.4.1</t>
    <phoneticPr fontId="0" type="noConversion"/>
  </si>
  <si>
    <t>System shall collate results from multiple tests for each sample.</t>
  </si>
  <si>
    <t>4.1.4.5</t>
    <phoneticPr fontId="0" type="noConversion"/>
  </si>
  <si>
    <t>The system shall be able to support to insert electrical signature, company logo, picture, trending chart, table etc. in the reports.</t>
  </si>
  <si>
    <t>4.1.4.5.1</t>
    <phoneticPr fontId="0" type="noConversion"/>
  </si>
  <si>
    <t>System shall be able to support to insert signature picture, company logo, picture, trending chart, table in the reports.</t>
    <phoneticPr fontId="6" type="noConversion"/>
  </si>
  <si>
    <t>4.1.4.5.2</t>
  </si>
  <si>
    <t>System shall be able to support end app insert handwritting signature by pad.</t>
  </si>
  <si>
    <t>4.1.4.6</t>
    <phoneticPr fontId="0" type="noConversion"/>
  </si>
  <si>
    <t>The system shall provide functionality to manually or automatically trigger a report in response to, e.g., workflow events, schedules</t>
  </si>
  <si>
    <t>4.1.4.6.1</t>
    <phoneticPr fontId="0" type="noConversion"/>
  </si>
  <si>
    <t>System shall provide functionality to manually or automatically trigger a report in response to workflow events.</t>
  </si>
  <si>
    <t>自动开报告，需求不复杂的话可以配置工作流</t>
  </si>
  <si>
    <t>4.1.4.7</t>
    <phoneticPr fontId="0" type="noConversion"/>
  </si>
  <si>
    <t>The system shall provide a library of pre-defined controlled reports</t>
  </si>
  <si>
    <t>4.1.4.7.1</t>
    <phoneticPr fontId="0" type="noConversion"/>
  </si>
  <si>
    <t>System shall be able to provide a library of report templates.</t>
  </si>
  <si>
    <t>配置文件夹</t>
  </si>
  <si>
    <t>4.1.4.8</t>
    <phoneticPr fontId="0" type="noConversion"/>
  </si>
  <si>
    <t xml:space="preserve">The system shall provide ability to generate analytical reports based on the data recorded in QCLAD like date time, QC operators details along with inspection </t>
  </si>
  <si>
    <t>4.1.4.8.1</t>
    <phoneticPr fontId="0" type="noConversion"/>
  </si>
  <si>
    <t>System shall be able to generate analytical reports based on the data recorded in QCLAD like date time, QC operators details along with inspection.</t>
  </si>
  <si>
    <t>4.1.4.9</t>
    <phoneticPr fontId="0" type="noConversion"/>
  </si>
  <si>
    <t>The system shall provide a way to generate and save “Test Report” template for generation and printing test report of other samples</t>
  </si>
  <si>
    <t>4.1.4.9.1</t>
    <phoneticPr fontId="0" type="noConversion"/>
  </si>
  <si>
    <t>System shall be able to generate and save “Test Report” template.</t>
  </si>
  <si>
    <t>4.1.4.9.2</t>
  </si>
  <si>
    <t>System shall be able to print test report of other samples based on templates.</t>
  </si>
  <si>
    <t>4.1.5.1</t>
    <phoneticPr fontId="0" type="noConversion"/>
  </si>
  <si>
    <t>Henkel Sample Type</t>
  </si>
  <si>
    <t xml:space="preserve">The system should be capable to manage all sample types in Henkel, including, 
Standard test sample to support production: raw material sample (ROH), semi-finish goods sample/ bulk sample (UNB &amp; UNF), finish goods sample (FER). 
Non-standard test sample: consumable, package material, instrument calibration sample, MSA test sample, CCMS/SCMS/NCMR investigation sample (QM notification Q1/Q2/Q3), special test sample (Testing for Customer/Supplier/PD/AE/Other sites/MOC/NPI / Improvement project), retain sample, etc.  </t>
  </si>
  <si>
    <t>4.1.5.1.1</t>
    <phoneticPr fontId="0" type="noConversion"/>
  </si>
  <si>
    <t>System shall be able to manage Standard RM test for Incoming workflow.</t>
  </si>
  <si>
    <t>配置workflow，需要先确认能否合并不同样品类型的Lifecycle wkflw</t>
  </si>
  <si>
    <t>4.1.5.1.2</t>
  </si>
  <si>
    <t>System shall be able to manage Standard in process testing for semi finished and finished goods workflow.</t>
  </si>
  <si>
    <t>配置workflow</t>
  </si>
  <si>
    <t>4.1.5.1.3</t>
  </si>
  <si>
    <t>System shall be able to manage Standard finished goods outgoing test workflow.</t>
  </si>
  <si>
    <t>4.1.5.1.4</t>
  </si>
  <si>
    <t>System shall be able to manage Consumables incoming test workflow.</t>
  </si>
  <si>
    <t>4.1.5.1.5</t>
  </si>
  <si>
    <t>System shall be able to manage package material incoming test workflow.</t>
  </si>
  <si>
    <t>4.1.5.1.6</t>
  </si>
  <si>
    <t>System shall be able to manage instrument calibration sample test workflow.</t>
  </si>
  <si>
    <t>4.1.5.1.7</t>
  </si>
  <si>
    <r>
      <t xml:space="preserve">System shall be able to manage test for </t>
    </r>
    <r>
      <rPr>
        <sz val="11"/>
        <color rgb="FFFF0000"/>
        <rFont val="Cambria"/>
        <family val="1"/>
        <scheme val="major"/>
      </rPr>
      <t>MSA</t>
    </r>
    <r>
      <rPr>
        <sz val="11"/>
        <rFont val="Cambria"/>
        <family val="1"/>
        <scheme val="major"/>
      </rPr>
      <t xml:space="preserve"> workflow.</t>
    </r>
  </si>
  <si>
    <t>4.1.5.1.8</t>
  </si>
  <si>
    <t>System shall be able to manage Certification test for QC technician workflow.</t>
  </si>
  <si>
    <t>4.1.5.1.9</t>
  </si>
  <si>
    <t>System shall be able to manage Test for SCMS/NCMR /CCMS investigation workflow.</t>
  </si>
  <si>
    <t>4.1.5.1.10</t>
  </si>
  <si>
    <t>System shall be able to manage Test for NCMR-Shelf life extension (RM, SFG, FG, Package material, consumble &amp; Instrument calibration sample) workflow.</t>
  </si>
  <si>
    <t>4.1.5.1.11</t>
  </si>
  <si>
    <t>System shall be able to manage Testing for Customer/Supplier/PD/TCS/Other sites/MOC/NPI / Improvement project (Including, Stability studies (shelf-life study, aging test, reliability test, etc.)) workflow.</t>
  </si>
  <si>
    <t>4.1.5.1.12</t>
  </si>
  <si>
    <t>System shall be able to manage Moving sample/material to storage location workflow.</t>
  </si>
  <si>
    <t>4.1.5.1.13</t>
  </si>
  <si>
    <t>System shall be able to manage Perform skip lot testing workflow.</t>
  </si>
  <si>
    <t>4.1.6.1</t>
    <phoneticPr fontId="0" type="noConversion"/>
  </si>
  <si>
    <t>Non-testing work requirements</t>
  </si>
  <si>
    <t>The system should be capable to maintain/arrange storage location of QC retain sample, consumables (reagent, etc.), spare parts. 
The system should be capable to maintain safety stock of consumables and spare parts, etc. 
The system should have field to maintain storage condition for retain samples, consumables and spare parts.
Send auto notification once the sample near expiration date based on configurable rule.
Send auto notification once it’s below safety stock of consumables and spare parts based on configurable rule.</t>
  </si>
  <si>
    <t>4.1.6.1.1</t>
    <phoneticPr fontId="0" type="noConversion"/>
  </si>
  <si>
    <t>System shall be able to maintain location.</t>
  </si>
  <si>
    <t>Stock</t>
  </si>
  <si>
    <t>4.1.6.1.2</t>
  </si>
  <si>
    <t>System shall be able to support QC retain sample, consumables and spare parts can select location.</t>
  </si>
  <si>
    <t>4.1.6.1.3</t>
  </si>
  <si>
    <t>System shall be able to maintain safety stock of consumables and spare parts.</t>
  </si>
  <si>
    <t>4.1.6.1.4</t>
  </si>
  <si>
    <t>System shall be able to maintain storage condition for retain samples, consumables and spare parts.</t>
  </si>
  <si>
    <t>4.1.6.1.5</t>
  </si>
  <si>
    <t>System shall support dashboard to display and mark in color once the sample near expiration date based on configurable rule.</t>
  </si>
  <si>
    <t>Standard；客户想要更多展示效果的dashboard，非系统自带</t>
  </si>
  <si>
    <t>4.1.6.1.6</t>
  </si>
  <si>
    <t>System shall support dashboard to display and mark in color once it’s below safety stock of consumables and spare parts based on configurable rule.</t>
  </si>
  <si>
    <t>4.1.6.1.7</t>
  </si>
  <si>
    <t>Henkel need to offer these dashboard templates.</t>
  </si>
  <si>
    <t>4.1.7.1</t>
    <phoneticPr fontId="0" type="noConversion"/>
  </si>
  <si>
    <t>Special testing requirement management</t>
  </si>
  <si>
    <t>The system should have capability to manage special test request (Testing for Customer/Supplier/PD/AE/Other sites/MOC/NPI / Improvement project, etc.)
The system shall be capable of allow QCLaD user and non-QCLaD users to raise test request. Non-QCLaD user should have required user credentials.
The system shall have capability to allow user to select which plant to conduct the test, which test needed, when is the expected complete date, etc.
System should have capability to allow QC supervisor to approve the test requirement.
System should have capability to enter results, report results, generate test report and send test report to requestor’s E-mail address.
System should have capability to track the test status, analysis test workload and show it on Dashboard.</t>
  </si>
  <si>
    <t>4.1.7.1.1</t>
  </si>
  <si>
    <t>System shall be able to manage external test request using non-standard testing workflow.(4.1.5.1.4-4.1.5.13)</t>
  </si>
  <si>
    <r>
      <t>给外部用户使用登录非标准测试，web端？</t>
    </r>
    <r>
      <rPr>
        <sz val="11"/>
        <color rgb="FFFF0000"/>
        <rFont val="Cambria"/>
        <family val="3"/>
        <charset val="134"/>
        <scheme val="major"/>
      </rPr>
      <t>后期决定方案</t>
    </r>
    <phoneticPr fontId="0" type="noConversion"/>
  </si>
  <si>
    <t>4.1.7.1.2</t>
  </si>
  <si>
    <t xml:space="preserve">System shall be able to allow QCLaD users to raise test request. </t>
  </si>
  <si>
    <t>配置workflow，手动登样</t>
  </si>
  <si>
    <t>4.1.7.1.3</t>
  </si>
  <si>
    <t>System shall be able to allow non-QCLaD users to raise test request(Both side need further discussion with Neelima)</t>
  </si>
  <si>
    <t>4.1.7.1.4</t>
  </si>
  <si>
    <t xml:space="preserve">System shall be able to use template to allow user to select plant, analysis,expected complete date and comments. </t>
    <phoneticPr fontId="6" type="noConversion"/>
  </si>
  <si>
    <t>为每个类型配置sample entity template</t>
  </si>
  <si>
    <t>4.1.7.1.5</t>
  </si>
  <si>
    <t>Henkel need to offer testing request templates.</t>
  </si>
  <si>
    <t>4.1.7.1.6</t>
  </si>
  <si>
    <t>System shall be able to allow QC supervisor to approve the test requirement.</t>
    <phoneticPr fontId="6" type="noConversion"/>
  </si>
  <si>
    <t>是否测试工单确认？配置workflow字段，文件夹筛选。</t>
  </si>
  <si>
    <t>4.1.7.1.7</t>
  </si>
  <si>
    <t>System shall be able to enter results, report results, generate test report and send test report to requestor’s E-mail address.</t>
  </si>
  <si>
    <r>
      <t>定制开发，在相应节点发送邮件给请求者，</t>
    </r>
    <r>
      <rPr>
        <sz val="11"/>
        <color rgb="FFFF0000"/>
        <rFont val="Cambria"/>
        <family val="3"/>
        <charset val="134"/>
        <scheme val="major"/>
      </rPr>
      <t>邮件内容含有附件吗？</t>
    </r>
    <phoneticPr fontId="0" type="noConversion"/>
  </si>
  <si>
    <t>4.1.7.1.8</t>
  </si>
  <si>
    <t xml:space="preserve">System shall be able to track the test status, analysis test workload and show it on Dashboard. </t>
  </si>
  <si>
    <t>定制开发Dashboard界面，</t>
    <phoneticPr fontId="0" type="noConversion"/>
  </si>
  <si>
    <t>4.1.7.1.9</t>
  </si>
  <si>
    <t>Henkel want to check the details of the test status. System shall support this.</t>
  </si>
  <si>
    <t>how detailed</t>
  </si>
  <si>
    <t>4.1.7.1.10</t>
  </si>
  <si>
    <t>Henkel need to offer Dashboard template about test status, analysis test workload.</t>
  </si>
  <si>
    <t>4.2.1.1</t>
  </si>
  <si>
    <t>Schedular</t>
  </si>
  <si>
    <t>Sample test schedule arrangement way: 
1. QC supervisor manual assign task to a user;  
2. QCLaD automatic assign task to a user based configured rule (pending test items of standard and non-standard sample, user testing skill, user and test instrument availability, sample status, SAP test skip lot rules, other pending QC works, e.g., calibration, MSA works, etc.).</t>
  </si>
  <si>
    <t>4.2.1.1.1</t>
    <phoneticPr fontId="0" type="noConversion"/>
  </si>
  <si>
    <t xml:space="preserve">System shall be able to have option for a sample preparation which may be required for some analysis. </t>
  </si>
  <si>
    <t>4.2.1.1.2</t>
  </si>
  <si>
    <t>System shall be able to assign preparation to an operator.</t>
  </si>
  <si>
    <t>配置功能</t>
  </si>
  <si>
    <t>4.2.1.1.3</t>
  </si>
  <si>
    <t>System shall be able to have multiple preparaiton for a analysis.</t>
  </si>
  <si>
    <t>定制开发，新增Test准备记录表，包含仪器字段</t>
    <phoneticPr fontId="0" type="noConversion"/>
  </si>
  <si>
    <t>4.2.1.1.4</t>
  </si>
  <si>
    <t>System shall be able to assign multiple instruments for preparation.</t>
  </si>
  <si>
    <t>4.2.1.1.5</t>
  </si>
  <si>
    <t>System shall be able to assign test to an operator for each test.</t>
  </si>
  <si>
    <t>4.2.1.1.6</t>
  </si>
  <si>
    <t>System shall be able to have standard time defined for each test assignment. This shall come from the master data to LIMS.</t>
  </si>
  <si>
    <t>配置字段</t>
  </si>
  <si>
    <t>4.2.1.1.7</t>
  </si>
  <si>
    <t>System shall allow to assign instrument from the list available for the lab for each test by the operator.</t>
  </si>
  <si>
    <t>Instrument</t>
  </si>
  <si>
    <t>4.2.1.1.8</t>
  </si>
  <si>
    <t>System shall be able to display all the instruments (typeA, typeB, type C, typeD) based on the location and method.</t>
  </si>
  <si>
    <t>4.2.1.1.9</t>
  </si>
  <si>
    <t>System shall be able to select instrument by scanning.</t>
  </si>
  <si>
    <t>配置标签模板</t>
  </si>
  <si>
    <t>4.2.1.1.10</t>
  </si>
  <si>
    <t>System shall be able to select multipe instruments in LES.</t>
  </si>
  <si>
    <t>4.2.1.1.11</t>
  </si>
  <si>
    <t>System shall be able to have option to manually override for the parameters captured.</t>
  </si>
  <si>
    <t>4.2.1.1.12</t>
  </si>
  <si>
    <t>自动分配任务详细规则？</t>
    <phoneticPr fontId="0" type="noConversion"/>
  </si>
  <si>
    <t>4.2.1.1.13</t>
  </si>
  <si>
    <t>System shall be able to assign test based on the sample status (Waiting to start).</t>
  </si>
  <si>
    <t>4.2.1.1.14</t>
  </si>
  <si>
    <t>System shall be able to auto assign for the current date based on the schedule configured.</t>
  </si>
  <si>
    <t>4.2.1.1.15</t>
  </si>
  <si>
    <t>System shall be able to monitor samples on a certain interval basis and assign it.</t>
  </si>
  <si>
    <t>4.2.1.1.16</t>
  </si>
  <si>
    <t>System shall be able to assign samples manually.</t>
  </si>
  <si>
    <t>4.2.1.1.17</t>
  </si>
  <si>
    <t>System shall be able to assign samples based on SAP test skip lot rules.</t>
  </si>
  <si>
    <t>跳批是由SAP处理，与QCLaD无关</t>
    <phoneticPr fontId="0" type="noConversion"/>
  </si>
  <si>
    <t>4.2.1.1.18</t>
  </si>
  <si>
    <t>System shall be able to assign samples based on other pending QC works.</t>
  </si>
  <si>
    <t>4.2.1.1.19</t>
  </si>
  <si>
    <t>Henkel team send us logical rule about the assign task automatically.</t>
  </si>
  <si>
    <t>4.2.1.1.20</t>
  </si>
  <si>
    <t>Henkel team send us the detail information thermofisher listed of OSDP.  Noted: Sync daily. (TF list the detail information (mapping fileds required) first)</t>
  </si>
  <si>
    <t>4.2.1.1.21</t>
  </si>
  <si>
    <t>System shall be able to maintain master data which mapping analysis and instrument type.</t>
  </si>
  <si>
    <t>4.2.1.2</t>
  </si>
  <si>
    <t>The system should allow Lab supervisor to determine sample test schedule arrangement way. And the system is capable of allow QC supervisor to stop automatic schedule and change it to manually.</t>
  </si>
  <si>
    <t>4.2.1.2.1</t>
  </si>
  <si>
    <t>System shall be able to modify schedule.</t>
  </si>
  <si>
    <t>4.2.1.3</t>
  </si>
  <si>
    <t>The system should have capability to allow QC Supervisor modify testing task sequence based on lab test priority.</t>
  </si>
  <si>
    <t>4.2.1.3.1</t>
  </si>
  <si>
    <t>System shall be able to allow key user modify task based on urgency test.</t>
  </si>
  <si>
    <t>配置字段和按钮</t>
  </si>
  <si>
    <t>4.2.1.4</t>
  </si>
  <si>
    <t>Standard testing Pre-schedule: The system should have capability to get SAP inspection lot immediately after release in SAP and prearrange testing schedule based on inspection lot sequence.</t>
  </si>
  <si>
    <t>4.2.1.4.1</t>
  </si>
  <si>
    <t>system shall be able to create tasks when SAP pushes inspection lot based on configurable interval and configurable start time.</t>
  </si>
  <si>
    <t>使用SMIDI则是特定频率登录sample，如果是定制开发结果，则是SAP推送则立即登录lot，没有频率概览</t>
  </si>
  <si>
    <t>4.2.1.4.2</t>
  </si>
  <si>
    <t>System shall be follow FIFO rules based on sample receiving date when assigning tasks.</t>
  </si>
  <si>
    <t>4.2.1.4.3</t>
  </si>
  <si>
    <t>System shall assign tasks before the inspection lot only for JIT materials. And the results shall be pushed to sap if inspection lot is created.</t>
    <phoneticPr fontId="0" type="noConversion"/>
  </si>
  <si>
    <r>
      <t xml:space="preserve">SMIDI或定制开发接口，将结果回传给SAP
JIT检验存在先有sample再有检验批，所以当检验批下发后需要与已创建的sample关联；
</t>
    </r>
    <r>
      <rPr>
        <sz val="11"/>
        <color rgb="FFFF0000"/>
        <rFont val="Cambria"/>
        <family val="3"/>
        <charset val="134"/>
        <scheme val="major"/>
      </rPr>
      <t>是否需要拆分两条？</t>
    </r>
    <phoneticPr fontId="0" type="noConversion"/>
  </si>
  <si>
    <t>Complete</t>
  </si>
  <si>
    <t>4.2.1.4.4</t>
  </si>
  <si>
    <t>frequency need to double confirm by TF and Henkel; to be confirmed.</t>
  </si>
  <si>
    <t>4.2.1.5</t>
  </si>
  <si>
    <t>Standard testing schedule: The system should have capability to determine inspection task sequence based on preschedule once the sample arrives.</t>
  </si>
  <si>
    <t>4.2.1.5.1</t>
  </si>
  <si>
    <t>System shall assign task based on priority rules once sample arrives.</t>
  </si>
  <si>
    <t>4.2.1.6</t>
  </si>
  <si>
    <t xml:space="preserve">Non-standard testing/non-label sample Pre-schedule:
 The system should be capable of prearrange test schedule based on test request sequence or based on calendar.
</t>
  </si>
  <si>
    <t>4.2.1.6.1</t>
  </si>
  <si>
    <t>System shall allow to create tasks based on calendar schedule.</t>
  </si>
  <si>
    <t>4.2.1.7</t>
  </si>
  <si>
    <t>Non-standard testing/non-label sample schedule:
 The system should be capable of determine testing schedule.
Check for sample location from QCLAD, if already available use the label in the sample and start testing process. In case, sample not available at QC and not having a label, QCLAD should print and start the process else use the sample to logging to QCLAD. 
 once sample is logged in, start testing process.</t>
    <phoneticPr fontId="0" type="noConversion"/>
  </si>
  <si>
    <t>4.2.1.7.1</t>
  </si>
  <si>
    <t>System shall allow user to print label by manually input the information.</t>
  </si>
  <si>
    <t>配置标签模板和按钮</t>
  </si>
  <si>
    <t>4.2.1.8</t>
  </si>
  <si>
    <t xml:space="preserve">System should be capable to maintain QC shift, user information to support scheduler feature. Number of shift and shift hour of each shift can be configurable by Lab supervisor.  </t>
  </si>
  <si>
    <t>4.2.1.8.1</t>
  </si>
  <si>
    <t>System shall allow user maintain master data for shift schedule by week. Number of shift and shift hour of each shift shall be configurable in the master data at plant level.</t>
  </si>
  <si>
    <t>定制开发，人员排班信息表，维护人员的每天的上下班时间</t>
    <phoneticPr fontId="0" type="noConversion"/>
  </si>
  <si>
    <t>4.2.1.8.2</t>
  </si>
  <si>
    <t>note: Henkel need offer shift template</t>
  </si>
  <si>
    <t>4.2.1.9</t>
  </si>
  <si>
    <t>The system should be capable to get/check user testing skill via Henkel’s skill matrix system and assign the right person.
In case if skill matrix not available or the supervisor wants to modify QCLAD’s task assignment system should allow manual assignment.</t>
    <phoneticPr fontId="0" type="noConversion"/>
  </si>
  <si>
    <t>4.2.1.9.1</t>
  </si>
  <si>
    <t>System shall check skill when assigning tasks to operator.</t>
  </si>
  <si>
    <t>手动或自动分配任务时，人员的选择只能选择具有该任务技能的人员，存在工厂没有OSDP系统，则跳过技能筛序；</t>
    <phoneticPr fontId="0" type="noConversion"/>
  </si>
  <si>
    <t>4.2.1.9.2</t>
  </si>
  <si>
    <t xml:space="preserve">System shall be able to support skill shall be sync with OSDP system if there is OSDP in plant.
Refer to 4.5.1.14 </t>
  </si>
  <si>
    <t>定制开发接口，将OSDP的信息同步到QCLAD中的培训信息表中</t>
    <phoneticPr fontId="0" type="noConversion"/>
  </si>
  <si>
    <t>4.2.1.9.3</t>
  </si>
  <si>
    <t>System shall allow user to rearrange task manually.</t>
  </si>
  <si>
    <t>配置按钮</t>
  </si>
  <si>
    <t>4.2.1.10</t>
  </si>
  <si>
    <t>For standard and non-standard testing, test status should be showed on dashboard, the detailed information, including the inspection lot(standard test), test request#(non-standard test), product number, product name,  batch#, user ID, etc. 
The detailed information can be reviewed when click status/inspection lot.</t>
  </si>
  <si>
    <t>4.2.1.10.1</t>
  </si>
  <si>
    <t>System shall have dashboard which display tests, test status, product number, product name,  batch number, user ID. inspection lot, inspection lot(standard test), test. request#(non-standard test)</t>
  </si>
  <si>
    <t>Customisation</t>
    <phoneticPr fontId="0" type="noConversion"/>
  </si>
  <si>
    <t>标准功能即可实现</t>
    <phoneticPr fontId="0" type="noConversion"/>
  </si>
  <si>
    <t>4.2.1.10.2</t>
  </si>
  <si>
    <t>Henkel offer dashboard template, Tony</t>
  </si>
  <si>
    <t>4.2.1.11</t>
  </si>
  <si>
    <t>The system should be capable of arrange test schedule for scheduled tests (shelf life study, aging test, etc.) based on test schedule @ specific frequency as monthly, weekly, specific time on every day...</t>
  </si>
  <si>
    <t>4.2.1.11.1</t>
    <phoneticPr fontId="0" type="noConversion"/>
  </si>
  <si>
    <t>System shall create tasks for samples based on specific frequency.</t>
  </si>
  <si>
    <t>自动分配任务详细规则？自动分配任务使用后台定时任务</t>
    <phoneticPr fontId="0" type="noConversion"/>
  </si>
  <si>
    <t>4.3.1.1</t>
  </si>
  <si>
    <t>COA of RM auto-capture</t>
  </si>
  <si>
    <t>The system shall provide functionality to recognize &amp; download documents from incoming e-mail</t>
  </si>
  <si>
    <t>4.3.1.1.1</t>
  </si>
  <si>
    <t>4.3.1.2</t>
  </si>
  <si>
    <r>
      <t>The system shall provide functionality to extract data from COA and store them in</t>
    </r>
    <r>
      <rPr>
        <sz val="8"/>
        <rFont val="Calibri"/>
        <family val="2"/>
      </rPr>
      <t xml:space="preserve"> </t>
    </r>
    <r>
      <rPr>
        <sz val="12"/>
        <rFont val="Calibri"/>
        <family val="2"/>
      </rPr>
      <t>Henkel database</t>
    </r>
    <phoneticPr fontId="0" type="noConversion"/>
  </si>
  <si>
    <t>4.3.1.2.1</t>
  </si>
  <si>
    <t>4.3.1.3</t>
  </si>
  <si>
    <t>The system shall provide functionality to check open SAP inspection lot and search respective data in database</t>
  </si>
  <si>
    <t>4.3.1.3.1</t>
  </si>
  <si>
    <t>4.3.1.4</t>
  </si>
  <si>
    <t>The system shall provide functionality to validate characteristics, results, and range (COA against SAP)</t>
  </si>
  <si>
    <t>4.3.1.4.1</t>
  </si>
  <si>
    <t>4.3.1.5</t>
  </si>
  <si>
    <t>The system shall provide functionality to record result and transfer, maintain data in SAP</t>
  </si>
  <si>
    <t>4.3.1.5.1</t>
  </si>
  <si>
    <t>4.3.1.6</t>
  </si>
  <si>
    <t>The system shall provide functionality to approach QC through email when abnormal happened or wrong data generated</t>
  </si>
  <si>
    <t>4.3.1.6.1</t>
  </si>
  <si>
    <t>4.3.1.7</t>
  </si>
  <si>
    <t>Henkel has several language and format based on vendor, the system should have capability to capture from any format.</t>
  </si>
  <si>
    <t>4.3.1.7.1</t>
  </si>
  <si>
    <t>4.3.2.1</t>
  </si>
  <si>
    <t>Data Capture of Testing Instrument</t>
  </si>
  <si>
    <t>The system shall provide functionality to capture data from Henkel type A and B test instrument automatically</t>
    <phoneticPr fontId="0" type="noConversion"/>
  </si>
  <si>
    <t>4.3.2.1.1</t>
    <phoneticPr fontId="0" type="noConversion"/>
  </si>
  <si>
    <t>System shall be able to capture data from Henkel type A.</t>
  </si>
  <si>
    <t>4.3.2.1.2</t>
  </si>
  <si>
    <t>System shall be able to capture data from Henkel type B.</t>
  </si>
  <si>
    <t>4.3.2.2</t>
    <phoneticPr fontId="0" type="noConversion"/>
  </si>
  <si>
    <t>The system shall provide functionality to input the testing data manually</t>
  </si>
  <si>
    <t>4.3.2.2.1</t>
    <phoneticPr fontId="0" type="noConversion"/>
  </si>
  <si>
    <t>System shall be able support to input the testing data manually.</t>
  </si>
  <si>
    <t>4.3.2.3</t>
    <phoneticPr fontId="0" type="noConversion"/>
  </si>
  <si>
    <t>The system shall provide functionality to integrate all the types and brands of instruments, simplifying and streamlining the operation</t>
    <phoneticPr fontId="0" type="noConversion"/>
  </si>
  <si>
    <t>4.3.2.3.1</t>
    <phoneticPr fontId="0" type="noConversion"/>
  </si>
  <si>
    <t>System shall be able to select and display the instrument in the LES.</t>
  </si>
  <si>
    <t>4.3.2.3.2</t>
  </si>
  <si>
    <t>System shall provide functionality to integrate all type A and type B instruments which can export readable file.</t>
  </si>
  <si>
    <t>4.3.2.3.3</t>
  </si>
  <si>
    <t>System shall be able to fetch the results in LES and display the results.</t>
  </si>
  <si>
    <t>4.3.2.4</t>
    <phoneticPr fontId="0" type="noConversion"/>
  </si>
  <si>
    <t xml:space="preserve">The system shall provide functionality to automatically identify test sample information via test instruments without additional manually key in sample information into test instruments.   </t>
  </si>
  <si>
    <t>4.3.2.4.1</t>
  </si>
  <si>
    <t xml:space="preserve">mark </t>
    <phoneticPr fontId="0" type="noConversion"/>
  </si>
  <si>
    <t>user need to identifying the sample id in instrument software so that LIMS can match data to samples.</t>
  </si>
  <si>
    <t>4.3.2.4.2</t>
  </si>
  <si>
    <t>System shall be able to identify sample in LES by scan label.</t>
    <phoneticPr fontId="0" type="noConversion"/>
  </si>
  <si>
    <t>4.3.2.4.3</t>
  </si>
  <si>
    <t>System shall be able to manually enter sample id in LES.</t>
    <phoneticPr fontId="0" type="noConversion"/>
  </si>
  <si>
    <t>4.3.2.5</t>
    <phoneticPr fontId="0" type="noConversion"/>
  </si>
  <si>
    <t>The system vendor should train Henkel user about how to set up functionality to capture instrument data</t>
  </si>
  <si>
    <t>4.3.2.5.1</t>
    <phoneticPr fontId="0" type="noConversion"/>
  </si>
  <si>
    <t>System vendor should train Henkel user about how to set up functionality to capture instrument data.</t>
  </si>
  <si>
    <t>Non-function</t>
  </si>
  <si>
    <t>4.3.2.6</t>
    <phoneticPr fontId="0" type="noConversion"/>
  </si>
  <si>
    <t xml:space="preserve">The system vendor has overall responsibility to check Henkel instrument connection capability and set up interface between instrument and system. </t>
  </si>
  <si>
    <t>4.3.2.6.1</t>
    <phoneticPr fontId="0" type="noConversion"/>
  </si>
  <si>
    <t xml:space="preserve">System vendor has overall responsibility to check Henkel instrument connection capability and set up interface between instrument and system. </t>
  </si>
  <si>
    <t>4.4.1.1</t>
    <phoneticPr fontId="0" type="noConversion"/>
  </si>
  <si>
    <t>Laboratory Execution</t>
  </si>
  <si>
    <t>Enable Workflow execution of Laboratory daily operation
Quick overview of inspection plan on daily, weekly, monthly views
Able to view the status of testing, details of inspection lot on clicking on each
On clicking user is expected to see the status of SOP (which steps completed, on-going and not started)
Kanban dashboards with storage location and quantity (with/within safety stock) with desired filters
Dashboards showing lab equipment availability</t>
  </si>
  <si>
    <t>4.4.1.1.1</t>
    <phoneticPr fontId="0" type="noConversion"/>
  </si>
  <si>
    <t>System shall support dashboard display overview of inspection lot on daily, weekly, monthly views.</t>
  </si>
  <si>
    <t>4.4.1.1.2</t>
  </si>
  <si>
    <t>System shall be able to view the status of testing, details of inspection lot.</t>
  </si>
  <si>
    <t>4.4.1.1.3</t>
  </si>
  <si>
    <t>System shall be able to record standard cycle time and actual cycle time under test level.</t>
  </si>
  <si>
    <t>4.4.1.1.4</t>
  </si>
  <si>
    <t>System shall be able to dispaly the status of LES (which steps completed, in progress and not started).</t>
    <phoneticPr fontId="0" type="noConversion"/>
  </si>
  <si>
    <t>4.4.1.1.5</t>
  </si>
  <si>
    <t>System shall be able to display sample storage location and sample quantity.</t>
  </si>
  <si>
    <t>4.4.1.1.6</t>
  </si>
  <si>
    <t>System shall support dashboard showing lab equipment availability.  Equipment usage can  be tracked trhough scanning before and after the usage.</t>
    <phoneticPr fontId="0" type="noConversion"/>
  </si>
  <si>
    <t>4.4.1.2</t>
    <phoneticPr fontId="0" type="noConversion"/>
  </si>
  <si>
    <t>Break each SOP down into steps that lead through the process, including test method execution, instrument calibration, result check and calculation
Henkel has different test methods, the system should have capablity to support all test method execution.
Henkel test method instruction keeps in Henkel Remap system. The system should have a hyperlink to guide user to Remap system on clicking a test method.
Master hyperlink guide user to Remap system. The system should allow site admin to maintain unique hyperlink for each different test method.</t>
    <phoneticPr fontId="0" type="noConversion"/>
  </si>
  <si>
    <t>4.4.1.2.1</t>
    <phoneticPr fontId="0" type="noConversion"/>
  </si>
  <si>
    <t xml:space="preserve">mark </t>
  </si>
  <si>
    <t>Henkel need to offer 10 feasible SOP so that TF team can creat 10 LES in system.</t>
  </si>
  <si>
    <t>4.4.1.2.2</t>
    <phoneticPr fontId="0" type="noConversion"/>
  </si>
  <si>
    <t>System shall support maintain SOP by steps in LES, including test method execution, instrument calibration, result check and calculation.</t>
    <phoneticPr fontId="0" type="noConversion"/>
  </si>
  <si>
    <t>4.4.1.2.4</t>
  </si>
  <si>
    <t>System shall allow user to access Remap system by hyperlink in analysis.</t>
  </si>
  <si>
    <t>4.4.1.2.4</t>
    <phoneticPr fontId="0" type="noConversion"/>
  </si>
  <si>
    <t>System shall support all test method execution.</t>
    <phoneticPr fontId="0" type="noConversion"/>
  </si>
  <si>
    <t>4.4.1.2.5</t>
  </si>
  <si>
    <t>System shall allow specific user to mantain and view hyperlink in analysis.</t>
  </si>
  <si>
    <t>4.4.1.3</t>
    <phoneticPr fontId="0" type="noConversion"/>
  </si>
  <si>
    <t>Step-wise approach to achieve Automation of routine tasks
User should be able to start and record testing results from iPAD / Tablet
Ability to upload documents during testing(like images..)</t>
    <phoneticPr fontId="0" type="noConversion"/>
  </si>
  <si>
    <t>4.4.1.3.1</t>
    <phoneticPr fontId="0" type="noConversion"/>
  </si>
  <si>
    <t>System shall support user to start and record testing results by step from iPAD or Tablet.</t>
    <phoneticPr fontId="0" type="noConversion"/>
  </si>
  <si>
    <t>4.4.1.3.2</t>
  </si>
  <si>
    <t>System shall be able to upload attachment during testing(like images..)</t>
  </si>
  <si>
    <t>4.4.1.4</t>
    <phoneticPr fontId="0" type="noConversion"/>
  </si>
  <si>
    <t>Enable Instrument Integration during execution of laboratory SOP.  Provides the ability to retrieve values from remotely attached instruments</t>
  </si>
  <si>
    <t>4.4.1.4.1</t>
  </si>
  <si>
    <t>System shall support retrieve values from Type A and Type B instruments in LES.</t>
  </si>
  <si>
    <t xml:space="preserve">MARK </t>
    <phoneticPr fontId="0" type="noConversion"/>
  </si>
  <si>
    <t>remotely attach instrument = type A and type B instrument</t>
  </si>
  <si>
    <t>4.4.1.5</t>
    <phoneticPr fontId="0" type="noConversion"/>
  </si>
  <si>
    <t>Enable eSignatures and Cross Check between different users during execution</t>
  </si>
  <si>
    <t>4.4.1.5.1</t>
    <phoneticPr fontId="0" type="noConversion"/>
  </si>
  <si>
    <t>System shall support Cross Check between different users during execution in LES.</t>
  </si>
  <si>
    <t>4.4.1.5.2</t>
  </si>
  <si>
    <t>what's e signature(like peer review)stands for?
Re: Esignature is out of scope. Replace eSigniture with peer review.</t>
  </si>
  <si>
    <t>4.4.1.6</t>
    <phoneticPr fontId="0" type="noConversion"/>
  </si>
  <si>
    <t>Enable audit trail on all steps during execution</t>
  </si>
  <si>
    <t>4.4.1.6.1</t>
    <phoneticPr fontId="0" type="noConversion"/>
  </si>
  <si>
    <t>System shall support audit on all steps during execution.</t>
  </si>
  <si>
    <t>4.4.1.7</t>
    <phoneticPr fontId="0" type="noConversion"/>
  </si>
  <si>
    <t>Allows execution of Lab Methods in remote locations, can be used in PC, tablet( Ipad, etc.)</t>
  </si>
  <si>
    <t>4.4.1.7.1</t>
    <phoneticPr fontId="0" type="noConversion"/>
  </si>
  <si>
    <t>System shall support execution of Lab Methods in remote locations, can be used in PC, tablet( Ipad, etc.)</t>
  </si>
  <si>
    <t>4.4.1.8</t>
    <phoneticPr fontId="0" type="noConversion"/>
  </si>
  <si>
    <t>Review the actual Lab Execution to ensure it has been executed correctly</t>
  </si>
  <si>
    <t>4.4.1.8.1</t>
    <phoneticPr fontId="0" type="noConversion"/>
  </si>
  <si>
    <t>System shall support review Lab Execution.</t>
  </si>
  <si>
    <t>4.4.1.9</t>
    <phoneticPr fontId="0" type="noConversion"/>
  </si>
  <si>
    <t xml:space="preserve">Generate follow-up actions from the Lab Execution review </t>
    <phoneticPr fontId="0" type="noConversion"/>
  </si>
  <si>
    <t>4.4.1.9.1</t>
    <phoneticPr fontId="0" type="noConversion"/>
  </si>
  <si>
    <t>System shall allow specific user to reassign the test to another user.</t>
  </si>
  <si>
    <t>4.4.1.9.2</t>
  </si>
  <si>
    <t>System shall require to enter comments when rejecting the result during Lab execution review.</t>
    <phoneticPr fontId="0" type="noConversion"/>
  </si>
  <si>
    <t>4.4.1.10</t>
    <phoneticPr fontId="0" type="noConversion"/>
  </si>
  <si>
    <t>Re-generate the paper SOP from the configured Lab methods, including any execution outcomes, Access to all Lab Execution data for reporting and Display audit information, linked entities, review statuses</t>
    <phoneticPr fontId="0" type="noConversion"/>
  </si>
  <si>
    <t>4.4.1.10.1</t>
    <phoneticPr fontId="0" type="noConversion"/>
  </si>
  <si>
    <t>System shall support print Lab execution record.</t>
  </si>
  <si>
    <t>4.4.1.10.2</t>
    <phoneticPr fontId="0" type="noConversion"/>
  </si>
  <si>
    <t>System shall support configure lab execution record report template.</t>
    <phoneticPr fontId="0" type="noConversion"/>
  </si>
  <si>
    <t>4.4.1.11</t>
    <phoneticPr fontId="0" type="noConversion"/>
  </si>
  <si>
    <t>Enable workflow to execute Henkel MSA, maintain MSA plan, send reminder according to plan, send alerts once expired MSA happened.</t>
  </si>
  <si>
    <t>4.4.1.11.1</t>
    <phoneticPr fontId="0" type="noConversion"/>
  </si>
  <si>
    <t>System shall support execute and maintain MSA plan.</t>
  </si>
  <si>
    <t>4.4.1.11.2</t>
    <phoneticPr fontId="0" type="noConversion"/>
  </si>
  <si>
    <t>System shall support remind MSA according to plan and remind expiration.</t>
  </si>
  <si>
    <t>4.4.2.1</t>
  </si>
  <si>
    <t>Resampling</t>
  </si>
  <si>
    <r>
      <rPr>
        <b/>
        <sz val="11"/>
        <color rgb="FFFF0000"/>
        <rFont val="Cambria"/>
        <family val="3"/>
        <charset val="134"/>
        <scheme val="major"/>
      </rPr>
      <t>Four solutions</t>
    </r>
    <r>
      <rPr>
        <b/>
        <sz val="11"/>
        <color rgb="FF000000"/>
        <rFont val="Cambria"/>
        <family val="3"/>
        <charset val="134"/>
        <scheme val="major"/>
      </rPr>
      <t>are possible to handle the resampling:
•	Create a new inspection lot in SAP
•	Create a new inspection lot in SAP with a link to the initial inspection lot, for example a user field populated with the initial lot.
•	Create another sample in the QCLAD, related to the inspection lot (job in the QCLAD)
Reactivate in the QCLAD a validated sample and reenter the results on the initial test. Then the sample is authorised and all the results are sent again to SAP. The result values are updated in SAP</t>
    </r>
  </si>
  <si>
    <t>4.4.2.1.1</t>
  </si>
  <si>
    <r>
      <rPr>
        <sz val="11"/>
        <color rgb="FFFF0000"/>
        <rFont val="Cambria"/>
        <family val="1"/>
        <scheme val="major"/>
      </rPr>
      <t xml:space="preserve">Create another sample in the QCLAD, related to the inspection lot (job in the QCLAD)  and all the results are sent again to SAP. The result values are updated in SAP. Check with Neelima
</t>
    </r>
    <r>
      <rPr>
        <sz val="11"/>
        <color rgb="FF000000"/>
        <rFont val="Cambria"/>
        <family val="1"/>
        <scheme val="major"/>
      </rPr>
      <t>System shall be able to trigger resample in QCLAD and create a new sample with unique ID, which results can be sent back to SAP.</t>
    </r>
  </si>
  <si>
    <t>4.4.2.1.2</t>
  </si>
  <si>
    <t>Henkel need to check use which one solution for handling resampling.</t>
  </si>
  <si>
    <t>4.5.1</t>
    <phoneticPr fontId="0" type="noConversion"/>
  </si>
  <si>
    <t>Interface to Smart factory, MES and SKill matrix</t>
  </si>
  <si>
    <t xml:space="preserve">Enable Download of information from SAP to QCLAD and upload information from QCLAD to SAP
Push/pull information from Henkel smart factory, MES, Henkel Skill Matrix. The information pulled/pushed should be available in QCLAD in case of analyzing.  API calls need to be designed and agreed by different teams for pushing/pulling data based on the project scope. </t>
  </si>
  <si>
    <t>4.5.1.1</t>
  </si>
  <si>
    <t>System shall support download inspection lot from SAP to QCLAD.
1）Create a sample in QCLAD based on the downloaded Inspection Lot, or change an existing sample (JIT process).
2）If the inspection lot in SAP also has multiple activities, then QCLAD needs to create multiple samples.
3）The test item in lot has a field for whether or not to skip the batch (dynamic message), and whether the SMIDI standard function can be written directly to the test table.</t>
  </si>
  <si>
    <t>4.5.1.2</t>
  </si>
  <si>
    <t>System shall support download Batch information from SAP to QCLAD.</t>
  </si>
  <si>
    <t>4.5.1.3</t>
  </si>
  <si>
    <t>System shall support download Inspection Plan from SAP to QCLAD. Needs to be synchronised and updated in real time.</t>
  </si>
  <si>
    <t>4.5.1.4</t>
  </si>
  <si>
    <r>
      <rPr>
        <sz val="11"/>
        <color rgb="FF000000"/>
        <rFont val="Cambria"/>
        <family val="1"/>
        <scheme val="major"/>
      </rPr>
      <t>The system shall support the downloading of Inspection plans from SAP to QCLAD whose Inspection Plan contains the MIC. Needs to be synchronised and updated in real time</t>
    </r>
    <r>
      <rPr>
        <sz val="11"/>
        <color rgb="FF000000"/>
        <rFont val="等线 Light"/>
        <family val="3"/>
        <charset val="134"/>
      </rPr>
      <t>.</t>
    </r>
  </si>
  <si>
    <t>4.5.1.5</t>
  </si>
  <si>
    <r>
      <rPr>
        <sz val="11"/>
        <color rgb="FF000000"/>
        <rFont val="Cambria"/>
        <family val="1"/>
        <scheme val="major"/>
      </rPr>
      <t>The system shall support the downloading of Inspection plans from SAP to QCLAD whose Inspection Plan contains the specification. Needs to be synchronised and updated in real time</t>
    </r>
    <r>
      <rPr>
        <sz val="11"/>
        <color rgb="FF000000"/>
        <rFont val="等线 Light"/>
        <family val="3"/>
        <charset val="134"/>
      </rPr>
      <t>.</t>
    </r>
  </si>
  <si>
    <t>4.5.1.6</t>
  </si>
  <si>
    <r>
      <rPr>
        <sz val="11"/>
        <color rgb="FF000000"/>
        <rFont val="Cambria"/>
        <family val="1"/>
        <scheme val="major"/>
      </rPr>
      <t>The system shall support the downloading of Inspection plans from SAP to QCLAD whose Inspection Plan contains the Material master data. Needs to be synchronised and updated in real time</t>
    </r>
    <r>
      <rPr>
        <sz val="11"/>
        <color rgb="FF000000"/>
        <rFont val="等线 Light"/>
        <family val="3"/>
        <charset val="134"/>
      </rPr>
      <t>.</t>
    </r>
  </si>
  <si>
    <t>4.5.1.7</t>
  </si>
  <si>
    <r>
      <rPr>
        <sz val="11"/>
        <color rgb="FF000000"/>
        <rFont val="宋体"/>
        <family val="3"/>
        <charset val="134"/>
      </rPr>
      <t xml:space="preserve">System shall support download </t>
    </r>
    <r>
      <rPr>
        <sz val="11"/>
        <color rgb="FFFF0000"/>
        <rFont val="宋体"/>
        <family val="3"/>
        <charset val="134"/>
      </rPr>
      <t>GHS info</t>
    </r>
    <r>
      <rPr>
        <sz val="11"/>
        <color rgb="FF000000"/>
        <rFont val="宋体"/>
        <family val="3"/>
        <charset val="134"/>
      </rPr>
      <t xml:space="preserve"> from SAP to QCLAD.
Refer to 4.8.5.8.2</t>
    </r>
  </si>
  <si>
    <t>4.5.1.8</t>
  </si>
  <si>
    <t xml:space="preserve">System shall support download Plant Code from SAP to QCLAD. </t>
  </si>
  <si>
    <t>4.5.1.9</t>
  </si>
  <si>
    <t xml:space="preserve">System shall support download QM notification from SAP to QCLAD. </t>
  </si>
  <si>
    <t>4.5.1.10</t>
  </si>
  <si>
    <t>System shall support to upload result value from QCLAD to SAP.
1）When there is a Retest operation done, the result of the last Retest needs to be returned to SAP.
2）once the LIMS post result back to SAP，SAP MIC status should be auto rejected or accepted? 
3）system shall support post all the samples result back to SAP, including the resampled sample.
4）related to item 1, whether Smidi can configure that, once inspection lot is downloaded mapped with an existing sample in LIMS; if that sample is authorized with result, then Smidi can also trigger the result pushing to SAP?
(JIT process)</t>
  </si>
  <si>
    <t>4.5.1.11</t>
  </si>
  <si>
    <t xml:space="preserve">System shall support to upload result value from SAP to QCLAD. </t>
  </si>
  <si>
    <t>4.5.1.12</t>
  </si>
  <si>
    <t>System shall push notify information(including resample and adjustment) to Henkel smart factory.</t>
  </si>
  <si>
    <t>4.5.1.13</t>
  </si>
  <si>
    <t>System shall pull result information from Henkel smart factory.</t>
  </si>
  <si>
    <t>4.5.1.14</t>
  </si>
  <si>
    <t>System shall support to upload result value from QCLAD to Henkel smart factory.</t>
  </si>
  <si>
    <t>4.5.1.15</t>
  </si>
  <si>
    <t>System shall support to upload sample states from QCLAD to Henkel smart factory.</t>
  </si>
  <si>
    <t>4.5.1.16</t>
  </si>
  <si>
    <t>System shall push/pull adjustment quantity information from/to Henkel smart factory.</t>
  </si>
  <si>
    <t>4.5.1.17</t>
  </si>
  <si>
    <t>System shall pull operator skill information from Henkel Skill Matrix.</t>
  </si>
  <si>
    <t>4.5.2</t>
    <phoneticPr fontId="0" type="noConversion"/>
  </si>
  <si>
    <t>SAP process in existing applications</t>
    <phoneticPr fontId="0" type="noConversion"/>
  </si>
  <si>
    <t xml:space="preserve">Currently MES and Smart factory have SAP interface to pull master and transactional data. Need to identify what to be pulled from SAP directly and can we reuse the data pulled by the applications to SAP instead of pulling again. Need to work out on the details. </t>
    <phoneticPr fontId="0" type="noConversion"/>
  </si>
  <si>
    <t>4.5.2.1</t>
    <phoneticPr fontId="0" type="noConversion"/>
  </si>
  <si>
    <t>Refer to 4.5.1.1 &amp; 4.5.1.2 &amp; 4.5.1.3 above.</t>
  </si>
  <si>
    <t>4.5.3</t>
    <phoneticPr fontId="0" type="noConversion"/>
  </si>
  <si>
    <t>Communication between SAP and QCLAD</t>
    <phoneticPr fontId="0" type="noConversion"/>
  </si>
  <si>
    <t xml:space="preserve">nformation downloaded :
•	IDH#，Batch#, master data (plant#, lab#, material, shelf life, date of manufacturing, inspection interval, MIC#, etc.),  inspection plan, skip lot rules, Quality Notification#, equipment maintenance master data
•	Details of required fields to be agreed between Henkel and vendor after the process agreement. Please don’t consider this as a final set of fields. 
QM Transactional data should be received/sent in near real time. Need to do discuss what to be managed in near real time and what to be managed with jobs to be discussed after the process agreement. </t>
  </si>
  <si>
    <t>4.5.3.1</t>
    <phoneticPr fontId="0" type="noConversion"/>
  </si>
  <si>
    <t>4.5.4</t>
    <phoneticPr fontId="0" type="noConversion"/>
  </si>
  <si>
    <t>Upload of information from the QCLAD to SAP/MES/Smart factory</t>
    <phoneticPr fontId="0" type="noConversion"/>
  </si>
  <si>
    <t>The upload of the results is triggered by the validation of the laboratory. Once user approves the results pulled from lab equipment in QCLAD, it should be pushed to SAP in near real time. 
In-process testing result need to refer in-process testing workflow to update test result and decision into Henkel MES and smart factory system.
If the laboratory reactivates the sample and the results, a result value can be sent several times to SAP, the result in SAP is updated (the characteristics are declared as long term characteristics in SAP). 
In case of any result values need to be modified with a pre-defined rules or other calculations, it should be allowed automatically
The valuation can be setup in the QCLAD or in SAP. If it is setup in the QCLaD, it is associated to each result.</t>
  </si>
  <si>
    <t>4.5.4.1</t>
    <phoneticPr fontId="0" type="noConversion"/>
  </si>
  <si>
    <t>System shall allow result values can be modified with a pre-defined rules or other calculations automatically.</t>
  </si>
  <si>
    <t>4.5.4.2</t>
  </si>
  <si>
    <t>System shall support the specification limit can be setup in the QCLAD and is associated to each result.</t>
  </si>
  <si>
    <t>4.6.1.1</t>
    <phoneticPr fontId="0" type="noConversion"/>
  </si>
  <si>
    <t>Dashboard / Report (downloadable)</t>
  </si>
  <si>
    <r>
      <rPr>
        <b/>
        <sz val="11"/>
        <color rgb="FF000000"/>
        <rFont val="Cambria"/>
        <family val="1"/>
        <scheme val="major"/>
      </rPr>
      <t>Sample status summary graph per Lab/Plant/</t>
    </r>
    <r>
      <rPr>
        <b/>
        <sz val="11"/>
        <color rgb="FFFF0000"/>
        <rFont val="Cambria"/>
        <family val="1"/>
        <scheme val="major"/>
      </rPr>
      <t xml:space="preserve">Country/Henkel network/ global
</t>
    </r>
    <r>
      <rPr>
        <b/>
        <sz val="11"/>
        <color rgb="FF000000"/>
        <rFont val="Cambria"/>
        <family val="1"/>
        <scheme val="major"/>
      </rPr>
      <t>Sample status graph can be reviewed daily/weekly/monthly/yearly
Sample status should have completed, in progress, received, cancelled
Report should include all sample type, RM, semi-finish, Bulk, FG, standard test and non-standard test, etc.
Report can be filtered by material, technology (product technology information should from SAP)</t>
    </r>
  </si>
  <si>
    <t>4.6.1.1.1</t>
    <phoneticPr fontId="0" type="noConversion"/>
  </si>
  <si>
    <t>System shall be able to display sample status by lab/plant/country/henkel network/global in dashboard.</t>
  </si>
  <si>
    <t>4.6.1.1.2</t>
  </si>
  <si>
    <t>System shall be able to display sample status by daily/weekly/monthly/yearly in dashboard.</t>
  </si>
  <si>
    <t>4.6.1.1.3</t>
  </si>
  <si>
    <r>
      <t xml:space="preserve">System shall support different sample status, including completed, in progress, received, cancelled, </t>
    </r>
    <r>
      <rPr>
        <sz val="11"/>
        <color rgb="FFFF0000"/>
        <rFont val="Cambria"/>
        <family val="1"/>
        <scheme val="major"/>
      </rPr>
      <t>retained</t>
    </r>
    <r>
      <rPr>
        <sz val="11"/>
        <rFont val="Cambria"/>
        <family val="1"/>
        <scheme val="major"/>
      </rPr>
      <t>.</t>
    </r>
  </si>
  <si>
    <t>4.6.1.1.4</t>
  </si>
  <si>
    <t>System shall include sample type in report, detailed sample type refers to RTM 4.5.1 items.</t>
    <phoneticPr fontId="0" type="noConversion"/>
  </si>
  <si>
    <t>4.6.1.1.5</t>
  </si>
  <si>
    <r>
      <t xml:space="preserve">System shall support report can be filtered by material, technology (product technology information should from SAP) </t>
    </r>
    <r>
      <rPr>
        <sz val="11"/>
        <rFont val="Cambria"/>
        <family val="3"/>
        <charset val="134"/>
        <scheme val="major"/>
      </rPr>
      <t>in folder</t>
    </r>
    <r>
      <rPr>
        <sz val="11"/>
        <rFont val="Cambria"/>
        <family val="1"/>
        <scheme val="major"/>
      </rPr>
      <t>.</t>
    </r>
    <phoneticPr fontId="0" type="noConversion"/>
  </si>
  <si>
    <t>Henkel need to check what's the meaning of report with Neelima</t>
  </si>
  <si>
    <t>4.6.1.2</t>
    <phoneticPr fontId="0" type="noConversion"/>
  </si>
  <si>
    <t>Daily sample status summary graph per Lab/Plant should be showed real time.</t>
    <phoneticPr fontId="0" type="noConversion"/>
  </si>
  <si>
    <t>4.6.1.2.1</t>
    <phoneticPr fontId="0" type="noConversion"/>
  </si>
  <si>
    <t>System shall support to display dashboard with sample status in real time.</t>
  </si>
  <si>
    <t>4.6.1.3</t>
    <phoneticPr fontId="0" type="noConversion"/>
  </si>
  <si>
    <t>Scheduled job list (Task assignment job in specific time period)
Scheduled job list is related to schedule work.
Scheduled job list should be showed real time.</t>
    <phoneticPr fontId="0" type="noConversion"/>
  </si>
  <si>
    <t>4.6.1.3.1</t>
    <phoneticPr fontId="0" type="noConversion"/>
  </si>
  <si>
    <t>System shall display task list in specific time period.</t>
  </si>
  <si>
    <t>4.6.1.3.2</t>
  </si>
  <si>
    <t>System shall display task list related to work.</t>
  </si>
  <si>
    <t>4.6.1.3.3</t>
  </si>
  <si>
    <t>System shall display task list in real time.</t>
    <phoneticPr fontId="0" type="noConversion"/>
  </si>
  <si>
    <t>4.6.1.4</t>
    <phoneticPr fontId="0" type="noConversion"/>
  </si>
  <si>
    <r>
      <t xml:space="preserve">Overdue scheduled job </t>
    </r>
    <r>
      <rPr>
        <b/>
        <sz val="11"/>
        <color rgb="FFFF0000"/>
        <rFont val="Cambria"/>
        <family val="1"/>
        <scheme val="major"/>
      </rPr>
      <t>report</t>
    </r>
  </si>
  <si>
    <t>4.6.1.4.1</t>
    <phoneticPr fontId="0" type="noConversion"/>
  </si>
  <si>
    <r>
      <t xml:space="preserve">System shall display overdue </t>
    </r>
    <r>
      <rPr>
        <sz val="11"/>
        <color rgb="FFFF0000"/>
        <rFont val="Cambria"/>
        <family val="1"/>
        <scheme val="major"/>
      </rPr>
      <t>task list</t>
    </r>
    <r>
      <rPr>
        <sz val="11"/>
        <rFont val="Cambria"/>
        <family val="1"/>
        <scheme val="major"/>
      </rPr>
      <t>.</t>
    </r>
  </si>
  <si>
    <t>4.6.1.5</t>
    <phoneticPr fontId="0" type="noConversion"/>
  </si>
  <si>
    <t>Instrument status (available, out of service, Retired) Statistics (key: instrument ID, instrument Type, days in available, days out of service…)</t>
  </si>
  <si>
    <t>4.6.1.5.1</t>
    <phoneticPr fontId="0" type="noConversion"/>
  </si>
  <si>
    <t>System shall display instrument list with status(Unaviable, Available, Maintance Due, Retired, Require Calibration, In Calibration).</t>
  </si>
  <si>
    <t>4.6.1.5.2</t>
  </si>
  <si>
    <t>System shall support dashbord to display instrument list including (instrument ID, instrument Type, instrument Status, days in available and days out of service by daily, weekly, monthly or yearly)</t>
  </si>
  <si>
    <t>4.6.1.5.3</t>
  </si>
  <si>
    <t>What’s the meaning of 'days in available, days out of service'? 怎么理解Days</t>
  </si>
  <si>
    <t>4.6.1.6</t>
    <phoneticPr fontId="0" type="noConversion"/>
  </si>
  <si>
    <t>Instrument load and utilization,  
Actual Instrument Utilization=∑(Total Actual Instrument working Hours/ Total working Hours)
Total working hours is related to shift arrangement.</t>
  </si>
  <si>
    <t>4.6.1.6.1</t>
    <phoneticPr fontId="0" type="noConversion"/>
  </si>
  <si>
    <t>System shall support display instrument utilization by daily/weekly/monthly/yearly in dashboard.</t>
  </si>
  <si>
    <t>4.6.1.6.2</t>
  </si>
  <si>
    <t>Total Actual Instrument working Hours= End time by scanning minus Start time by scanning</t>
  </si>
  <si>
    <t>4.6.1.6.3</t>
  </si>
  <si>
    <t>Total working hours is related to shift arrangement,calculated as off-duty time minus on-duty time.</t>
  </si>
  <si>
    <t>4.6.1.7</t>
    <phoneticPr fontId="0" type="noConversion"/>
  </si>
  <si>
    <r>
      <t>Work load (Sample or analysis) statistics (</t>
    </r>
    <r>
      <rPr>
        <b/>
        <sz val="11"/>
        <color rgb="FFFF0000"/>
        <rFont val="Cambria"/>
        <family val="1"/>
        <scheme val="major"/>
      </rPr>
      <t>per work hour</t>
    </r>
    <r>
      <rPr>
        <b/>
        <sz val="11"/>
        <rFont val="Cambria"/>
        <family val="1"/>
        <scheme val="major"/>
      </rPr>
      <t xml:space="preserve">, per plant, </t>
    </r>
    <r>
      <rPr>
        <b/>
        <sz val="11"/>
        <color rgb="FFFF0000"/>
        <rFont val="Cambria"/>
        <family val="1"/>
        <scheme val="major"/>
      </rPr>
      <t>per analyst</t>
    </r>
    <r>
      <rPr>
        <b/>
        <sz val="11"/>
        <rFont val="Cambria"/>
        <family val="1"/>
        <scheme val="major"/>
      </rPr>
      <t>…)</t>
    </r>
  </si>
  <si>
    <t>4.6.1.7.1</t>
    <phoneticPr fontId="0" type="noConversion"/>
  </si>
  <si>
    <t>System shall support display work load by plant/duration.</t>
  </si>
  <si>
    <t>4.6.1.8</t>
    <phoneticPr fontId="0" type="noConversion"/>
  </si>
  <si>
    <t>Work load can be number of inspection lot, number of sample, number of test, number of skip lot, number of skip test</t>
  </si>
  <si>
    <t>4.6.1.8.1</t>
    <phoneticPr fontId="0" type="noConversion"/>
  </si>
  <si>
    <t>System shall support display work load with number of inspection lot, number of sample, number of test, number of skip lot, number of skip test in folder.</t>
  </si>
  <si>
    <t>4.6.1.9</t>
    <phoneticPr fontId="0" type="noConversion"/>
  </si>
  <si>
    <t>Report: extract data based on sample type, analysis, test schedule, login time, standard time….</t>
  </si>
  <si>
    <t>4.6.1.9.1</t>
    <phoneticPr fontId="0" type="noConversion"/>
  </si>
  <si>
    <t>System shall support export data based on sample type, analysis, test schedule, login time, standard time by folder.</t>
  </si>
  <si>
    <t>4.6.1.9.2</t>
  </si>
  <si>
    <t>what format of the report？The aim of extract data.</t>
  </si>
  <si>
    <t>4.6.1.10</t>
    <phoneticPr fontId="0" type="noConversion"/>
  </si>
  <si>
    <t>QC release time: To be able to automatically calculate individual batch/test request complete time in specific time period
QC Release Time=∑(Time End-Time Start)
Time End: UD time of batch or test request completed time
Time Start: Sample received time (actual time barcode scan in QC) of inspection lot</t>
  </si>
  <si>
    <t>4.6.1.10.1</t>
    <phoneticPr fontId="0" type="noConversion"/>
  </si>
  <si>
    <t>System shall be able to automatically calculate QC release time for individual batch/test request.</t>
  </si>
  <si>
    <t>4.6.1.10.2</t>
  </si>
  <si>
    <t>Sample Release Time=Time End-Time Start</t>
  </si>
  <si>
    <t>4.6.1.10.3</t>
  </si>
  <si>
    <t>Why need Σ？Henkel:remove Σ</t>
  </si>
  <si>
    <t>4.6.1.10.4</t>
  </si>
  <si>
    <t>Time End: sample authorizd time</t>
  </si>
  <si>
    <t>4.6.1.10.5</t>
  </si>
  <si>
    <t>Time Start: sample received time (actual time barcode scan in QC) of inspection lot</t>
  </si>
  <si>
    <t>4.6.1.11</t>
    <phoneticPr fontId="0" type="noConversion"/>
  </si>
  <si>
    <t>QC Productivity: Measure efficiency of QC efforts at a manufacturing site in specific time period
1. QC Testing Productivity by test =∑(# test)/#FTE
The sum of # inspection test compare with #FTE for a give selection
2. QC Testing productivity by inspection lot =∑(# SAP inspection lot)/#FTE
The sum of # inspection lot compare with #FTE for a give selection</t>
  </si>
  <si>
    <t>4.6.1.11.1</t>
    <phoneticPr fontId="0" type="noConversion"/>
  </si>
  <si>
    <t>Henkel need to check what's the report of Productivity
Henkel:QC productivity can be valuated according to 3 formulas:
QC efficiency 1=Direct QC test LH(IQC+IPQC+OQC,including retest)/QC attendence hours
QC efficiency 2=(Direct QC test LH+non-standard QC test LH)/QC attendence hours
QC efficiency 3=(Direct QC test LH+non-standard QC test LH+indirect QC LH)/QC attendence hours
Standard testing - Direct QC Test 
Non standard testing - Indirect QC
QC attendance hours - based on the shift management</t>
  </si>
  <si>
    <t>4.6.1.12</t>
  </si>
  <si>
    <t>Instrument PM(preventive maintenance) performance, including, number of PM performed in QC Lab &amp; on time PM%  in specific time period</t>
  </si>
  <si>
    <t>4.6.1.12.1</t>
    <phoneticPr fontId="0" type="noConversion"/>
  </si>
  <si>
    <t>System shall allow user to add maintenance plan. Maintenance plan shall include PM(preventive maintenance) type.</t>
  </si>
  <si>
    <t>配置phrase字段</t>
  </si>
  <si>
    <t>4.6.1.12.2</t>
    <phoneticPr fontId="0" type="noConversion"/>
  </si>
  <si>
    <t>System shall display on time proportion for PM for each instrument by report.</t>
  </si>
  <si>
    <t>4.6.1.13</t>
    <phoneticPr fontId="0" type="noConversion"/>
  </si>
  <si>
    <t xml:space="preserve">Instrument calibration performance: including, number of calibration performed in QC Lab &amp; on time calibration%  in specific time period  </t>
    <phoneticPr fontId="0" type="noConversion"/>
  </si>
  <si>
    <t>4.6.1.13.1</t>
    <phoneticPr fontId="0" type="noConversion"/>
  </si>
  <si>
    <t>System shall display the quantity of calibration record and on time proporation for maintenance by report.</t>
    <phoneticPr fontId="0" type="noConversion"/>
  </si>
  <si>
    <t>4.6.1.14</t>
    <phoneticPr fontId="0" type="noConversion"/>
  </si>
  <si>
    <t xml:space="preserve">MSA performance: including, number of MSA performed in QC Lab &amp; on time MSA%  in specific time period  </t>
    <phoneticPr fontId="0" type="noConversion"/>
  </si>
  <si>
    <t>4.6.1.14.1</t>
    <phoneticPr fontId="0" type="noConversion"/>
  </si>
  <si>
    <t>System shall display the quantity of MSA task completed in system, completed shall be triggered by uploading MSA report to QCLAD.</t>
    <phoneticPr fontId="56" type="noConversion"/>
  </si>
  <si>
    <t>System shall display on time proportion for MSA task by report.</t>
    <phoneticPr fontId="56" type="noConversion"/>
  </si>
  <si>
    <t>4.6.1.15</t>
    <phoneticPr fontId="0" type="noConversion"/>
  </si>
  <si>
    <t xml:space="preserve">Consumable/Spare parts report:  stock status and  safety stock status  in specific time period  </t>
  </si>
  <si>
    <t>4.6.1.15.1</t>
    <phoneticPr fontId="0" type="noConversion"/>
  </si>
  <si>
    <t>System shall display stock status and safety stock status(the stock is below the minumum stock and above the maximum stock) in specific time period by report.</t>
  </si>
  <si>
    <t>配置文件夹，如果定义的report是报告就算template；如果是文件夹就是配置</t>
  </si>
  <si>
    <t>4.6.1.15.2</t>
  </si>
  <si>
    <t>Mark</t>
    <phoneticPr fontId="56" type="noConversion"/>
  </si>
  <si>
    <t>status refers to what?</t>
    <phoneticPr fontId="56" type="noConversion"/>
  </si>
  <si>
    <t>4.6.1.16</t>
    <phoneticPr fontId="0" type="noConversion"/>
  </si>
  <si>
    <t>Retain sample report: Analysis by storage location, stock status , number of expire sample stock status, disposed stock by date</t>
    <phoneticPr fontId="0" type="noConversion"/>
  </si>
  <si>
    <t>4.6.1.16.1</t>
    <phoneticPr fontId="0" type="noConversion"/>
  </si>
  <si>
    <t>System shall display retain sample in dashboard by storage location, retain status , number of expired retains, disposed retains by date.</t>
  </si>
  <si>
    <t>4.6.1.16.2</t>
  </si>
  <si>
    <t>need dashboard.
Henkel : design the dashborad</t>
  </si>
  <si>
    <t>4.7.1.1</t>
    <phoneticPr fontId="0" type="noConversion"/>
  </si>
  <si>
    <t>Sample Tracking</t>
  </si>
  <si>
    <t>The system shall maintain a history of sample life information about a sample's workflow. The workflow is a requirement for internal COC (Chain of Custody) that tracks all samples from the time they are received until disposal</t>
    <phoneticPr fontId="0" type="noConversion"/>
  </si>
  <si>
    <t>4.7.1.1.1</t>
    <phoneticPr fontId="0" type="noConversion"/>
  </si>
  <si>
    <t>System shall support to track sample life history (Chain of Custody).</t>
  </si>
  <si>
    <t>配置查看custody</t>
  </si>
  <si>
    <t>4.7.1.1.2</t>
    <phoneticPr fontId="0" type="noConversion"/>
  </si>
  <si>
    <t>System shall support to display samples and test results by batch number.</t>
  </si>
  <si>
    <t>4.7.1.2</t>
    <phoneticPr fontId="0" type="noConversion"/>
  </si>
  <si>
    <t>The system shall track users by log-in the data they enter and functions they perform</t>
    <phoneticPr fontId="0" type="noConversion"/>
  </si>
  <si>
    <t>4.7.1.2.1</t>
    <phoneticPr fontId="0" type="noConversion"/>
  </si>
  <si>
    <t>System shall support to track data entry history and modification history.</t>
    <phoneticPr fontId="0" type="noConversion"/>
  </si>
  <si>
    <t>配置审计</t>
  </si>
  <si>
    <t>4.7.1.3</t>
    <phoneticPr fontId="0" type="noConversion"/>
  </si>
  <si>
    <r>
      <t xml:space="preserve">The user shall be able to view all the information in QCLaD </t>
    </r>
    <r>
      <rPr>
        <b/>
        <sz val="11"/>
        <color rgb="FFFF0000"/>
        <rFont val="Cambria"/>
        <family val="3"/>
        <charset val="134"/>
        <scheme val="major"/>
      </rPr>
      <t>dashboard</t>
    </r>
    <r>
      <rPr>
        <b/>
        <sz val="11"/>
        <rFont val="Cambria"/>
        <family val="1"/>
        <scheme val="major"/>
      </rPr>
      <t xml:space="preserve"> about a sample including current status</t>
    </r>
    <phoneticPr fontId="0" type="noConversion"/>
  </si>
  <si>
    <t>4.7.1.3.1</t>
    <phoneticPr fontId="0" type="noConversion"/>
  </si>
  <si>
    <t>The user shall be able to view all the information about a sample including current status in QCLaD folder.</t>
    <phoneticPr fontId="0" type="noConversion"/>
  </si>
  <si>
    <t>文件夹</t>
  </si>
  <si>
    <t>4.7.1.3.2</t>
  </si>
  <si>
    <t xml:space="preserve">Mark </t>
  </si>
  <si>
    <t>Noted: can fulfill by folder configuration.</t>
  </si>
  <si>
    <t>4.7.1.4</t>
    <phoneticPr fontId="0" type="noConversion"/>
  </si>
  <si>
    <t>The user shall be able to update the sample’s workflow information as it moves through the process</t>
    <phoneticPr fontId="0" type="noConversion"/>
  </si>
  <si>
    <t>4.7.1.4.1</t>
    <phoneticPr fontId="0" type="noConversion"/>
  </si>
  <si>
    <t>Mark</t>
    <phoneticPr fontId="47" type="noConversion"/>
  </si>
  <si>
    <t>does 'update the sample’s workflow information' means modify samples 's attributes ?
Dragon -- No, attributes is not been changed but the status may change. Similar to No.36</t>
  </si>
  <si>
    <t>4.7.1.4.2</t>
    <phoneticPr fontId="0" type="noConversion"/>
  </si>
  <si>
    <t>System shall update sample status automatically according to workflow.</t>
    <phoneticPr fontId="0" type="noConversion"/>
  </si>
  <si>
    <t>4.7.1.5</t>
    <phoneticPr fontId="0" type="noConversion"/>
  </si>
  <si>
    <t>The system shall track the current status of test(s) for a sample</t>
  </si>
  <si>
    <t>4.7.1.5.1</t>
    <phoneticPr fontId="0" type="noConversion"/>
  </si>
  <si>
    <t>System shall supoort to display the current status of test(s) for a sample.</t>
  </si>
  <si>
    <t>标准功能</t>
  </si>
  <si>
    <t>4.7.1.6</t>
    <phoneticPr fontId="0" type="noConversion"/>
  </si>
  <si>
    <t>The system shall display a history of a sample's workflow</t>
  </si>
  <si>
    <t>4.7.1.6.1</t>
    <phoneticPr fontId="0" type="noConversion"/>
  </si>
  <si>
    <t>System shall support to track a history of a sample lifecycle.</t>
  </si>
  <si>
    <t>审计配置,打开审计追踪</t>
  </si>
  <si>
    <t>4.7.1.6.2</t>
  </si>
  <si>
    <t>MARK</t>
    <phoneticPr fontId="0" type="noConversion"/>
  </si>
  <si>
    <t xml:space="preserve">does workflow means lifecycle?
Re：Lifecycle include multiple workflow </t>
  </si>
  <si>
    <t>4.7.2.1</t>
    <phoneticPr fontId="0" type="noConversion"/>
  </si>
  <si>
    <t>Data View and Audit Trail</t>
  </si>
  <si>
    <t>The system shall be capable of supporting multiple languages(based on the plant preferred local language) and English,  to support Henkel global roll out</t>
    <phoneticPr fontId="0" type="noConversion"/>
  </si>
  <si>
    <t>4.7.2.1.1</t>
    <phoneticPr fontId="0" type="noConversion"/>
  </si>
  <si>
    <t>System shall support multiple languages. (Chinese and English will be implemented in Dragon pilot phase.)</t>
  </si>
  <si>
    <t>语言包</t>
  </si>
  <si>
    <t>4.7.2.2</t>
    <phoneticPr fontId="0" type="noConversion"/>
  </si>
  <si>
    <t>The system shall provide functionality for users with appropriate permissions to configure a view of the QCLAD data; Permission can be configurable, by function or by user</t>
    <phoneticPr fontId="0" type="noConversion"/>
  </si>
  <si>
    <t>4.7.2.2.1</t>
    <phoneticPr fontId="0" type="noConversion"/>
  </si>
  <si>
    <t>System shall support data access control by function department or by user role.</t>
  </si>
  <si>
    <t>group</t>
  </si>
  <si>
    <t>4.7.2.2.2</t>
    <phoneticPr fontId="0" type="noConversion"/>
  </si>
  <si>
    <t>System shall support to configure user's role and group.</t>
    <phoneticPr fontId="0" type="noConversion"/>
  </si>
  <si>
    <t>4.7.2.3</t>
    <phoneticPr fontId="0" type="noConversion"/>
  </si>
  <si>
    <t>The system shall provide real time electronic sample status and location tracking (Lab location and area).</t>
    <phoneticPr fontId="0" type="noConversion"/>
  </si>
  <si>
    <t>4.7.2.3.1</t>
    <phoneticPr fontId="0" type="noConversion"/>
  </si>
  <si>
    <t>System shall support to display sample status and location in real time.</t>
  </si>
  <si>
    <t>4.7.2.4</t>
    <phoneticPr fontId="0" type="noConversion"/>
  </si>
  <si>
    <t>The system shall provide real time access to results for peer and supervisor review during sample testing (electronic / hard copy), hardcopy can be download/print from system</t>
    <phoneticPr fontId="0" type="noConversion"/>
  </si>
  <si>
    <t>4.7.2.4.1</t>
    <phoneticPr fontId="0" type="noConversion"/>
  </si>
  <si>
    <t>system shall support to display results for peer and supervisor review in real time.</t>
    <phoneticPr fontId="0" type="noConversion"/>
  </si>
  <si>
    <t>4.7.2.4.2</t>
  </si>
  <si>
    <t>hard copy print requirement refers to RTM 4.4.1.10.1.</t>
  </si>
  <si>
    <t>4.7.2.5</t>
  </si>
  <si>
    <t>The system shall provide functionality to perform trending and simple data analysis</t>
    <phoneticPr fontId="0" type="noConversion"/>
  </si>
  <si>
    <t>4.7.2.5.1</t>
    <phoneticPr fontId="0" type="noConversion"/>
  </si>
  <si>
    <t>Thermo SQC function instruction. 
Re:TF have upload instruction in SharePoint and replied it via email.
Re:Henkel replied Not in the scope of QC LaD</t>
  </si>
  <si>
    <t>4.7.2.6</t>
    <phoneticPr fontId="0" type="noConversion"/>
  </si>
  <si>
    <t>The system shall allow data generated to be exported in XML / CSV/ PDF format</t>
    <phoneticPr fontId="0" type="noConversion"/>
  </si>
  <si>
    <t>4.7.2.6.1</t>
    <phoneticPr fontId="0" type="noConversion"/>
  </si>
  <si>
    <t>system shall support to export data through folder explorer in XML / CSV/ PDF format.</t>
    <phoneticPr fontId="0" type="noConversion"/>
  </si>
  <si>
    <t>4.7.2.7</t>
    <phoneticPr fontId="0" type="noConversion"/>
  </si>
  <si>
    <t>The system shall provide functionality to export data in a usable format to third party software (e.g. Excel)</t>
  </si>
  <si>
    <t>4.7.2.7.1</t>
    <phoneticPr fontId="0" type="noConversion"/>
  </si>
  <si>
    <t>System shall support to export data through folder explorer in an usable format.</t>
  </si>
  <si>
    <t>4.7.2.7.2</t>
  </si>
  <si>
    <t>what's third party software?
Re: We can download data from QCLaD to excel,pdf,word. We can upload data of third party software as a excel/pdf/word format to QCLaD manually.</t>
  </si>
  <si>
    <t>4.7.2.8</t>
    <phoneticPr fontId="0" type="noConversion"/>
  </si>
  <si>
    <r>
      <t xml:space="preserve">The system shall provide a simple </t>
    </r>
    <r>
      <rPr>
        <b/>
        <sz val="11"/>
        <color rgb="FFFF0000"/>
        <rFont val="Cambria"/>
        <family val="1"/>
        <scheme val="major"/>
      </rPr>
      <t>interface</t>
    </r>
    <r>
      <rPr>
        <b/>
        <sz val="11"/>
        <rFont val="Cambria"/>
        <family val="1"/>
        <scheme val="major"/>
      </rPr>
      <t xml:space="preserve"> / method  for extraction of data into statistic report</t>
    </r>
  </si>
  <si>
    <t>4.7.2.8.1</t>
    <phoneticPr fontId="0" type="noConversion"/>
  </si>
  <si>
    <t>System shall provide a simple template or method  for extraction of data.</t>
  </si>
  <si>
    <t>配置导出功能</t>
  </si>
  <si>
    <t>4.7.2.8.2</t>
  </si>
  <si>
    <t xml:space="preserve">MARK </t>
    <phoneticPr fontId="6" type="noConversion"/>
  </si>
  <si>
    <t>interface means integration? Why need interface in here.
Re:Template</t>
  </si>
  <si>
    <t>4.7.2.9</t>
    <phoneticPr fontId="0" type="noConversion"/>
  </si>
  <si>
    <t>The system shall provide tools to search for datasets or components by any combination of fields</t>
  </si>
  <si>
    <t>4.7.2.9.1</t>
    <phoneticPr fontId="0" type="noConversion"/>
  </si>
  <si>
    <t>System shall support to search for datasets or components by combination of fields in folder explorer.</t>
  </si>
  <si>
    <t>4.7.2.10</t>
    <phoneticPr fontId="0" type="noConversion"/>
  </si>
  <si>
    <t>The system should provide tools for users to save one or more defined sets of structured search parameters for future use, linked to the user's profile</t>
    <phoneticPr fontId="0" type="noConversion"/>
  </si>
  <si>
    <t>4.7.2.10.1</t>
    <phoneticPr fontId="0" type="noConversion"/>
  </si>
  <si>
    <t>System shall support user to create personal folder by saved defined one or more criteria to display certain data.</t>
  </si>
  <si>
    <t>4.7.2.11</t>
    <phoneticPr fontId="0" type="noConversion"/>
  </si>
  <si>
    <t>The system shall provide full audit trails. All audit trails shall be secure, computer generated, time stamped using the local time. It shall include the date and time, retention of original data, reason for change to original data and the individual performing the task. All data entry, recording of reporting processes and all changes to the reported data shall be recorded along with any deletion of data</t>
  </si>
  <si>
    <t>4.7.2.11.1</t>
    <phoneticPr fontId="0" type="noConversion"/>
  </si>
  <si>
    <t>System shall provide full audit trails.</t>
  </si>
  <si>
    <t>4.7.2.11.2</t>
  </si>
  <si>
    <t>System shall support all audit trails shall be secure, computer generated, time stamped using the local time.</t>
  </si>
  <si>
    <t>4.7.2.11.3</t>
  </si>
  <si>
    <t>Thermo check local time 
Re: have checked.</t>
  </si>
  <si>
    <t>4.7.2.11.4</t>
  </si>
  <si>
    <t>System shall support audit trial shall include the date and time, retention of original data, reason for change to original data and the individual performing the task.</t>
  </si>
  <si>
    <t>4.7.2.11.5</t>
  </si>
  <si>
    <t>System shall be able to support all data entry, recording of reporting processes and all changes to the reported data shall be recorded along with any deletion of data.</t>
  </si>
  <si>
    <t>4.7.2.12</t>
    <phoneticPr fontId="0" type="noConversion"/>
  </si>
  <si>
    <t>The system shall require audit trail entries for all creation, modification and approval associated with static data</t>
    <phoneticPr fontId="0" type="noConversion"/>
  </si>
  <si>
    <t>4.7.2.12.1</t>
    <phoneticPr fontId="0" type="noConversion"/>
  </si>
  <si>
    <t>System shall support audit trail for all creation, modification and approval associated with static data.</t>
  </si>
  <si>
    <t>4.7.2.13</t>
    <phoneticPr fontId="0" type="noConversion"/>
  </si>
  <si>
    <t>The system shall allow the display, print or download any / all audit trails</t>
    <phoneticPr fontId="0" type="noConversion"/>
  </si>
  <si>
    <t>4.7.2.13.1</t>
    <phoneticPr fontId="0" type="noConversion"/>
  </si>
  <si>
    <t>System shall support to display, print or export any / all audit trails.</t>
  </si>
  <si>
    <t>4.7.2.14</t>
    <phoneticPr fontId="0" type="noConversion"/>
  </si>
  <si>
    <t>The system should be able to export the audit trail into a report</t>
  </si>
  <si>
    <t>4.7.2.14.1</t>
    <phoneticPr fontId="0" type="noConversion"/>
  </si>
  <si>
    <t>System shall support to export the audit trail into a report.</t>
    <phoneticPr fontId="6" type="noConversion"/>
  </si>
  <si>
    <t>4.8.1.1</t>
    <phoneticPr fontId="0" type="noConversion"/>
  </si>
  <si>
    <t>Laboratory equipment</t>
  </si>
  <si>
    <r>
      <rPr>
        <b/>
        <sz val="11"/>
        <color rgb="FF000000"/>
        <rFont val="Cambria"/>
        <family val="1"/>
        <scheme val="major"/>
      </rPr>
      <t xml:space="preserve">Standard management of instruments and equipment in the lab including specifications, parameters, spare parts, calibration </t>
    </r>
    <r>
      <rPr>
        <sz val="8"/>
        <color rgb="FFFF0000"/>
        <rFont val="Calibri"/>
        <family val="2"/>
      </rPr>
      <t>and maintenance.</t>
    </r>
  </si>
  <si>
    <t>4.8.1.1.1</t>
    <phoneticPr fontId="0" type="noConversion"/>
  </si>
  <si>
    <t>System shall support maintain specification and parameters in equipment master data.</t>
  </si>
  <si>
    <t>4.8.1.1.2</t>
  </si>
  <si>
    <t>System shall allow maintain spare parts, calibration and maintenance.</t>
  </si>
  <si>
    <t>4.8.1.2</t>
    <phoneticPr fontId="0" type="noConversion"/>
  </si>
  <si>
    <t>Instrument calibration and maintenance scheduler. A module to maintain calibration schedules and maintenance schedule and providing warning messages. Use instrument calibration module.</t>
  </si>
  <si>
    <t>4.8.1.2.1</t>
    <phoneticPr fontId="0" type="noConversion"/>
  </si>
  <si>
    <t>System shall suport calibration and maintenance plan locally.</t>
    <phoneticPr fontId="0" type="noConversion"/>
  </si>
  <si>
    <t>4.8.1.2.2</t>
  </si>
  <si>
    <t>System shall remind user when instrument maintenance expire in folder.</t>
  </si>
  <si>
    <t>4.8.1.2.3</t>
  </si>
  <si>
    <t>Need to check maintenance scheduler is in scope with Neelima.
Henkel:Need the maintainance task to be schedulered, but sending notification to SAP is not in scope.</t>
  </si>
  <si>
    <t>4.8.1.3</t>
    <phoneticPr fontId="0" type="noConversion"/>
  </si>
  <si>
    <t>Instrument history. An instrument history report detailing the failures and calibration / maintenance events for an instrument</t>
    <phoneticPr fontId="0" type="noConversion"/>
  </si>
  <si>
    <t>4.8.1.3.1</t>
    <phoneticPr fontId="0" type="noConversion"/>
  </si>
  <si>
    <t>System shall support to record instrument history , including failures, calibration, maintenance.</t>
  </si>
  <si>
    <t>4.8.1.4</t>
    <phoneticPr fontId="0" type="noConversion"/>
  </si>
  <si>
    <t>When the chemical/instrument is going to be expired, the system shall provide functionality to alert specified user(s) accordingly</t>
  </si>
  <si>
    <t>4.8.1.4.1</t>
    <phoneticPr fontId="0" type="noConversion"/>
  </si>
  <si>
    <t>System shall alert specific user when instrument is about to expire list in folder.</t>
  </si>
  <si>
    <t>配置仪器即将过期文件夹</t>
  </si>
  <si>
    <t>4.8.1.5</t>
    <phoneticPr fontId="0" type="noConversion"/>
  </si>
  <si>
    <t>Result entry can be blocked for users that do not comply with the  user testing skill requirements, QCLaD should has capability to check user’s testing skill from Henkel skill matrix tool if Henkel site use the tool</t>
    <phoneticPr fontId="6" type="noConversion"/>
  </si>
  <si>
    <t>4.8.1.5.1</t>
    <phoneticPr fontId="0" type="noConversion"/>
  </si>
  <si>
    <t>System shall only allow tests assign to qualified users.</t>
  </si>
  <si>
    <t>4.8.1.5.2</t>
    <phoneticPr fontId="0" type="noConversion"/>
  </si>
  <si>
    <t>System shall sync user’s testing skill from Henkel skill matrix tool.</t>
    <phoneticPr fontId="6" type="noConversion"/>
  </si>
  <si>
    <t>4.8.1.6</t>
    <phoneticPr fontId="0" type="noConversion"/>
  </si>
  <si>
    <t>The system shall provide a way to alert the system defined users when the chemicals or instruments used for the test is/are expired
Exception for expired calibration/maintenance can be managed by NCMR, enter NCMR number can continue use the instrument.</t>
  </si>
  <si>
    <t>4.8.1.6.1</t>
    <phoneticPr fontId="0" type="noConversion"/>
  </si>
  <si>
    <t>System shall alert specific user when chemicals or instruments is/are expired list in folder.</t>
  </si>
  <si>
    <t>配置库存即将过期文件夹</t>
  </si>
  <si>
    <t>4.8.1.6.2</t>
  </si>
  <si>
    <t>System shall allow specific user to active expired instrument.</t>
  </si>
  <si>
    <t>4.8.1.6.3</t>
  </si>
  <si>
    <t>MARK</t>
    <phoneticPr fontId="6" type="noConversion"/>
  </si>
  <si>
    <t>Henkel need to check NCMR number is not require for instrument 
Henkel: NCMR is not required.</t>
    <phoneticPr fontId="0" type="noConversion"/>
  </si>
  <si>
    <t>4.8.1.7</t>
    <phoneticPr fontId="0" type="noConversion"/>
  </si>
  <si>
    <t>The system shall have capability to maintain master data for consumable, spare parts, equipment, etc.</t>
  </si>
  <si>
    <t>4.8.1.7.1</t>
    <phoneticPr fontId="0" type="noConversion"/>
  </si>
  <si>
    <t>System shall have capability to maintain master data for consumable, spare parts, equipment.</t>
  </si>
  <si>
    <t>4.8.2.1</t>
    <phoneticPr fontId="0" type="noConversion"/>
  </si>
  <si>
    <t>Personnel</t>
    <phoneticPr fontId="0" type="noConversion"/>
  </si>
  <si>
    <t>Configure roles so that Administrator has control of user accounts / roles etc. Lab super user(s) control lab static data…</t>
    <phoneticPr fontId="0" type="noConversion"/>
  </si>
  <si>
    <t>4.8.2.1.1</t>
    <phoneticPr fontId="0" type="noConversion"/>
  </si>
  <si>
    <t>System shall allow specific user to maintain user accounts, roles and groups.</t>
  </si>
  <si>
    <t>4.8.2.1.2</t>
  </si>
  <si>
    <t>System shall allow specific user to maintain lab static data.</t>
  </si>
  <si>
    <t>4.8.2.2</t>
    <phoneticPr fontId="0" type="noConversion"/>
  </si>
  <si>
    <t>The system shall be configurable to allow the group of users to access to data only under his groups.</t>
  </si>
  <si>
    <t>4.8.2.2.1</t>
    <phoneticPr fontId="0" type="noConversion"/>
  </si>
  <si>
    <t>System shall allow the group of users to access to data only under his groups.</t>
    <phoneticPr fontId="6" type="noConversion"/>
  </si>
  <si>
    <t>4.8.2.2.2</t>
    <phoneticPr fontId="0" type="noConversion"/>
  </si>
  <si>
    <t>System shall support to configure user's group.</t>
    <phoneticPr fontId="0" type="noConversion"/>
  </si>
  <si>
    <t>4.8.2.3</t>
    <phoneticPr fontId="0" type="noConversion"/>
  </si>
  <si>
    <t>The system shall provide a way to manage QC technician testing skill against analysis, instrument and preparation including, testing result and testing skill expiry date. This should be based Henkel’s Skill matrix module</t>
  </si>
  <si>
    <t>4.8.2.3.1</t>
    <phoneticPr fontId="0" type="noConversion"/>
  </si>
  <si>
    <t>System shall support to manage user's training skill by analysis or instrument.</t>
  </si>
  <si>
    <t>配置training功能，适配OSDP接口</t>
  </si>
  <si>
    <t>4.8.2.3.2</t>
    <phoneticPr fontId="0" type="noConversion"/>
  </si>
  <si>
    <t>System shall sync user’s testing skill from Henkel skill matrix tool.</t>
  </si>
  <si>
    <t>4.8.2.3.3</t>
  </si>
  <si>
    <t>skill expiry date out of scope in qclad?
Henkel: Out of scope</t>
    <phoneticPr fontId="0" type="noConversion"/>
  </si>
  <si>
    <t>4.8.3.1</t>
    <phoneticPr fontId="0" type="noConversion"/>
  </si>
  <si>
    <t>SOP</t>
    <phoneticPr fontId="0" type="noConversion"/>
  </si>
  <si>
    <t>The system shall build a SOP library including description, method version, method ID and other fields. SOP’s shall have version control.</t>
  </si>
  <si>
    <t>4.8.3.1.1</t>
    <phoneticPr fontId="0" type="noConversion"/>
  </si>
  <si>
    <t>System shall support to maintain LES method, including description, method version, method ID.</t>
  </si>
  <si>
    <t>4.8.3.1.2</t>
    <phoneticPr fontId="0" type="noConversion"/>
  </si>
  <si>
    <t>System shall support version control for LES methods.</t>
    <phoneticPr fontId="0" type="noConversion"/>
  </si>
  <si>
    <t>4.8.3.1.3</t>
  </si>
  <si>
    <t>Henkel need to list other fields.
Henkel: TF decide the fields required.</t>
  </si>
  <si>
    <t>4.8.3.2</t>
    <phoneticPr fontId="0" type="noConversion"/>
  </si>
  <si>
    <t>The system shall have the ability to hold and generate custom calculations</t>
  </si>
  <si>
    <t>4.8.3.2.1</t>
    <phoneticPr fontId="0" type="noConversion"/>
  </si>
  <si>
    <t>System shall be able to maintain custom calculations.</t>
  </si>
  <si>
    <t>配置计算公式</t>
  </si>
  <si>
    <t>4.8.3.3</t>
    <phoneticPr fontId="0" type="noConversion"/>
  </si>
  <si>
    <t>SOP should have an approval process and only one version should be active</t>
  </si>
  <si>
    <t>4.8.3.3.1</t>
    <phoneticPr fontId="0" type="noConversion"/>
  </si>
  <si>
    <t>System shall support to upgrade version after approval.</t>
    <phoneticPr fontId="6" type="noConversion"/>
  </si>
  <si>
    <t>4.8.3.3.2</t>
  </si>
  <si>
    <t>System shall have only one version active.</t>
  </si>
  <si>
    <t>4.8.4.1</t>
    <phoneticPr fontId="0" type="noConversion"/>
  </si>
  <si>
    <t>Specification management</t>
  </si>
  <si>
    <t xml:space="preserve">Support for multi-level Product Specifications, which must align with product SAP setting </t>
    <phoneticPr fontId="0" type="noConversion"/>
  </si>
  <si>
    <t>4.8.4.1.1</t>
  </si>
  <si>
    <t>System shall support for multi-level Product Specifications.</t>
  </si>
  <si>
    <t>4.8.4.1.2</t>
  </si>
  <si>
    <t>System shall align MLP data with SAP.</t>
  </si>
  <si>
    <t>4.8.4.2</t>
    <phoneticPr fontId="0" type="noConversion"/>
  </si>
  <si>
    <t>For non-standard testing, Version controlled Product Specifications that require approval before activation.</t>
    <phoneticPr fontId="0" type="noConversion"/>
  </si>
  <si>
    <t>4.8.4.2.1</t>
    <phoneticPr fontId="0" type="noConversion"/>
  </si>
  <si>
    <t>System shall support to add approval plan for non-standard testing MLP, which requires approval before activation.</t>
  </si>
  <si>
    <t>配置审批流</t>
  </si>
  <si>
    <t>4.8.5.1</t>
    <phoneticPr fontId="0" type="noConversion"/>
  </si>
  <si>
    <t>Stock &amp; Inventory management</t>
  </si>
  <si>
    <t>Includes information about its characteristics (labels, location, available amount, etc), ordering (supplier, expiry warning, minimum quantity (safety stock) alert, etc), inventory, parameters for use in calculations, etc.
Stock in QCLaD, including retain samples, consumables, standards, reagents, instruments, spare parts, etc.
The system shall have capability to set and configurate minimum quantity (safety stock).</t>
  </si>
  <si>
    <t>4.8.5.1.1</t>
    <phoneticPr fontId="0" type="noConversion"/>
  </si>
  <si>
    <t>System shall support stock mangement to maintain informations including characteristics (labels, location, available amount), ordering (supplier, expiry warning, minimum quantity (safety stock) alert), inventory, parameters for use in calculations.</t>
  </si>
  <si>
    <t>配置字段，加到form里</t>
  </si>
  <si>
    <t>4.8.5.1.2</t>
  </si>
  <si>
    <t>System shall support stock mangement to maintain stock type including retain samples, consumables, standards, reagents, instruments, spare parts.</t>
    <phoneticPr fontId="0" type="noConversion"/>
  </si>
  <si>
    <t>4.8.5.1.3</t>
  </si>
  <si>
    <t>what parameters do we need ro use in calculations? Need to check with Henkel team.
HENKEL:The same as 4.8.5.4.</t>
    <phoneticPr fontId="0" type="noConversion"/>
  </si>
  <si>
    <t>4.8.5.1.4</t>
  </si>
  <si>
    <t>System shall be able to set and configurate minimum quantity in stock mangement.</t>
  </si>
  <si>
    <t>4.8.5.1.5</t>
  </si>
  <si>
    <t>System shall be able to set and configurate maximum quantity in stock mangement.</t>
  </si>
  <si>
    <t>4.8.5.1.6</t>
  </si>
  <si>
    <t>System shall support to print stock label.</t>
  </si>
  <si>
    <t>4.8.5.1.7</t>
  </si>
  <si>
    <t>System shall automatically deduct the stock quantity when consumption.</t>
  </si>
  <si>
    <t>标准功能，如果扫码消耗库存，得开发；如果是原生操作就是标准的</t>
  </si>
  <si>
    <t>4.8.5.2</t>
    <phoneticPr fontId="0" type="noConversion"/>
  </si>
  <si>
    <t>The system shall provide a way to track the reference materials used (reference materials and stock solutions) to perform the test(s) on sample(s) through the use of barcoding system.</t>
  </si>
  <si>
    <t>4.8.5.2.1</t>
    <phoneticPr fontId="0" type="noConversion"/>
  </si>
  <si>
    <t>System shall allow user to record the reference materials used (reference materials and stock solutions) when performing the tests through barcode.</t>
  </si>
  <si>
    <t>添加字段信息，扫码功能可能需要开发</t>
  </si>
  <si>
    <t>4.8.5.3</t>
    <phoneticPr fontId="0" type="noConversion"/>
  </si>
  <si>
    <t xml:space="preserve">The system shall provide a way of tracking the storage location of samples stored in QC by providing material, batch information.  </t>
  </si>
  <si>
    <t>Retain</t>
  </si>
  <si>
    <t>4.8.5.3.1</t>
    <phoneticPr fontId="0" type="noConversion"/>
  </si>
  <si>
    <t>System shall allow user to record and retrieve the storage location of samples stored in QC by providing material, batch information.</t>
  </si>
  <si>
    <t>4.8.5.4</t>
    <phoneticPr fontId="0" type="noConversion"/>
  </si>
  <si>
    <t>The system shall provide a way for users to record the preparation of stock solutions from one (1) or more than one (1) consumable materials within the inventory. These prepared stock solutions will also be uniquely identified by the system and given an expiry date.</t>
  </si>
  <si>
    <t>4.8.5.4.1</t>
    <phoneticPr fontId="0" type="noConversion"/>
  </si>
  <si>
    <t>System shall allow users to prepare stock solutions from one or more consumable materials within the inventory in LES and automatically deduct the consumption and generate a label.</t>
  </si>
  <si>
    <t>配置溶液配制LES</t>
  </si>
  <si>
    <t>4.8.5.4.2</t>
  </si>
  <si>
    <t>System shall be able to maintain an expiry date and uniquely identify for prepared stock solutions.</t>
  </si>
  <si>
    <t>LES配置</t>
  </si>
  <si>
    <t>4.8.5.4.3</t>
  </si>
  <si>
    <t>What's meaning of the stock solutions? 
Henkel: System shall automatically deduct the consumption and generate a label clarify expiration date for the new reagent and also be shown in stock inventory.</t>
  </si>
  <si>
    <t>4.8.5.5</t>
    <phoneticPr fontId="0" type="noConversion"/>
  </si>
  <si>
    <t>The system shall provide a way to maintain and view the expiry date record of each consumable material </t>
  </si>
  <si>
    <t>4.8.5.5.1</t>
    <phoneticPr fontId="0" type="noConversion"/>
  </si>
  <si>
    <t>System shall be able to maintain the expiry date field of stock.</t>
  </si>
  <si>
    <t>4.8.5.5.2</t>
  </si>
  <si>
    <t>System shall be able to display the expiry date field of stock in folder.</t>
  </si>
  <si>
    <t>4.8.5.6</t>
  </si>
  <si>
    <t>Warning for expiry and near to the minimum storage level</t>
  </si>
  <si>
    <t>4.8.5.6.1</t>
    <phoneticPr fontId="0" type="noConversion"/>
  </si>
  <si>
    <t>System shall be able to warining for expiry stock in folder.</t>
  </si>
  <si>
    <t>4.8.5.6.2</t>
  </si>
  <si>
    <t>System shall be able to warining for Low amount storage in folder.</t>
  </si>
  <si>
    <t>4.8.5.6.3</t>
  </si>
  <si>
    <t>System shall be able to warining for Exceed amount storage in folder.</t>
    <phoneticPr fontId="0" type="noConversion"/>
  </si>
  <si>
    <t>4.8.5.6.4</t>
  </si>
  <si>
    <t>Noted: dragon need maximum amount reminder
HENKEL:Reminder for minimum and maximum stock based on the master data.
TF added in rtm</t>
    <phoneticPr fontId="0" type="noConversion"/>
  </si>
  <si>
    <t>4.8.5.7</t>
    <phoneticPr fontId="0" type="noConversion"/>
  </si>
  <si>
    <t>The system shall provide a way to automatically assign the validation of chemical reference standards/instrument maintenance task to specified user(s).</t>
  </si>
  <si>
    <t>4.8.5.7.1</t>
    <phoneticPr fontId="0" type="noConversion"/>
  </si>
  <si>
    <t>Is instrument maintenance out of scope ?
Henkel:The same as 4.8.1.2.This one should be in scope.</t>
    <phoneticPr fontId="0" type="noConversion"/>
  </si>
  <si>
    <t>4.8.5.7.2</t>
  </si>
  <si>
    <t>System shall create LES tasks for solution preparations automatically when stock is below safety stock or about to expire.</t>
  </si>
  <si>
    <t>配置LES</t>
  </si>
  <si>
    <t>4.8.5.7.3</t>
  </si>
  <si>
    <t>System shall create LES tasks for instrument maintenance automatically when maintenance date arrives.</t>
  </si>
  <si>
    <t>4.8.5.7.4</t>
  </si>
  <si>
    <t>System shall automatically assign the solution preparation LES tasks to specific user.</t>
  </si>
  <si>
    <t>4.8.5.7.5</t>
  </si>
  <si>
    <t>System shall automatically assign the instrument maintenance LES tasks to specific user.</t>
  </si>
  <si>
    <t>4.8.5.7.6</t>
  </si>
  <si>
    <t>automatically assign rule, validation workflow</t>
    <phoneticPr fontId="0" type="noConversion"/>
  </si>
  <si>
    <t>4.8.5.8</t>
    <phoneticPr fontId="0" type="noConversion"/>
  </si>
  <si>
    <t xml:space="preserve">Includes handling and storage precautions, security data, associated hazards and risks and GHS requirement. </t>
  </si>
  <si>
    <t>4.8.5.8.1</t>
    <phoneticPr fontId="0" type="noConversion"/>
  </si>
  <si>
    <t>System shall support to maintain stock information , including handling and storage precautions, security data, associated hazards and risks and GHS requirement.</t>
  </si>
  <si>
    <t>4.8.5.8.2</t>
  </si>
  <si>
    <t xml:space="preserve">System shall sync GHS information form SAP to substance in QCLAD.
Refer to 4.5.1.5 </t>
  </si>
  <si>
    <t>4.9.1</t>
    <phoneticPr fontId="0" type="noConversion"/>
  </si>
  <si>
    <r>
      <t xml:space="preserve">Security, including audit trails, group and functional security management facilities, password protection of all login accounts. For Electronic Signature support, password checking is required when creating, modifying or </t>
    </r>
    <r>
      <rPr>
        <b/>
        <sz val="11"/>
        <color rgb="FFFF0000"/>
        <rFont val="Cambria"/>
        <family val="1"/>
        <scheme val="major"/>
      </rPr>
      <t>delet</t>
    </r>
    <r>
      <rPr>
        <b/>
        <sz val="11"/>
        <rFont val="Cambria"/>
        <family val="1"/>
        <scheme val="major"/>
      </rPr>
      <t>ing electronic records.</t>
    </r>
  </si>
  <si>
    <t>4.9.1.1</t>
    <phoneticPr fontId="0" type="noConversion"/>
  </si>
  <si>
    <t>System shall support function for security, including audit trails, group and  security management, password protection of all login accounts.</t>
    <phoneticPr fontId="0" type="noConversion"/>
  </si>
  <si>
    <t>4.9.1.2</t>
  </si>
  <si>
    <t>MARK</t>
  </si>
  <si>
    <t>System shall support electronic signature, password checking is required when creating, modifying or removing electronic records.（系统支持在创建、修改、移除记录时触发电子签名并输入密码）</t>
  </si>
  <si>
    <t>4.9.2</t>
  </si>
  <si>
    <t>The system shall provide multi layered security allowing different user profiles and access privileges. The related access rights to be configured according to the role performed (e.g. system administrator, system user).  Individual users may be assigned one or more profiles or individual access rights.</t>
    <phoneticPr fontId="0" type="noConversion"/>
  </si>
  <si>
    <t>4.9.2.1</t>
    <phoneticPr fontId="0" type="noConversion"/>
  </si>
  <si>
    <t>System shall support to configure multiple roles for user to manage permission to profiles and access privileges.(一个人可以有多个角色）</t>
  </si>
  <si>
    <t>4.9.2.2</t>
  </si>
  <si>
    <t xml:space="preserve">System shall support to maintain different roles. </t>
    <phoneticPr fontId="0" type="noConversion"/>
  </si>
  <si>
    <t>4.9.3</t>
  </si>
  <si>
    <t>The system shall provide tools to configure access controls at a dataset level or data group level, to restrict viewing and retrieval access to certain individuals or groups</t>
  </si>
  <si>
    <t>4.9.3.1</t>
    <phoneticPr fontId="0" type="noConversion"/>
  </si>
  <si>
    <t>System shall support configure access controls using role and master menu.(系统通过角色和菜单按钮控制可见权限）</t>
  </si>
  <si>
    <t>4.9.4</t>
  </si>
  <si>
    <t>The system must provide unique ID and password authentication processes to confirm and provide traceability to the identity of users. The password must be encrypted or obscured when displayed on screen. This is applicable only for non SSO users</t>
    <phoneticPr fontId="0" type="noConversion"/>
  </si>
  <si>
    <t>4.9.4.1</t>
    <phoneticPr fontId="0" type="noConversion"/>
  </si>
  <si>
    <t>System shall support maintain user account id and password. User id shall be unique.（一个人必须有一个唯一的账号，且有密码）</t>
  </si>
  <si>
    <t>4.9.4.2</t>
  </si>
  <si>
    <t>System  shall encrypt or obscured password when displayed on screen.（密码是加密的）</t>
  </si>
  <si>
    <t>4.9.5</t>
  </si>
  <si>
    <r>
      <t xml:space="preserve">Single Sign On has to be integrated and used for all users with </t>
    </r>
    <r>
      <rPr>
        <b/>
        <sz val="11"/>
        <color rgb="FFFF0000"/>
        <rFont val="Cambria"/>
        <family val="1"/>
        <scheme val="major"/>
      </rPr>
      <t>Henkel user ids</t>
    </r>
    <r>
      <rPr>
        <b/>
        <sz val="11"/>
        <rFont val="Cambria"/>
        <family val="1"/>
        <scheme val="major"/>
      </rPr>
      <t xml:space="preserve">. For Henkel operators, they will be accessing application through iPAD with application credentials and password as defined in the above. </t>
    </r>
  </si>
  <si>
    <t>4.9.5.1</t>
  </si>
  <si>
    <t xml:space="preserve">System shall support single sign on for all users.
</t>
  </si>
  <si>
    <t>4.9.5.2</t>
  </si>
  <si>
    <t>Henkel user id是想用windows汉高的密码直接登录QCLAD吗？
Henkel: Only for white collar is possible.For blue collar, they need user ID and password for QCLaD</t>
  </si>
  <si>
    <t>4.9.5.3</t>
  </si>
  <si>
    <t>System shall allow user to login through iPad with user id and password.</t>
  </si>
  <si>
    <t>4.9.5.4</t>
  </si>
  <si>
    <t>System shall be able to limit user to login QCLAD using one account for one device or cilent at one time.</t>
  </si>
  <si>
    <t>4.9.5.5</t>
  </si>
  <si>
    <t>HENKEL: one account login to system in multiple devices at same time may required . Need further discuss internally  （待确认一个账户是否要能同时登录多设备）
Henkel:One account for one device or cilent at one time.</t>
  </si>
  <si>
    <t>4.9.6</t>
  </si>
  <si>
    <t>User accounts must be suspended after a configurable number of consecutive unsuccessful attempts to enter a password into the QCLAD system until a Security Administrator resets the password</t>
  </si>
  <si>
    <t>4.9.6.1</t>
    <phoneticPr fontId="0" type="noConversion"/>
  </si>
  <si>
    <t>System shall be able to freeze user's account after configurable login failure attempts. (多次输错密码冻结账户）</t>
  </si>
  <si>
    <t>4.9.6.2</t>
  </si>
  <si>
    <t>System shall allow specific user to unlock the account or reset the password.（管理员能够解锁和重置密码）</t>
  </si>
  <si>
    <t>4.9.7</t>
  </si>
  <si>
    <t>The system shall provide Administrator level account holders with the ability to terminate a user session on the system</t>
  </si>
  <si>
    <t>4.9.7.1</t>
    <phoneticPr fontId="0" type="noConversion"/>
  </si>
  <si>
    <t>System shall support system Administrator to terminate a user session on the system.(管理员终止用户进程）</t>
    <phoneticPr fontId="0" type="noConversion"/>
  </si>
  <si>
    <t>PT功能</t>
  </si>
  <si>
    <t>4.9.8</t>
  </si>
  <si>
    <t xml:space="preserve">The system shall provide global admin/user, regional admin/user and site admin/user roles. Each plant should work independently, and their activities, capabilities based on the plant level. </t>
    <phoneticPr fontId="0" type="noConversion"/>
  </si>
  <si>
    <t>4.9.8.1</t>
    <phoneticPr fontId="0" type="noConversion"/>
  </si>
  <si>
    <t>System shall support maintain global admin/user role.</t>
  </si>
  <si>
    <t>4.9.8.2</t>
  </si>
  <si>
    <t>System shall support maintain regional admin/user role.</t>
  </si>
  <si>
    <t>4.9.8.3</t>
  </si>
  <si>
    <t>System shall support maintain site admin/user role.</t>
  </si>
  <si>
    <t>4.9.8.4</t>
  </si>
  <si>
    <t>System shall support to work independently, perform activities, capabilities at plant level.</t>
  </si>
  <si>
    <t>4.9.8.5</t>
  </si>
  <si>
    <t>1、TF Give an example of Site permissions division
2、Henkel Provide a list of permissions for a role, such as the permissions and scope of data that the role needs to view/modify;
1、TF 给个Site权限划分的example
2、Henkel 提供角色的权限清单，例如该角色需要查看/修改数据的权限和范围；</t>
  </si>
  <si>
    <t>4.10.1</t>
    <phoneticPr fontId="0" type="noConversion"/>
  </si>
  <si>
    <t>Project management</t>
    <phoneticPr fontId="0" type="noConversion"/>
  </si>
  <si>
    <t>•	Responsible for project management for all in scope work including qualified project team set up, project schedule, timeline, milestone, deliverables, implementation, cooperation with HENKEL and relevant contractors, etc.
•	Roles and responsibilities of different parties
•	Expectations from Henkel has to be defined, documented after agreement between both parties
•	Requirements to be signed off between both parties
•	Escalation rule should be clearly defined for global scope. 
•	All communication to plant team strictly with the core team members knowledge. Any other communication without involving core team leads, will not be considered legitimate. 
•	Dragon pilot and global roll out should be managed by same global team with their regional/country counterparts.</t>
    <phoneticPr fontId="0" type="noConversion"/>
  </si>
  <si>
    <t>Business Proc Only</t>
  </si>
  <si>
    <t>4.10.1.1</t>
    <phoneticPr fontId="0" type="noConversion"/>
  </si>
  <si>
    <t>4.10.2</t>
    <phoneticPr fontId="0" type="noConversion"/>
  </si>
  <si>
    <t>Implementation</t>
    <phoneticPr fontId="0" type="noConversion"/>
  </si>
  <si>
    <t xml:space="preserve">•	Cooperate with HENKEL to analyse, implement and customize the system for HENKEL
•	Software installation and hardware landscape establishment
•	Implementation and delivery of a system that fully integrated with Henkel Systems
•	Assisting HENKEL to establish solution and support technical issue &amp; final configuration, also assisting to establish testing scenarios and user acceptance test
•	Remedy test problems
•	Implementation of necessary program changing to fit for purpose work processes and Henkel QCLAD template
•	System vendor should recommend required hardware type and brand to Henkel based on Henkel local site condition  </t>
    <phoneticPr fontId="0" type="noConversion"/>
  </si>
  <si>
    <t>4.10.2.1</t>
    <phoneticPr fontId="0" type="noConversion"/>
  </si>
  <si>
    <t>4.10.3.1</t>
    <phoneticPr fontId="0" type="noConversion"/>
  </si>
  <si>
    <t>Training</t>
    <phoneticPr fontId="0" type="noConversion"/>
  </si>
  <si>
    <t>•	Initial training to key users for pre-project preparations with a set of training materials</t>
    <phoneticPr fontId="0" type="noConversion"/>
  </si>
  <si>
    <t>4.10.3.1.1</t>
    <phoneticPr fontId="0" type="noConversion"/>
  </si>
  <si>
    <t>4.10.3.2</t>
    <phoneticPr fontId="0" type="noConversion"/>
  </si>
  <si>
    <t xml:space="preserve">•	Training language should be available in English or user preferred local language based on the language preference of the plant to be rolled out. </t>
    <phoneticPr fontId="0" type="noConversion"/>
  </si>
  <si>
    <t>4.10.3.2.1</t>
    <phoneticPr fontId="0" type="noConversion"/>
  </si>
  <si>
    <t>4.10.4</t>
    <phoneticPr fontId="0" type="noConversion"/>
  </si>
  <si>
    <t>License</t>
    <phoneticPr fontId="0" type="noConversion"/>
  </si>
  <si>
    <t>•	Providing all necessary software licenses
•	Software license purchased by each party has to be well defined</t>
    <phoneticPr fontId="0" type="noConversion"/>
  </si>
  <si>
    <t>4.10.4.1</t>
    <phoneticPr fontId="0" type="noConversion"/>
  </si>
  <si>
    <t>4.10.5</t>
    <phoneticPr fontId="0" type="noConversion"/>
  </si>
  <si>
    <t>Post support/Hypercare</t>
    <phoneticPr fontId="0" type="noConversion"/>
  </si>
  <si>
    <t>•	Providing support which detail SLA specified in MA contract
•	Providing post go-live maintenance and support
•	Roles and responsibilities of different parties during post Go live, roll out and maintenance. 
•	Hypercare should be conducted after system go live, system vendor should be support 60 man days to make the system running smoothly at Henkel lobal sites.</t>
    <phoneticPr fontId="0" type="noConversion"/>
  </si>
  <si>
    <t>4.10.5.1</t>
    <phoneticPr fontId="0" type="noConversion"/>
  </si>
  <si>
    <t>4.10.6</t>
    <phoneticPr fontId="0" type="noConversion"/>
  </si>
  <si>
    <t>Project documents</t>
    <phoneticPr fontId="0" type="noConversion"/>
  </si>
  <si>
    <t>•	Providing all relevant documentations with document categorise detailed
•	Provide system user manual in English and Henkel site local language</t>
    <phoneticPr fontId="0" type="noConversion"/>
  </si>
  <si>
    <t>4.10.6.1</t>
  </si>
  <si>
    <t>4.11.1</t>
  </si>
  <si>
    <t>4.11.1.1</t>
  </si>
  <si>
    <t>需要有两个仪表盘，一个为带有过滤条件的静态仪表盘，一个是默认条件但是定时刷新的动态仪表盘；两个仪表盘中显示的内容一致</t>
  </si>
  <si>
    <t>4.11.1.2</t>
  </si>
  <si>
    <t>带有过滤条件的静态仪表盘的过滤条件为：plant, work center,  business team(group)</t>
  </si>
  <si>
    <t>4.11.1.3</t>
  </si>
  <si>
    <t>默认条件的动态仪表盘的过滤条件为：当前登录人员所在的plant, work center,  business team(group)</t>
  </si>
  <si>
    <t>4.11.1.4</t>
  </si>
  <si>
    <t>仪表盘中需显示：Date of the day、of that day, the lists of on-duty operators, only showing the operator ID</t>
  </si>
  <si>
    <t>4.11.1.5</t>
  </si>
  <si>
    <t>仪表盘中需显示：of the criteria, the statistic of all the tasks ：
当天收样但未审核完成的样品数量
当天之前收样但未审核完成的样品数量
测试已完成的样品数量completed
测试中的样品数量in-testing
未开始的样品数量not started
the count of delayed sample
the count of urgent sample</t>
  </si>
  <si>
    <t>4.11.1.6</t>
  </si>
  <si>
    <t>仪表盘中需显示：the list of delayed sample</t>
  </si>
  <si>
    <t>4.11.1.7</t>
  </si>
  <si>
    <t>仪表盘中需显示：the list of urgent sample</t>
  </si>
  <si>
    <t>4.11.1.8</t>
  </si>
  <si>
    <t>仪表盘中需显示：the column chart in which x axis has the Sample Count, and y axis has the product line.且柱状图中按照样品状态（未开始，测试中，测试已完成）分颜色显示</t>
  </si>
  <si>
    <t>4.11.1.9</t>
  </si>
  <si>
    <t>仪表盘中需显示：anotther column chart in which x axis has the  Sample Count, and y axis has the inspection type (IQC, OQC, IPQC)，且柱状图中按照样品状态（未开始，测试中，测试已完成）分颜色显示</t>
  </si>
  <si>
    <t>Requirements Traceability Matrix</t>
  </si>
  <si>
    <t>Sub-Area</t>
  </si>
  <si>
    <t xml:space="preserve">Notes </t>
  </si>
  <si>
    <t>Estimation in Days</t>
  </si>
  <si>
    <t>Phase</t>
  </si>
  <si>
    <t>Timing/ Status</t>
  </si>
  <si>
    <t>Days Done</t>
  </si>
  <si>
    <t>Days Remaining</t>
  </si>
  <si>
    <t>Project Deliverable</t>
  </si>
  <si>
    <t>General Deliverable</t>
  </si>
  <si>
    <t>Project Schedule</t>
  </si>
  <si>
    <t>Project Issue Register</t>
  </si>
  <si>
    <t>Project Risk Register</t>
  </si>
  <si>
    <t>Weekly Status Report</t>
  </si>
  <si>
    <t>Action Log</t>
  </si>
  <si>
    <t>Milestone status report</t>
  </si>
  <si>
    <t>Requirement Trace Matrix (RTM)</t>
  </si>
  <si>
    <t>Functional Requirement Specification</t>
  </si>
  <si>
    <t>Design Documents</t>
  </si>
  <si>
    <t>Infrastructure Design</t>
  </si>
  <si>
    <t>As-built documentation</t>
  </si>
  <si>
    <t>Testing Documents</t>
  </si>
  <si>
    <t>SIT plan and Result</t>
  </si>
  <si>
    <t>SIT Script and Result</t>
  </si>
  <si>
    <t>User Acceptance Testing Plan</t>
  </si>
  <si>
    <t>User Acceptance Testing Script</t>
  </si>
  <si>
    <t>User Acceptance Testing Sign off</t>
  </si>
  <si>
    <t>Deployment Documents</t>
  </si>
  <si>
    <t>Go-live check list</t>
  </si>
  <si>
    <t>Service Transition</t>
  </si>
  <si>
    <t>Support Transition Plan</t>
  </si>
  <si>
    <t>Support Model</t>
  </si>
  <si>
    <t>Service Desk on-boarding evidence</t>
  </si>
  <si>
    <t>Change Management</t>
  </si>
  <si>
    <t>RACI Matrix</t>
  </si>
  <si>
    <t>Standard Training material</t>
  </si>
  <si>
    <t>Project Closure Documentation</t>
  </si>
  <si>
    <t>Authorisation to Close Project</t>
  </si>
  <si>
    <t>Post Implementation Review</t>
  </si>
  <si>
    <t>Asset Master Record Creation Form</t>
  </si>
  <si>
    <t xml:space="preserve">Document Identifier: </t>
  </si>
  <si>
    <t>Revision History</t>
  </si>
  <si>
    <t>Version</t>
  </si>
  <si>
    <t>Date</t>
  </si>
  <si>
    <t>Revised By</t>
  </si>
  <si>
    <t>Description of Changes</t>
  </si>
  <si>
    <t>Reason for Change</t>
  </si>
  <si>
    <t>Guidelines for Requirements Trace Matrix (RTM)</t>
  </si>
  <si>
    <t>This Guidelines Worksheet can be removed from working copies of the RTM if desired</t>
  </si>
  <si>
    <t>Introduction</t>
  </si>
  <si>
    <t xml:space="preserve">The RTM is a key document in the delivery phase of the Global Methodology. It can be used as a tool for a variety of purposes including project management and validation.
Primarily and simply the RTM is a spreadsheet that lists the user requirements and matches them to the proposed solutions. </t>
  </si>
  <si>
    <t>According to GAMP4 the Functional Specification (FS) defines the system to meet the users needs as defined in a User Requirements Specification (URS).
This RTM can act as a FS insomuch as user requirements can be directly linked to Configuration or Design Specification references</t>
  </si>
  <si>
    <t>References</t>
  </si>
  <si>
    <t>Ref. No.</t>
  </si>
  <si>
    <t>Reference</t>
  </si>
  <si>
    <t>Document</t>
  </si>
  <si>
    <t>GAMP4 Guide for Validation of Automated Systems (2001)</t>
  </si>
  <si>
    <t>GAMP Guidelines for FS</t>
  </si>
  <si>
    <t>P/GL/ELEC/INTERNAL/METHODOLOGY/GUIDELINES/
SER-GLP-G005 - Document presentation guidelines</t>
  </si>
  <si>
    <t>Document presentation guidelines</t>
  </si>
  <si>
    <t>P/GL/ELEC/INTERNAL/METHODOLOGY/TEMPLATES/
Functional Spec Template</t>
  </si>
  <si>
    <t>FS document template.</t>
  </si>
  <si>
    <t>Guidelines</t>
  </si>
  <si>
    <t>Document Information</t>
  </si>
  <si>
    <t>Fields are provided at the top right hand corner of the spreadsheet to record information about the document, namely:</t>
  </si>
  <si>
    <r>
      <t xml:space="preserve">Document Ref - </t>
    </r>
    <r>
      <rPr>
        <sz val="10"/>
        <rFont val="Arial"/>
        <family val="2"/>
      </rPr>
      <t>Electronic file reference for the document</t>
    </r>
  </si>
  <si>
    <r>
      <t>Version:</t>
    </r>
    <r>
      <rPr>
        <sz val="10"/>
        <rFont val="Arial"/>
        <family val="2"/>
      </rPr>
      <t xml:space="preserve"> Each version of the RTM should be numbered according to the Global methodology guidelines [Ref. 2]</t>
    </r>
  </si>
  <si>
    <r>
      <t>Date:</t>
    </r>
    <r>
      <rPr>
        <sz val="10"/>
        <rFont val="Arial"/>
        <family val="2"/>
      </rPr>
      <t xml:space="preserve"> Each version should be dated in the format specified by the Global methodology (DD-MMM-YYYY)</t>
    </r>
  </si>
  <si>
    <t>Columns</t>
  </si>
  <si>
    <t>This template has a number of pre-defined column headers set-up which are described in the table below. 
Three of these column headers are manditory namely:
 - Requirement Number (Req. No.)
 - Requirement
 - Design Specification Reference (if being used for validation purposes)</t>
  </si>
  <si>
    <t>The other columns are optional and can be adapted or removed as suits the project being carried out. 
In the same vein additional columns may be added (eg Test Script Reference, Product Functional Spec Reference, Responsible Person etc).</t>
  </si>
  <si>
    <t>The most important thing about the RTM is that it is a working document and can be used for different purposes throughout the course of a project. As such it is bound to change and should always be adapted to fit the needs of the customer and the particular project being carried out.</t>
  </si>
  <si>
    <t>Column</t>
  </si>
  <si>
    <t>Req. No. (manditory)</t>
  </si>
  <si>
    <r>
      <t xml:space="preserve">Each requirement </t>
    </r>
    <r>
      <rPr>
        <b/>
        <sz val="8"/>
        <rFont val="Verdana"/>
        <family val="2"/>
      </rPr>
      <t>must</t>
    </r>
    <r>
      <rPr>
        <sz val="8"/>
        <rFont val="Verdana"/>
        <family val="2"/>
      </rPr>
      <t xml:space="preserve"> be assigned a unique reference number. It is recommended to us a straigtforward incremented number rather than some complex scheme (requirements can always be found using the search and filter facilities of the spreadsheet). New requirements should be added to the end of the list. Additional columns may be added to cross reference to other numbering schemes (as maybe used in the URS)</t>
    </r>
  </si>
  <si>
    <t>This column can be used to group requirements together into related areas (functional or workflow) or into groups for dicussion at relevant workshops</t>
  </si>
  <si>
    <t>Requirement (manditory)</t>
  </si>
  <si>
    <t>A short description of the requirement. It should be in sufficient detail to provide an understanding of the requirement, but at high enough level to preclude 'designing' a solution</t>
  </si>
  <si>
    <t>Requirements should be prioritised with the users. The recommended method is to utilise MoSCoW prioritisation (Must, Should, Could, Won't)</t>
  </si>
  <si>
    <t>A classification of the type of solution proposed to meet the requirement. These can provide the basis for project estimation and planning.
Typical values for software based solutions will be:
 - Standard
 - Configuration
 - Extension
 - Customisation
 - Interface
Other values for non-software based solutions could be:
 - Business process only
 - Change business process
 - Out of Scope / Later Phase
 - Link (to another requirement)</t>
  </si>
  <si>
    <t>Cross reference to a duplicate or closely related requirement</t>
  </si>
  <si>
    <t>This column can be used to flag if a requirement is to be included or excluded</t>
  </si>
  <si>
    <t>Design Ideas</t>
  </si>
  <si>
    <t>This column is used to record design ideas or approaches to meet the requirment based on the type classification as discussed during any workshops. It should be a short description sufficient to allow prototyping.</t>
  </si>
  <si>
    <t>List of any new or modified database tables or fields required to configure the system to address the requirement</t>
  </si>
  <si>
    <t>An estimate of the complexity of any particular configuration, extension or customisation solution. This may be limited to Hi/Med/Low or be more descriptive (eg Complex Invasive, Simple Invasive, Complex External etc.)</t>
  </si>
  <si>
    <t>Label for prototype phase in which the proposed solution is prototyped (typical values PT1, PT2 etc)</t>
  </si>
  <si>
    <t>Does the prototype solution address the requirement (Y/N). This needs to be jointly agreed with the users</t>
  </si>
  <si>
    <t>A summary of the final design proposal following any prototype assessment</t>
  </si>
  <si>
    <t>Design Spec Ref. (mandatory)</t>
  </si>
  <si>
    <t>Reference to appropriate Design Specification or Configuration Specification documents.</t>
  </si>
  <si>
    <t>Reference to appropriate test script or user acceptance test.</t>
  </si>
  <si>
    <t>Expanded Details</t>
  </si>
  <si>
    <t>Space for extra detail on the requirement or the solution. 
This column can be used to link to additional worksheets if necessary.</t>
  </si>
  <si>
    <t>Used for project planning purposes</t>
  </si>
  <si>
    <t>The system shall provide functionality to allow privileged users to cancel samples from the system</t>
  </si>
  <si>
    <t>System shall be able to control data access by group.</t>
  </si>
  <si>
    <t>System shall be able to record all data in whole testing process, including raw data captured from instrument, entry data, data calculated by formular, reported data, data which push to SAP.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</si>
</sst>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 mmm\ yy"/>
    <numFmt numFmtId="165" formatCode="[$-809]dd\ mmmm\ yyyy;@"/>
  </numFmts>
  <fonts count="68">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Wingdings"/>
      <charset val="2"/>
    </font>
    <font>
      <b/>
      <sz val="12"/>
      <name val="Arial"/>
      <family val="2"/>
    </font>
    <font>
      <sz val="10"/>
      <name val="Arial"/>
      <family val="2"/>
    </font>
    <font>
      <b/>
      <sz val="10"/>
      <name val="Arial"/>
      <family val="2"/>
    </font>
    <font>
      <i/>
      <sz val="10"/>
      <name val="Arial"/>
      <family val="2"/>
    </font>
    <font>
      <sz val="8"/>
      <name val="Verdana"/>
      <family val="2"/>
    </font>
    <font>
      <b/>
      <sz val="8"/>
      <name val="Verdana"/>
      <family val="2"/>
    </font>
    <font>
      <b/>
      <i/>
      <sz val="10"/>
      <name val="Arial"/>
      <family val="2"/>
    </font>
    <font>
      <b/>
      <sz val="14"/>
      <name val="Arial"/>
      <family val="2"/>
    </font>
    <font>
      <sz val="8"/>
      <color indexed="8"/>
      <name val="Verdana"/>
      <family val="2"/>
    </font>
    <font>
      <b/>
      <sz val="14"/>
      <color theme="1"/>
      <name val="Calibri"/>
      <family val="2"/>
    </font>
    <font>
      <b/>
      <sz val="12"/>
      <color theme="1"/>
      <name val="Calibri"/>
      <family val="2"/>
    </font>
    <font>
      <sz val="9"/>
      <color indexed="81"/>
      <name val="Tahoma"/>
      <family val="2"/>
    </font>
    <font>
      <sz val="10"/>
      <name val="Calibri"/>
      <family val="2"/>
    </font>
    <font>
      <b/>
      <sz val="11"/>
      <name val="Cambria"/>
      <family val="1"/>
      <scheme val="major"/>
    </font>
    <font>
      <sz val="11"/>
      <name val="Cambria"/>
      <family val="1"/>
      <scheme val="major"/>
    </font>
    <font>
      <sz val="11"/>
      <color rgb="FF0070C0"/>
      <name val="Cambria"/>
      <family val="1"/>
      <scheme val="major"/>
    </font>
    <font>
      <b/>
      <sz val="11"/>
      <color theme="7" tint="-0.249977111117893"/>
      <name val="Cambria"/>
      <family val="1"/>
      <scheme val="major"/>
    </font>
    <font>
      <sz val="11"/>
      <color theme="7" tint="-0.249977111117893"/>
      <name val="Cambria"/>
      <family val="1"/>
      <scheme val="major"/>
    </font>
    <font>
      <b/>
      <sz val="11"/>
      <color theme="1"/>
      <name val="Cambria"/>
      <family val="1"/>
      <scheme val="major"/>
    </font>
    <font>
      <sz val="11"/>
      <color rgb="FFFF0000"/>
      <name val="Cambria"/>
      <family val="1"/>
      <scheme val="major"/>
    </font>
    <font>
      <sz val="11"/>
      <color indexed="8"/>
      <name val="Cambria"/>
      <family val="1"/>
      <scheme val="major"/>
    </font>
    <font>
      <sz val="10"/>
      <color theme="1"/>
      <name val="Calibri"/>
      <family val="2"/>
      <scheme val="minor"/>
    </font>
    <font>
      <sz val="9"/>
      <name val="宋体"/>
      <family val="3"/>
      <charset val="134"/>
    </font>
    <font>
      <b/>
      <u/>
      <sz val="18"/>
      <name val="Calibri"/>
      <family val="2"/>
      <scheme val="minor"/>
    </font>
    <font>
      <sz val="10"/>
      <name val="Calibri"/>
      <family val="2"/>
      <scheme val="minor"/>
    </font>
    <font>
      <sz val="9"/>
      <name val="Calibri"/>
      <family val="2"/>
      <scheme val="minor"/>
    </font>
    <font>
      <b/>
      <sz val="10"/>
      <name val="Calibri"/>
      <family val="2"/>
      <scheme val="minor"/>
    </font>
    <font>
      <sz val="12"/>
      <name val="Calibri"/>
      <family val="2"/>
      <scheme val="minor"/>
    </font>
    <font>
      <b/>
      <sz val="12"/>
      <name val="Calibri"/>
      <family val="2"/>
      <scheme val="minor"/>
    </font>
    <font>
      <strike/>
      <sz val="12"/>
      <name val="Calibri"/>
      <family val="2"/>
      <scheme val="minor"/>
    </font>
    <font>
      <b/>
      <strike/>
      <sz val="12"/>
      <name val="Calibri"/>
      <family val="2"/>
      <scheme val="minor"/>
    </font>
    <font>
      <strike/>
      <sz val="10"/>
      <name val="Calibri"/>
      <family val="2"/>
      <scheme val="minor"/>
    </font>
    <font>
      <sz val="12"/>
      <color indexed="8"/>
      <name val="Calibri"/>
      <family val="2"/>
      <scheme val="minor"/>
    </font>
    <font>
      <sz val="12"/>
      <color indexed="12"/>
      <name val="Calibri"/>
      <family val="2"/>
      <scheme val="minor"/>
    </font>
    <font>
      <sz val="12"/>
      <color indexed="55"/>
      <name val="Calibri"/>
      <family val="2"/>
      <scheme val="minor"/>
    </font>
    <font>
      <i/>
      <sz val="12"/>
      <color indexed="12"/>
      <name val="Calibri"/>
      <family val="2"/>
      <scheme val="minor"/>
    </font>
    <font>
      <sz val="8"/>
      <name val="Calibri"/>
      <family val="2"/>
    </font>
    <font>
      <sz val="12"/>
      <name val="Calibri"/>
      <family val="2"/>
    </font>
    <font>
      <b/>
      <sz val="11"/>
      <color rgb="FFFF0000"/>
      <name val="Cambria"/>
      <family val="1"/>
      <scheme val="major"/>
    </font>
    <font>
      <sz val="11"/>
      <name val="Wingdings"/>
      <charset val="2"/>
    </font>
    <font>
      <sz val="11"/>
      <name val="Cambria"/>
      <family val="3"/>
      <charset val="134"/>
      <scheme val="major"/>
    </font>
    <font>
      <sz val="11"/>
      <name val="Cambria"/>
      <family val="1"/>
    </font>
    <font>
      <sz val="10"/>
      <name val="Arial"/>
      <family val="2"/>
    </font>
    <font>
      <sz val="11"/>
      <color theme="4"/>
      <name val="Cambria"/>
      <family val="1"/>
      <scheme val="major"/>
    </font>
    <font>
      <b/>
      <sz val="11"/>
      <color theme="4"/>
      <name val="Cambria"/>
      <family val="1"/>
      <scheme val="major"/>
    </font>
    <font>
      <sz val="11"/>
      <color theme="1"/>
      <name val="Cambria"/>
      <family val="1"/>
      <scheme val="major"/>
    </font>
    <font>
      <sz val="11"/>
      <color theme="1"/>
      <name val="Cambria"/>
      <family val="3"/>
      <charset val="134"/>
      <scheme val="major"/>
    </font>
    <font>
      <sz val="11"/>
      <color rgb="FFFF0000"/>
      <name val="Cambria"/>
      <family val="3"/>
      <charset val="134"/>
      <scheme val="major"/>
    </font>
    <font>
      <b/>
      <sz val="11"/>
      <color rgb="FFFF0000"/>
      <name val="Cambria"/>
      <family val="3"/>
      <charset val="134"/>
      <scheme val="major"/>
    </font>
    <font>
      <sz val="11"/>
      <color rgb="FF000000"/>
      <name val="Cambria"/>
      <family val="1"/>
      <scheme val="major"/>
    </font>
    <font>
      <b/>
      <sz val="11"/>
      <color rgb="FF000000"/>
      <name val="Cambria"/>
      <family val="3"/>
      <charset val="134"/>
      <scheme val="major"/>
    </font>
    <font>
      <sz val="10"/>
      <name val="Arial"/>
      <family val="2"/>
    </font>
    <font>
      <b/>
      <sz val="11"/>
      <color rgb="FF000000"/>
      <name val="Cambria"/>
      <family val="1"/>
      <scheme val="major"/>
    </font>
    <font>
      <sz val="8"/>
      <color rgb="FFFF0000"/>
      <name val="Calibri"/>
      <family val="2"/>
    </font>
    <font>
      <sz val="10"/>
      <name val="Arial"/>
      <family val="2"/>
    </font>
    <font>
      <b/>
      <sz val="11"/>
      <name val="Cambria"/>
      <family val="3"/>
      <charset val="134"/>
      <scheme val="major"/>
    </font>
    <font>
      <sz val="11"/>
      <color rgb="FF000000"/>
      <name val="Cambria"/>
      <family val="1"/>
      <charset val="134"/>
      <scheme val="major"/>
    </font>
    <font>
      <sz val="11"/>
      <color rgb="FF000000"/>
      <name val="Cambria"/>
      <family val="1"/>
      <scheme val="major"/>
    </font>
    <font>
      <sz val="11"/>
      <color rgb="FF000000"/>
      <name val="等线 Light"/>
      <family val="3"/>
      <charset val="134"/>
    </font>
    <font>
      <sz val="11"/>
      <color rgb="FF000000"/>
      <name val="宋体"/>
      <family val="3"/>
      <charset val="134"/>
    </font>
    <font>
      <sz val="11"/>
      <color rgb="FFFF0000"/>
      <name val="宋体"/>
      <family val="3"/>
      <charset val="134"/>
    </font>
    <font>
      <sz val="11"/>
      <color rgb="FFFF0000"/>
      <name val="Cambria"/>
      <family val="1"/>
      <scheme val="major"/>
    </font>
    <font>
      <b/>
      <sz val="11"/>
      <name val="Cambria"/>
      <family val="1"/>
      <scheme val="major"/>
    </font>
  </fonts>
  <fills count="13">
    <fill>
      <patternFill patternType="none"/>
    </fill>
    <fill>
      <patternFill patternType="gray125"/>
    </fill>
    <fill>
      <patternFill patternType="solid">
        <fgColor indexed="10"/>
        <bgColor indexed="64"/>
      </patternFill>
    </fill>
    <fill>
      <patternFill patternType="solid">
        <fgColor indexed="11"/>
        <bgColor indexed="64"/>
      </patternFill>
    </fill>
    <fill>
      <patternFill patternType="solid">
        <fgColor indexed="44"/>
        <bgColor indexed="64"/>
      </patternFill>
    </fill>
    <fill>
      <patternFill patternType="solid">
        <fgColor indexed="31"/>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rgb="FF92D050"/>
        <bgColor indexed="64"/>
      </patternFill>
    </fill>
    <fill>
      <patternFill patternType="solid">
        <fgColor rgb="FFFFFF00"/>
        <bgColor rgb="FF000000"/>
      </patternFill>
    </fill>
  </fills>
  <borders count="7">
    <border>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style="thin">
        <color indexed="64"/>
      </bottom>
      <diagonal/>
    </border>
  </borders>
  <cellStyleXfs count="7">
    <xf numFmtId="0" fontId="0" fillId="0" borderId="0" applyNumberFormat="0" applyFill="0" applyBorder="0" applyAlignment="0"/>
    <xf numFmtId="0" fontId="4" fillId="0" borderId="0" applyNumberFormat="0"/>
    <xf numFmtId="0" fontId="6" fillId="0" borderId="0"/>
    <xf numFmtId="0" fontId="3" fillId="0" borderId="0"/>
    <xf numFmtId="0" fontId="6" fillId="0" borderId="0" applyNumberFormat="0" applyFill="0" applyBorder="0" applyAlignment="0"/>
    <xf numFmtId="0" fontId="2" fillId="0" borderId="0"/>
    <xf numFmtId="0" fontId="1" fillId="0" borderId="0"/>
  </cellStyleXfs>
  <cellXfs count="318">
    <xf numFmtId="0" fontId="0" fillId="0" borderId="0" xfId="0"/>
    <xf numFmtId="0" fontId="0" fillId="0" borderId="0" xfId="0" applyAlignment="1">
      <alignment vertical="top"/>
    </xf>
    <xf numFmtId="0" fontId="7" fillId="0" borderId="0" xfId="0" applyFont="1" applyFill="1" applyBorder="1" applyAlignment="1">
      <alignment horizontal="left" vertical="top" wrapText="1"/>
    </xf>
    <xf numFmtId="0" fontId="9" fillId="0" borderId="0" xfId="0" applyFont="1" applyBorder="1" applyAlignment="1">
      <alignment vertical="top" wrapText="1"/>
    </xf>
    <xf numFmtId="0" fontId="10" fillId="5" borderId="2" xfId="0" applyFont="1" applyFill="1" applyBorder="1" applyAlignment="1">
      <alignment vertical="top" wrapText="1"/>
    </xf>
    <xf numFmtId="0" fontId="9" fillId="0" borderId="2" xfId="0" applyFont="1" applyBorder="1" applyAlignment="1">
      <alignment vertical="top" wrapText="1"/>
    </xf>
    <xf numFmtId="0" fontId="10" fillId="5" borderId="2" xfId="0" applyFont="1" applyFill="1" applyBorder="1" applyAlignment="1">
      <alignment horizontal="center" vertical="top" wrapText="1"/>
    </xf>
    <xf numFmtId="0" fontId="9" fillId="0" borderId="2" xfId="0" applyFont="1" applyBorder="1" applyAlignment="1">
      <alignment horizontal="center" vertical="top" wrapText="1"/>
    </xf>
    <xf numFmtId="0" fontId="9" fillId="0" borderId="0" xfId="0" applyFont="1" applyBorder="1" applyAlignment="1">
      <alignment horizontal="center" vertical="top" wrapText="1"/>
    </xf>
    <xf numFmtId="0" fontId="5" fillId="0" borderId="0" xfId="0" applyFont="1" applyAlignment="1">
      <alignment vertical="top"/>
    </xf>
    <xf numFmtId="0" fontId="8" fillId="0" borderId="0" xfId="0" applyFont="1" applyAlignment="1">
      <alignment vertical="top"/>
    </xf>
    <xf numFmtId="0" fontId="0" fillId="0" borderId="0" xfId="0" applyAlignment="1">
      <alignment vertical="top" wrapText="1"/>
    </xf>
    <xf numFmtId="0" fontId="11" fillId="0" borderId="0" xfId="0" applyFont="1" applyAlignment="1">
      <alignment vertical="top"/>
    </xf>
    <xf numFmtId="0" fontId="12" fillId="0" borderId="0" xfId="0" applyFont="1" applyAlignment="1">
      <alignment vertical="top"/>
    </xf>
    <xf numFmtId="0" fontId="13" fillId="0" borderId="2" xfId="0" applyFont="1" applyBorder="1" applyAlignment="1">
      <alignment vertical="top" wrapText="1"/>
    </xf>
    <xf numFmtId="0" fontId="14" fillId="6" borderId="3" xfId="2" applyFont="1" applyFill="1" applyBorder="1"/>
    <xf numFmtId="0" fontId="14" fillId="6" borderId="5" xfId="2" applyFont="1" applyFill="1" applyBorder="1" applyAlignment="1">
      <alignment horizontal="center"/>
    </xf>
    <xf numFmtId="0" fontId="14" fillId="6" borderId="4" xfId="2" applyFont="1" applyFill="1" applyBorder="1" applyAlignment="1">
      <alignment horizontal="center"/>
    </xf>
    <xf numFmtId="0" fontId="15" fillId="6" borderId="3" xfId="2" applyFont="1" applyFill="1" applyBorder="1"/>
    <xf numFmtId="0" fontId="15" fillId="6" borderId="2" xfId="2" applyFont="1" applyFill="1" applyBorder="1"/>
    <xf numFmtId="0" fontId="6" fillId="0" borderId="2" xfId="2" applyBorder="1"/>
    <xf numFmtId="0" fontId="14" fillId="6" borderId="5" xfId="2" applyFont="1" applyFill="1" applyBorder="1" applyAlignment="1">
      <alignment horizontal="left"/>
    </xf>
    <xf numFmtId="15" fontId="6" fillId="0" borderId="2" xfId="2" applyNumberFormat="1" applyBorder="1" applyAlignment="1">
      <alignment horizontal="left"/>
    </xf>
    <xf numFmtId="0" fontId="6" fillId="0" borderId="0" xfId="0" applyFont="1"/>
    <xf numFmtId="0" fontId="6" fillId="0" borderId="0" xfId="0" applyFont="1" applyFill="1" applyBorder="1"/>
    <xf numFmtId="0" fontId="17" fillId="0" borderId="0" xfId="0" applyFont="1" applyBorder="1" applyAlignment="1">
      <alignment wrapText="1"/>
    </xf>
    <xf numFmtId="0" fontId="17" fillId="0" borderId="0" xfId="0" applyFont="1" applyFill="1" applyBorder="1" applyAlignment="1">
      <alignment wrapText="1"/>
    </xf>
    <xf numFmtId="0" fontId="0" fillId="0" borderId="0" xfId="0" applyAlignment="1"/>
    <xf numFmtId="0" fontId="6" fillId="0" borderId="0" xfId="0" applyFont="1" applyBorder="1"/>
    <xf numFmtId="0" fontId="6" fillId="0" borderId="0" xfId="0" applyFont="1" applyBorder="1" applyAlignment="1">
      <alignment wrapText="1"/>
    </xf>
    <xf numFmtId="0" fontId="7" fillId="0" borderId="0" xfId="0" applyFont="1" applyBorder="1"/>
    <xf numFmtId="0" fontId="7" fillId="0" borderId="0" xfId="0" applyFont="1" applyBorder="1" applyAlignment="1">
      <alignment wrapText="1"/>
    </xf>
    <xf numFmtId="0" fontId="18" fillId="0" borderId="0" xfId="0" applyFont="1" applyBorder="1" applyAlignment="1">
      <alignment horizontal="left" vertical="top"/>
    </xf>
    <xf numFmtId="0" fontId="19" fillId="0" borderId="0" xfId="0" applyFont="1" applyBorder="1" applyAlignment="1">
      <alignment vertical="top"/>
    </xf>
    <xf numFmtId="0" fontId="19" fillId="0" borderId="0" xfId="0" applyFont="1" applyBorder="1" applyAlignment="1">
      <alignment vertical="top" wrapText="1"/>
    </xf>
    <xf numFmtId="0" fontId="19" fillId="0" borderId="0" xfId="0" applyFont="1" applyBorder="1" applyAlignment="1">
      <alignment horizontal="left" vertical="top" wrapText="1"/>
    </xf>
    <xf numFmtId="0" fontId="19" fillId="0" borderId="0" xfId="0" applyFont="1" applyBorder="1" applyAlignment="1">
      <alignment horizontal="left" vertical="top"/>
    </xf>
    <xf numFmtId="0" fontId="21" fillId="0" borderId="0" xfId="0" applyFont="1" applyBorder="1" applyAlignment="1">
      <alignment horizontal="left" vertical="top"/>
    </xf>
    <xf numFmtId="0" fontId="19" fillId="0" borderId="0" xfId="0" applyFont="1" applyBorder="1" applyAlignment="1">
      <alignment horizontal="center" vertical="center"/>
    </xf>
    <xf numFmtId="0" fontId="19" fillId="0" borderId="0" xfId="0" applyFont="1" applyAlignment="1">
      <alignment vertical="top"/>
    </xf>
    <xf numFmtId="0" fontId="19" fillId="0" borderId="0" xfId="0" applyFont="1" applyAlignment="1">
      <alignment vertical="top" wrapText="1"/>
    </xf>
    <xf numFmtId="0" fontId="19" fillId="0" borderId="0" xfId="0" applyFont="1" applyBorder="1" applyAlignment="1">
      <alignment horizontal="center" vertical="top"/>
    </xf>
    <xf numFmtId="0" fontId="22" fillId="0" borderId="0" xfId="0" applyFont="1" applyBorder="1" applyAlignment="1">
      <alignment vertical="top" wrapText="1"/>
    </xf>
    <xf numFmtId="0" fontId="19" fillId="0" borderId="0" xfId="0" applyFont="1" applyBorder="1" applyAlignment="1">
      <alignment horizontal="right" vertical="top"/>
    </xf>
    <xf numFmtId="164" fontId="19" fillId="0" borderId="0" xfId="0" applyNumberFormat="1" applyFont="1" applyBorder="1" applyAlignment="1">
      <alignment horizontal="left" vertical="top"/>
    </xf>
    <xf numFmtId="0" fontId="22" fillId="0" borderId="0" xfId="0" applyFont="1" applyBorder="1" applyAlignment="1">
      <alignment horizontal="right" vertical="top" wrapText="1"/>
    </xf>
    <xf numFmtId="165" fontId="19" fillId="8" borderId="0" xfId="0" applyNumberFormat="1" applyFont="1" applyFill="1" applyBorder="1" applyAlignment="1">
      <alignment horizontal="left" vertical="top" wrapText="1"/>
    </xf>
    <xf numFmtId="0" fontId="18" fillId="0" borderId="0" xfId="0" applyFont="1" applyBorder="1" applyAlignment="1">
      <alignment vertical="top" wrapText="1"/>
    </xf>
    <xf numFmtId="0" fontId="18" fillId="0" borderId="0" xfId="0" applyFont="1" applyBorder="1" applyAlignment="1">
      <alignment vertical="top"/>
    </xf>
    <xf numFmtId="0" fontId="19" fillId="0" borderId="2" xfId="0" applyFont="1" applyBorder="1" applyAlignment="1">
      <alignment horizontal="center" vertical="top"/>
    </xf>
    <xf numFmtId="0" fontId="19" fillId="0" borderId="2" xfId="0" applyFont="1" applyBorder="1" applyAlignment="1">
      <alignment horizontal="left" vertical="top"/>
    </xf>
    <xf numFmtId="0" fontId="19" fillId="0" borderId="2" xfId="3" applyFont="1" applyBorder="1" applyAlignment="1">
      <alignment vertical="top" wrapText="1"/>
    </xf>
    <xf numFmtId="0" fontId="19" fillId="0" borderId="2" xfId="0" applyFont="1" applyBorder="1" applyAlignment="1">
      <alignment vertical="top" wrapText="1"/>
    </xf>
    <xf numFmtId="0" fontId="19" fillId="0" borderId="2" xfId="0" applyFont="1" applyBorder="1" applyAlignment="1">
      <alignment vertical="top"/>
    </xf>
    <xf numFmtId="0" fontId="19" fillId="0" borderId="1" xfId="0" applyFont="1" applyBorder="1" applyAlignment="1">
      <alignment vertical="top"/>
    </xf>
    <xf numFmtId="0" fontId="19" fillId="0" borderId="2" xfId="0" applyFont="1" applyBorder="1" applyAlignment="1">
      <alignment horizontal="left" vertical="top" wrapText="1"/>
    </xf>
    <xf numFmtId="0" fontId="19" fillId="0" borderId="2" xfId="0" applyFont="1" applyBorder="1" applyAlignment="1">
      <alignment horizontal="center" vertical="center"/>
    </xf>
    <xf numFmtId="0" fontId="18" fillId="0" borderId="2" xfId="0" applyFont="1" applyBorder="1" applyAlignment="1">
      <alignment vertical="top" wrapText="1"/>
    </xf>
    <xf numFmtId="0" fontId="22" fillId="0" borderId="2" xfId="0" applyFont="1" applyBorder="1" applyAlignment="1">
      <alignment vertical="top" wrapText="1"/>
    </xf>
    <xf numFmtId="0" fontId="19" fillId="0" borderId="1" xfId="0" applyFont="1" applyBorder="1" applyAlignment="1">
      <alignment vertical="top" wrapText="1"/>
    </xf>
    <xf numFmtId="0" fontId="19" fillId="0" borderId="1" xfId="0" applyFont="1" applyBorder="1" applyAlignment="1">
      <alignment horizontal="left" vertical="top" wrapText="1"/>
    </xf>
    <xf numFmtId="0" fontId="19" fillId="0" borderId="1" xfId="0" applyFont="1" applyBorder="1" applyAlignment="1">
      <alignment horizontal="center" vertical="center"/>
    </xf>
    <xf numFmtId="0" fontId="18" fillId="0" borderId="1" xfId="0" applyFont="1" applyBorder="1" applyAlignment="1">
      <alignment vertical="top" wrapText="1"/>
    </xf>
    <xf numFmtId="0" fontId="18" fillId="0" borderId="1" xfId="0" applyFont="1" applyBorder="1" applyAlignment="1">
      <alignment horizontal="center" vertical="center"/>
    </xf>
    <xf numFmtId="0" fontId="18" fillId="0" borderId="1" xfId="0" applyFont="1" applyBorder="1" applyAlignment="1">
      <alignment vertical="top"/>
    </xf>
    <xf numFmtId="0" fontId="22" fillId="0" borderId="2" xfId="0" applyFont="1" applyFill="1" applyBorder="1" applyAlignment="1">
      <alignment vertical="top" wrapText="1"/>
    </xf>
    <xf numFmtId="0" fontId="19" fillId="0" borderId="1" xfId="0" applyFont="1" applyBorder="1" applyAlignment="1">
      <alignment horizontal="center" vertical="top"/>
    </xf>
    <xf numFmtId="0" fontId="19" fillId="0" borderId="1" xfId="0" applyFont="1" applyBorder="1" applyAlignment="1">
      <alignment horizontal="left" vertical="top"/>
    </xf>
    <xf numFmtId="0" fontId="19" fillId="0" borderId="1" xfId="3" applyFont="1" applyBorder="1" applyAlignment="1">
      <alignment vertical="top" wrapText="1"/>
    </xf>
    <xf numFmtId="0" fontId="24" fillId="0" borderId="1" xfId="0" applyFont="1" applyBorder="1" applyAlignment="1">
      <alignment vertical="top" wrapText="1"/>
    </xf>
    <xf numFmtId="0" fontId="19" fillId="0" borderId="2" xfId="0" applyFont="1" applyFill="1" applyBorder="1" applyAlignment="1">
      <alignment vertical="top" wrapText="1"/>
    </xf>
    <xf numFmtId="0" fontId="19" fillId="0" borderId="2" xfId="0" applyFont="1" applyFill="1" applyBorder="1" applyAlignment="1">
      <alignment horizontal="center" vertical="top"/>
    </xf>
    <xf numFmtId="0" fontId="19" fillId="0" borderId="1" xfId="0" applyFont="1" applyFill="1" applyBorder="1" applyAlignment="1">
      <alignment vertical="top" wrapText="1"/>
    </xf>
    <xf numFmtId="0" fontId="19" fillId="0" borderId="1" xfId="0" applyFont="1" applyFill="1" applyBorder="1" applyAlignment="1">
      <alignment vertical="top"/>
    </xf>
    <xf numFmtId="0" fontId="19" fillId="0" borderId="1" xfId="0" applyFont="1" applyFill="1" applyBorder="1" applyAlignment="1">
      <alignment horizontal="left" vertical="top" wrapText="1"/>
    </xf>
    <xf numFmtId="0" fontId="19" fillId="0" borderId="1" xfId="0" applyFont="1" applyFill="1" applyBorder="1" applyAlignment="1">
      <alignment horizontal="center" vertical="top"/>
    </xf>
    <xf numFmtId="0" fontId="18" fillId="0" borderId="1" xfId="0" applyFont="1" applyFill="1" applyBorder="1" applyAlignment="1">
      <alignment vertical="top" wrapText="1"/>
    </xf>
    <xf numFmtId="0" fontId="18" fillId="0" borderId="1" xfId="0" applyFont="1" applyFill="1" applyBorder="1" applyAlignment="1">
      <alignment horizontal="center" vertical="center"/>
    </xf>
    <xf numFmtId="0" fontId="19" fillId="0" borderId="0" xfId="0" applyFont="1" applyFill="1" applyAlignment="1">
      <alignment vertical="top"/>
    </xf>
    <xf numFmtId="0" fontId="20" fillId="0" borderId="1" xfId="0" applyFont="1" applyBorder="1" applyAlignment="1">
      <alignment vertical="top" wrapText="1"/>
    </xf>
    <xf numFmtId="0" fontId="24" fillId="0" borderId="1" xfId="0" applyFont="1" applyFill="1" applyBorder="1" applyAlignment="1">
      <alignment vertical="top" wrapText="1"/>
    </xf>
    <xf numFmtId="0" fontId="19" fillId="0" borderId="2" xfId="3" applyFont="1" applyBorder="1" applyAlignment="1">
      <alignment horizontal="center" vertical="top"/>
    </xf>
    <xf numFmtId="0" fontId="19" fillId="0" borderId="2" xfId="3" applyFont="1" applyBorder="1" applyAlignment="1">
      <alignment vertical="top"/>
    </xf>
    <xf numFmtId="0" fontId="19" fillId="0" borderId="2" xfId="3" applyFont="1" applyBorder="1" applyAlignment="1">
      <alignment horizontal="center" vertical="center"/>
    </xf>
    <xf numFmtId="0" fontId="19" fillId="0" borderId="2" xfId="3" applyFont="1" applyBorder="1" applyAlignment="1">
      <alignment horizontal="left" vertical="top" wrapText="1"/>
    </xf>
    <xf numFmtId="0" fontId="26" fillId="0" borderId="2" xfId="0" applyFont="1" applyFill="1" applyBorder="1" applyAlignment="1">
      <alignment horizontal="left" vertical="top" wrapText="1"/>
    </xf>
    <xf numFmtId="0" fontId="26" fillId="0" borderId="1" xfId="0" applyFont="1" applyFill="1" applyBorder="1" applyAlignment="1">
      <alignment horizontal="left" vertical="top" wrapText="1"/>
    </xf>
    <xf numFmtId="0" fontId="19" fillId="0" borderId="2" xfId="0" applyFont="1" applyBorder="1" applyAlignment="1">
      <alignment horizontal="left" vertical="top" indent="1"/>
    </xf>
    <xf numFmtId="0" fontId="26" fillId="0" borderId="2" xfId="0" applyFont="1" applyBorder="1" applyAlignment="1">
      <alignment horizontal="left" vertical="top" wrapText="1"/>
    </xf>
    <xf numFmtId="0" fontId="28" fillId="0" borderId="0" xfId="0" applyFont="1" applyBorder="1" applyAlignment="1">
      <alignment horizontal="left" vertical="top"/>
    </xf>
    <xf numFmtId="0" fontId="29" fillId="0" borderId="0" xfId="0" applyFont="1" applyBorder="1" applyAlignment="1">
      <alignment vertical="top"/>
    </xf>
    <xf numFmtId="0" fontId="29" fillId="0" borderId="0" xfId="0" applyFont="1" applyBorder="1" applyAlignment="1">
      <alignment vertical="top" wrapText="1"/>
    </xf>
    <xf numFmtId="0" fontId="29" fillId="0" borderId="0" xfId="0" applyFont="1" applyAlignment="1">
      <alignment horizontal="left" vertical="top" wrapText="1"/>
    </xf>
    <xf numFmtId="0" fontId="29" fillId="0" borderId="0" xfId="0" applyFont="1" applyBorder="1" applyAlignment="1">
      <alignment horizontal="left" vertical="top" wrapText="1"/>
    </xf>
    <xf numFmtId="0" fontId="29" fillId="0" borderId="0" xfId="0" applyFont="1" applyAlignment="1">
      <alignment vertical="top"/>
    </xf>
    <xf numFmtId="0" fontId="29" fillId="0" borderId="0" xfId="0" applyFont="1" applyBorder="1" applyAlignment="1">
      <alignment horizontal="center" vertical="top"/>
    </xf>
    <xf numFmtId="0" fontId="30" fillId="0" borderId="0" xfId="0" applyFont="1" applyBorder="1" applyAlignment="1">
      <alignment vertical="top" wrapText="1"/>
    </xf>
    <xf numFmtId="0" fontId="31" fillId="3" borderId="2" xfId="0" applyFont="1" applyFill="1" applyBorder="1" applyAlignment="1" applyProtection="1">
      <alignment horizontal="left" vertical="top" wrapText="1"/>
      <protection hidden="1"/>
    </xf>
    <xf numFmtId="0" fontId="32" fillId="0" borderId="0" xfId="0" applyFont="1" applyBorder="1" applyAlignment="1">
      <alignment horizontal="right" vertical="top"/>
    </xf>
    <xf numFmtId="0" fontId="32" fillId="0" borderId="0" xfId="0" applyFont="1" applyBorder="1" applyAlignment="1">
      <alignment horizontal="left" vertical="top"/>
    </xf>
    <xf numFmtId="0" fontId="31" fillId="2" borderId="1" xfId="0" applyFont="1" applyFill="1" applyBorder="1" applyAlignment="1" applyProtection="1">
      <alignment horizontal="left" vertical="top" wrapText="1"/>
      <protection hidden="1"/>
    </xf>
    <xf numFmtId="165" fontId="32" fillId="0" borderId="0" xfId="0" applyNumberFormat="1" applyFont="1" applyBorder="1" applyAlignment="1">
      <alignment horizontal="left" vertical="top"/>
    </xf>
    <xf numFmtId="0" fontId="33" fillId="4" borderId="2" xfId="0" applyFont="1" applyFill="1" applyBorder="1" applyAlignment="1">
      <alignment horizontal="center" vertical="top" wrapText="1"/>
    </xf>
    <xf numFmtId="0" fontId="33" fillId="4" borderId="2" xfId="0" applyFont="1" applyFill="1" applyBorder="1" applyAlignment="1">
      <alignment vertical="top" wrapText="1"/>
    </xf>
    <xf numFmtId="0" fontId="33" fillId="0" borderId="0" xfId="0" applyFont="1" applyBorder="1" applyAlignment="1">
      <alignment vertical="top"/>
    </xf>
    <xf numFmtId="0" fontId="32" fillId="0" borderId="1" xfId="0" applyFont="1" applyFill="1" applyBorder="1" applyAlignment="1">
      <alignment horizontal="center" vertical="top"/>
    </xf>
    <xf numFmtId="0" fontId="32" fillId="0" borderId="2" xfId="0" applyFont="1" applyBorder="1" applyAlignment="1">
      <alignment vertical="top"/>
    </xf>
    <xf numFmtId="0" fontId="32" fillId="0" borderId="1" xfId="0" applyFont="1" applyFill="1" applyBorder="1" applyAlignment="1">
      <alignment horizontal="left" vertical="top" wrapText="1"/>
    </xf>
    <xf numFmtId="0" fontId="32" fillId="0" borderId="1" xfId="0" applyFont="1" applyFill="1" applyBorder="1" applyAlignment="1">
      <alignment vertical="top" wrapText="1"/>
    </xf>
    <xf numFmtId="0" fontId="32" fillId="0" borderId="1" xfId="0" applyFont="1" applyFill="1" applyBorder="1" applyAlignment="1">
      <alignment vertical="top"/>
    </xf>
    <xf numFmtId="0" fontId="33" fillId="0" borderId="1" xfId="0" applyFont="1" applyFill="1" applyBorder="1" applyAlignment="1">
      <alignment vertical="top"/>
    </xf>
    <xf numFmtId="0" fontId="29" fillId="0" borderId="0" xfId="0" applyFont="1" applyFill="1" applyAlignment="1">
      <alignment vertical="top"/>
    </xf>
    <xf numFmtId="0" fontId="32" fillId="0" borderId="2" xfId="0" applyFont="1" applyFill="1" applyBorder="1" applyAlignment="1">
      <alignment horizontal="center" vertical="top"/>
    </xf>
    <xf numFmtId="0" fontId="32" fillId="0" borderId="2" xfId="0" applyFont="1" applyBorder="1" applyAlignment="1">
      <alignment horizontal="center" vertical="top"/>
    </xf>
    <xf numFmtId="0" fontId="32" fillId="0" borderId="2" xfId="0" applyFont="1" applyFill="1" applyBorder="1" applyAlignment="1">
      <alignment vertical="top"/>
    </xf>
    <xf numFmtId="0" fontId="32" fillId="0" borderId="1" xfId="0" applyFont="1" applyBorder="1" applyAlignment="1">
      <alignment horizontal="left" vertical="top" wrapText="1"/>
    </xf>
    <xf numFmtId="0" fontId="32" fillId="0" borderId="1" xfId="0" applyFont="1" applyBorder="1" applyAlignment="1">
      <alignment horizontal="center" vertical="top"/>
    </xf>
    <xf numFmtId="0" fontId="32" fillId="0" borderId="1" xfId="0" applyFont="1" applyBorder="1" applyAlignment="1">
      <alignment vertical="top" wrapText="1"/>
    </xf>
    <xf numFmtId="0" fontId="32" fillId="0" borderId="1" xfId="0" applyFont="1" applyBorder="1" applyAlignment="1">
      <alignment vertical="top"/>
    </xf>
    <xf numFmtId="0" fontId="33" fillId="0" borderId="1" xfId="0" applyFont="1" applyBorder="1" applyAlignment="1">
      <alignment vertical="top"/>
    </xf>
    <xf numFmtId="0" fontId="34" fillId="0" borderId="1" xfId="0" applyFont="1" applyFill="1" applyBorder="1" applyAlignment="1">
      <alignment vertical="top" wrapText="1"/>
    </xf>
    <xf numFmtId="0" fontId="34" fillId="0" borderId="2" xfId="0" applyFont="1" applyFill="1" applyBorder="1" applyAlignment="1">
      <alignment vertical="top"/>
    </xf>
    <xf numFmtId="0" fontId="34" fillId="0" borderId="1" xfId="0" applyFont="1" applyFill="1" applyBorder="1" applyAlignment="1">
      <alignment horizontal="left" vertical="top" wrapText="1"/>
    </xf>
    <xf numFmtId="0" fontId="34" fillId="0" borderId="1" xfId="0" applyFont="1" applyFill="1" applyBorder="1" applyAlignment="1">
      <alignment vertical="top"/>
    </xf>
    <xf numFmtId="0" fontId="35" fillId="0" borderId="1" xfId="0" applyFont="1" applyFill="1" applyBorder="1" applyAlignment="1">
      <alignment vertical="top"/>
    </xf>
    <xf numFmtId="0" fontId="36" fillId="0" borderId="0" xfId="0" applyFont="1" applyFill="1" applyAlignment="1">
      <alignment vertical="top"/>
    </xf>
    <xf numFmtId="0" fontId="37" fillId="0" borderId="1" xfId="0" applyFont="1" applyFill="1" applyBorder="1" applyAlignment="1">
      <alignment vertical="top" wrapText="1"/>
    </xf>
    <xf numFmtId="0" fontId="32" fillId="0" borderId="2" xfId="0" applyFont="1" applyFill="1" applyBorder="1" applyAlignment="1">
      <alignment horizontal="left" vertical="top" wrapText="1"/>
    </xf>
    <xf numFmtId="0" fontId="32" fillId="0" borderId="1" xfId="5" applyFont="1" applyBorder="1" applyAlignment="1">
      <alignment vertical="top"/>
    </xf>
    <xf numFmtId="0" fontId="38" fillId="0" borderId="1" xfId="0" applyFont="1" applyFill="1" applyBorder="1" applyAlignment="1">
      <alignment vertical="top" wrapText="1"/>
    </xf>
    <xf numFmtId="0" fontId="32" fillId="0" borderId="2" xfId="0" applyFont="1" applyFill="1" applyBorder="1" applyAlignment="1">
      <alignment vertical="top" wrapText="1"/>
    </xf>
    <xf numFmtId="0" fontId="39" fillId="0" borderId="2" xfId="0" applyFont="1" applyFill="1" applyBorder="1" applyAlignment="1">
      <alignment horizontal="left" vertical="top" wrapText="1"/>
    </xf>
    <xf numFmtId="0" fontId="37" fillId="0" borderId="2" xfId="0" applyFont="1" applyFill="1" applyBorder="1" applyAlignment="1">
      <alignment horizontal="left" vertical="top" wrapText="1"/>
    </xf>
    <xf numFmtId="0" fontId="37" fillId="0" borderId="1" xfId="0" applyFont="1" applyFill="1" applyBorder="1" applyAlignment="1">
      <alignment horizontal="left" vertical="top" wrapText="1"/>
    </xf>
    <xf numFmtId="0" fontId="40" fillId="0" borderId="2" xfId="0" applyFont="1" applyFill="1" applyBorder="1" applyAlignment="1">
      <alignment vertical="top" wrapText="1"/>
    </xf>
    <xf numFmtId="0" fontId="40" fillId="0" borderId="1" xfId="0" applyFont="1" applyFill="1" applyBorder="1" applyAlignment="1">
      <alignment vertical="top" wrapText="1"/>
    </xf>
    <xf numFmtId="0" fontId="40" fillId="0" borderId="1" xfId="0" applyFont="1" applyBorder="1" applyAlignment="1">
      <alignment vertical="top" wrapText="1"/>
    </xf>
    <xf numFmtId="0" fontId="32" fillId="0" borderId="2" xfId="0" applyFont="1" applyBorder="1" applyAlignment="1">
      <alignment vertical="top" wrapText="1"/>
    </xf>
    <xf numFmtId="0" fontId="32" fillId="0" borderId="2" xfId="0" applyFont="1" applyBorder="1" applyAlignment="1">
      <alignment horizontal="left" vertical="top" wrapText="1"/>
    </xf>
    <xf numFmtId="0" fontId="29" fillId="0" borderId="2" xfId="0" applyFont="1" applyBorder="1" applyAlignment="1">
      <alignment vertical="top" wrapText="1"/>
    </xf>
    <xf numFmtId="0" fontId="29" fillId="0" borderId="2" xfId="0" applyFont="1" applyBorder="1" applyAlignment="1">
      <alignment vertical="top"/>
    </xf>
    <xf numFmtId="0" fontId="37" fillId="0" borderId="1" xfId="0" applyFont="1" applyBorder="1" applyAlignment="1">
      <alignment vertical="top" wrapText="1"/>
    </xf>
    <xf numFmtId="0" fontId="37" fillId="0" borderId="2" xfId="0" applyFont="1" applyBorder="1" applyAlignment="1">
      <alignment vertical="top" wrapText="1"/>
    </xf>
    <xf numFmtId="0" fontId="33" fillId="0" borderId="2" xfId="0" applyFont="1" applyBorder="1" applyAlignment="1">
      <alignment vertical="top" wrapText="1"/>
    </xf>
    <xf numFmtId="0" fontId="40" fillId="0" borderId="2" xfId="0" applyFont="1" applyBorder="1" applyAlignment="1">
      <alignment vertical="top" wrapText="1"/>
    </xf>
    <xf numFmtId="0" fontId="29" fillId="0" borderId="2" xfId="0" applyFont="1" applyBorder="1" applyAlignment="1">
      <alignment horizontal="left" vertical="top" wrapText="1"/>
    </xf>
    <xf numFmtId="0" fontId="29" fillId="0" borderId="2" xfId="0" applyFont="1" applyBorder="1" applyAlignment="1">
      <alignment horizontal="center" vertical="top"/>
    </xf>
    <xf numFmtId="0" fontId="26" fillId="0" borderId="1" xfId="0" applyFont="1" applyBorder="1" applyAlignment="1">
      <alignment horizontal="left" vertical="top" wrapText="1"/>
    </xf>
    <xf numFmtId="0" fontId="29" fillId="0" borderId="1" xfId="0" applyFont="1" applyFill="1" applyBorder="1" applyAlignment="1">
      <alignment horizontal="center" vertical="top"/>
    </xf>
    <xf numFmtId="0" fontId="29" fillId="0" borderId="2" xfId="0" applyFont="1" applyFill="1" applyBorder="1" applyAlignment="1">
      <alignment horizontal="center" vertical="top"/>
    </xf>
    <xf numFmtId="0" fontId="29" fillId="0" borderId="1" xfId="0" applyFont="1" applyBorder="1" applyAlignment="1">
      <alignment horizontal="center" vertical="top"/>
    </xf>
    <xf numFmtId="0" fontId="19" fillId="0" borderId="2" xfId="0" applyFont="1" applyBorder="1" applyAlignment="1">
      <alignment horizontal="left" vertical="top" indent="2"/>
    </xf>
    <xf numFmtId="0" fontId="19" fillId="0" borderId="2" xfId="3" applyFont="1" applyBorder="1" applyAlignment="1">
      <alignment horizontal="left" vertical="top" wrapText="1" indent="1"/>
    </xf>
    <xf numFmtId="14" fontId="19" fillId="0" borderId="1" xfId="0" applyNumberFormat="1" applyFont="1" applyFill="1" applyBorder="1" applyAlignment="1">
      <alignment horizontal="left" vertical="top" indent="1"/>
    </xf>
    <xf numFmtId="14" fontId="19" fillId="7" borderId="1" xfId="0" applyNumberFormat="1" applyFont="1" applyFill="1" applyBorder="1" applyAlignment="1">
      <alignment horizontal="left" vertical="top" indent="1"/>
    </xf>
    <xf numFmtId="0" fontId="19" fillId="0" borderId="1" xfId="0" applyFont="1" applyBorder="1" applyAlignment="1">
      <alignment horizontal="left" vertical="top" indent="1"/>
    </xf>
    <xf numFmtId="14" fontId="19" fillId="0" borderId="1" xfId="0" applyNumberFormat="1" applyFont="1" applyBorder="1" applyAlignment="1">
      <alignment horizontal="left" vertical="top" indent="1"/>
    </xf>
    <xf numFmtId="0" fontId="19" fillId="0" borderId="2" xfId="3" applyFont="1" applyBorder="1" applyAlignment="1">
      <alignment horizontal="left" vertical="top" indent="1"/>
    </xf>
    <xf numFmtId="0" fontId="18" fillId="4" borderId="2" xfId="0" applyFont="1" applyFill="1" applyBorder="1" applyAlignment="1">
      <alignment horizontal="center" vertical="center" textRotation="83"/>
    </xf>
    <xf numFmtId="0" fontId="18" fillId="0" borderId="3" xfId="0" applyFont="1" applyBorder="1" applyAlignment="1">
      <alignment horizontal="center" vertical="center"/>
    </xf>
    <xf numFmtId="0" fontId="18" fillId="0" borderId="6" xfId="0" applyFont="1" applyBorder="1" applyAlignment="1">
      <alignment horizontal="center" vertical="center"/>
    </xf>
    <xf numFmtId="0" fontId="19" fillId="0" borderId="0" xfId="0" applyFont="1" applyFill="1" applyBorder="1" applyAlignment="1">
      <alignment vertical="top"/>
    </xf>
    <xf numFmtId="0" fontId="19" fillId="6" borderId="2" xfId="0" applyFont="1" applyFill="1" applyBorder="1" applyAlignment="1">
      <alignment horizontal="left" vertical="top" wrapText="1" indent="1"/>
    </xf>
    <xf numFmtId="0" fontId="18" fillId="6" borderId="2" xfId="0" applyFont="1" applyFill="1" applyBorder="1" applyAlignment="1">
      <alignment vertical="top" wrapText="1"/>
    </xf>
    <xf numFmtId="0" fontId="19" fillId="6" borderId="2" xfId="0" applyFont="1" applyFill="1" applyBorder="1" applyAlignment="1">
      <alignment vertical="top"/>
    </xf>
    <xf numFmtId="0" fontId="19" fillId="6" borderId="1" xfId="0" applyFont="1" applyFill="1" applyBorder="1" applyAlignment="1">
      <alignment vertical="top"/>
    </xf>
    <xf numFmtId="0" fontId="19" fillId="6" borderId="2" xfId="0" applyFont="1" applyFill="1" applyBorder="1" applyAlignment="1">
      <alignment horizontal="left" vertical="top" wrapText="1"/>
    </xf>
    <xf numFmtId="0" fontId="19" fillId="6" borderId="2" xfId="0" applyFont="1" applyFill="1" applyBorder="1" applyAlignment="1">
      <alignment horizontal="center" vertical="center"/>
    </xf>
    <xf numFmtId="0" fontId="19" fillId="6" borderId="2" xfId="0" applyFont="1" applyFill="1" applyBorder="1" applyAlignment="1">
      <alignment vertical="top" wrapText="1"/>
    </xf>
    <xf numFmtId="0" fontId="22" fillId="6" borderId="2" xfId="0" applyFont="1" applyFill="1" applyBorder="1" applyAlignment="1">
      <alignment vertical="top" wrapText="1"/>
    </xf>
    <xf numFmtId="0" fontId="18" fillId="6" borderId="2" xfId="0" applyFont="1" applyFill="1" applyBorder="1" applyAlignment="1">
      <alignment horizontal="center" vertical="center"/>
    </xf>
    <xf numFmtId="0" fontId="18" fillId="4" borderId="2" xfId="0" applyFont="1" applyFill="1" applyBorder="1" applyAlignment="1">
      <alignment horizontal="center" wrapText="1"/>
    </xf>
    <xf numFmtId="0" fontId="18" fillId="4" borderId="2" xfId="0" applyFont="1" applyFill="1" applyBorder="1" applyAlignment="1">
      <alignment horizontal="left" wrapText="1"/>
    </xf>
    <xf numFmtId="0" fontId="18" fillId="4" borderId="2" xfId="0" applyFont="1" applyFill="1" applyBorder="1" applyAlignment="1">
      <alignment wrapText="1"/>
    </xf>
    <xf numFmtId="0" fontId="23" fillId="4" borderId="2" xfId="0" applyFont="1" applyFill="1" applyBorder="1" applyAlignment="1">
      <alignment wrapText="1"/>
    </xf>
    <xf numFmtId="0" fontId="18" fillId="6" borderId="2" xfId="0" applyFont="1" applyFill="1" applyBorder="1" applyAlignment="1">
      <alignment horizontal="center" vertical="top"/>
    </xf>
    <xf numFmtId="0" fontId="18" fillId="6" borderId="2" xfId="3" applyFont="1" applyFill="1" applyBorder="1" applyAlignment="1">
      <alignment vertical="top" wrapText="1"/>
    </xf>
    <xf numFmtId="0" fontId="18" fillId="6" borderId="2" xfId="0" applyFont="1" applyFill="1" applyBorder="1" applyAlignment="1">
      <alignment horizontal="left" vertical="top"/>
    </xf>
    <xf numFmtId="0" fontId="44" fillId="0" borderId="1" xfId="0" applyFont="1" applyBorder="1" applyAlignment="1">
      <alignment horizontal="center" vertical="center"/>
    </xf>
    <xf numFmtId="0" fontId="19" fillId="8" borderId="2" xfId="3" applyFont="1" applyFill="1" applyBorder="1" applyAlignment="1">
      <alignment vertical="top" wrapText="1"/>
    </xf>
    <xf numFmtId="0" fontId="19" fillId="8" borderId="2" xfId="0" applyFont="1" applyFill="1" applyBorder="1" applyAlignment="1">
      <alignment vertical="top" wrapText="1"/>
    </xf>
    <xf numFmtId="0" fontId="43" fillId="6" borderId="2" xfId="0" applyFont="1" applyFill="1" applyBorder="1" applyAlignment="1">
      <alignment vertical="top" wrapText="1"/>
    </xf>
    <xf numFmtId="0" fontId="45" fillId="0" borderId="2" xfId="0" applyFont="1" applyBorder="1" applyAlignment="1">
      <alignment vertical="top" wrapText="1"/>
    </xf>
    <xf numFmtId="0" fontId="19" fillId="0" borderId="2" xfId="0" applyFont="1" applyFill="1" applyBorder="1" applyAlignment="1">
      <alignment horizontal="left" vertical="top" indent="1"/>
    </xf>
    <xf numFmtId="0" fontId="19" fillId="0" borderId="2" xfId="0" applyFont="1" applyFill="1" applyBorder="1" applyAlignment="1">
      <alignment vertical="top"/>
    </xf>
    <xf numFmtId="0" fontId="44" fillId="0" borderId="1" xfId="0" applyFont="1" applyFill="1" applyBorder="1" applyAlignment="1">
      <alignment horizontal="center" vertical="center"/>
    </xf>
    <xf numFmtId="0" fontId="19" fillId="0" borderId="2" xfId="0" applyFont="1" applyFill="1" applyBorder="1" applyAlignment="1">
      <alignment horizontal="left" vertical="top" wrapText="1"/>
    </xf>
    <xf numFmtId="0" fontId="19" fillId="0" borderId="2" xfId="0" applyFont="1" applyFill="1" applyBorder="1" applyAlignment="1">
      <alignment horizontal="center" vertical="center"/>
    </xf>
    <xf numFmtId="0" fontId="18" fillId="0" borderId="2" xfId="0" applyFont="1" applyFill="1" applyBorder="1" applyAlignment="1">
      <alignment vertical="top" wrapText="1"/>
    </xf>
    <xf numFmtId="0" fontId="18" fillId="0" borderId="3" xfId="0" applyFont="1" applyFill="1" applyBorder="1" applyAlignment="1">
      <alignment horizontal="center" vertical="center"/>
    </xf>
    <xf numFmtId="0" fontId="19" fillId="0" borderId="0" xfId="0" applyFont="1" applyFill="1" applyBorder="1" applyAlignment="1">
      <alignment vertical="top" wrapText="1"/>
    </xf>
    <xf numFmtId="0" fontId="19" fillId="7" borderId="2" xfId="3" applyFont="1" applyFill="1" applyBorder="1" applyAlignment="1">
      <alignment vertical="top" wrapText="1"/>
    </xf>
    <xf numFmtId="0" fontId="19" fillId="7" borderId="2" xfId="0" applyFont="1" applyFill="1" applyBorder="1" applyAlignment="1">
      <alignment vertical="top" wrapText="1"/>
    </xf>
    <xf numFmtId="0" fontId="19" fillId="8" borderId="1" xfId="0" applyFont="1" applyFill="1" applyBorder="1" applyAlignment="1">
      <alignment vertical="top" wrapText="1"/>
    </xf>
    <xf numFmtId="0" fontId="24" fillId="0" borderId="2" xfId="0" applyFont="1" applyBorder="1" applyAlignment="1">
      <alignment vertical="top" wrapText="1"/>
    </xf>
    <xf numFmtId="0" fontId="20" fillId="0" borderId="0" xfId="0" applyFont="1" applyFill="1" applyBorder="1" applyAlignment="1">
      <alignment vertical="top" wrapText="1"/>
    </xf>
    <xf numFmtId="0" fontId="48" fillId="6" borderId="2" xfId="0" applyFont="1" applyFill="1" applyBorder="1" applyAlignment="1">
      <alignment vertical="top" wrapText="1"/>
    </xf>
    <xf numFmtId="0" fontId="48" fillId="0" borderId="2" xfId="0" applyFont="1" applyFill="1" applyBorder="1" applyAlignment="1">
      <alignment vertical="top" wrapText="1"/>
    </xf>
    <xf numFmtId="0" fontId="48" fillId="8" borderId="2" xfId="0" applyFont="1" applyFill="1" applyBorder="1" applyAlignment="1">
      <alignment vertical="top" wrapText="1"/>
    </xf>
    <xf numFmtId="0" fontId="48" fillId="0" borderId="1" xfId="0" applyFont="1" applyFill="1" applyBorder="1" applyAlignment="1">
      <alignment vertical="top" wrapText="1"/>
    </xf>
    <xf numFmtId="0" fontId="20" fillId="0" borderId="2" xfId="0" applyFont="1" applyFill="1" applyBorder="1" applyAlignment="1">
      <alignment vertical="top" wrapText="1"/>
    </xf>
    <xf numFmtId="0" fontId="50" fillId="0" borderId="2" xfId="0" applyFont="1" applyBorder="1" applyAlignment="1">
      <alignment vertical="top" wrapText="1"/>
    </xf>
    <xf numFmtId="0" fontId="50" fillId="7" borderId="2" xfId="0" applyFont="1" applyFill="1" applyBorder="1" applyAlignment="1">
      <alignment vertical="top" wrapText="1"/>
    </xf>
    <xf numFmtId="0" fontId="23" fillId="6" borderId="2" xfId="0" applyFont="1" applyFill="1" applyBorder="1" applyAlignment="1">
      <alignment vertical="top" wrapText="1"/>
    </xf>
    <xf numFmtId="0" fontId="51" fillId="0" borderId="2" xfId="0" applyFont="1" applyBorder="1" applyAlignment="1">
      <alignment vertical="top" wrapText="1"/>
    </xf>
    <xf numFmtId="0" fontId="45" fillId="0" borderId="2" xfId="0" applyFont="1" applyFill="1" applyBorder="1" applyAlignment="1">
      <alignment vertical="top" wrapText="1"/>
    </xf>
    <xf numFmtId="0" fontId="19" fillId="0" borderId="2" xfId="0" applyFont="1" applyFill="1" applyBorder="1" applyAlignment="1">
      <alignment wrapText="1"/>
    </xf>
    <xf numFmtId="0" fontId="46" fillId="0" borderId="2" xfId="0" applyFont="1" applyFill="1" applyBorder="1" applyAlignment="1">
      <alignment vertical="top" wrapText="1"/>
    </xf>
    <xf numFmtId="0" fontId="19" fillId="9" borderId="2" xfId="3" applyFont="1" applyFill="1" applyBorder="1" applyAlignment="1">
      <alignment vertical="top" wrapText="1"/>
    </xf>
    <xf numFmtId="0" fontId="19" fillId="9" borderId="2" xfId="0" applyFont="1" applyFill="1" applyBorder="1" applyAlignment="1">
      <alignment vertical="top" wrapText="1"/>
    </xf>
    <xf numFmtId="0" fontId="51" fillId="0" borderId="2" xfId="0" applyFont="1" applyFill="1" applyBorder="1" applyAlignment="1">
      <alignment vertical="top" wrapText="1"/>
    </xf>
    <xf numFmtId="0" fontId="19" fillId="0" borderId="0" xfId="0" applyFont="1" applyFill="1" applyAlignment="1">
      <alignment vertical="top" wrapText="1"/>
    </xf>
    <xf numFmtId="0" fontId="19" fillId="7" borderId="2" xfId="0" applyFont="1" applyFill="1" applyBorder="1" applyAlignment="1">
      <alignment vertical="top"/>
    </xf>
    <xf numFmtId="0" fontId="54" fillId="0" borderId="2" xfId="0" applyFont="1" applyBorder="1" applyAlignment="1">
      <alignment vertical="top" wrapText="1"/>
    </xf>
    <xf numFmtId="0" fontId="18" fillId="6" borderId="0" xfId="0" applyFont="1" applyFill="1" applyBorder="1" applyAlignment="1">
      <alignment vertical="top" wrapText="1"/>
    </xf>
    <xf numFmtId="0" fontId="19" fillId="6" borderId="1" xfId="0" applyFont="1" applyFill="1" applyBorder="1" applyAlignment="1">
      <alignment horizontal="left" vertical="top" wrapText="1"/>
    </xf>
    <xf numFmtId="0" fontId="19" fillId="6" borderId="1" xfId="0" applyFont="1" applyFill="1" applyBorder="1" applyAlignment="1">
      <alignment horizontal="center" vertical="center"/>
    </xf>
    <xf numFmtId="0" fontId="48" fillId="6" borderId="1" xfId="0" applyFont="1" applyFill="1" applyBorder="1" applyAlignment="1">
      <alignment vertical="top" wrapText="1"/>
    </xf>
    <xf numFmtId="0" fontId="19" fillId="6" borderId="1" xfId="0" applyFont="1" applyFill="1" applyBorder="1" applyAlignment="1">
      <alignment vertical="top" wrapText="1"/>
    </xf>
    <xf numFmtId="0" fontId="18" fillId="6" borderId="1" xfId="0" applyFont="1" applyFill="1" applyBorder="1" applyAlignment="1">
      <alignment vertical="top" wrapText="1"/>
    </xf>
    <xf numFmtId="0" fontId="18" fillId="0" borderId="2" xfId="0" applyFont="1" applyBorder="1" applyAlignment="1">
      <alignment horizontal="center" vertical="center"/>
    </xf>
    <xf numFmtId="0" fontId="18" fillId="6" borderId="3" xfId="0" applyFont="1" applyFill="1" applyBorder="1" applyAlignment="1">
      <alignment horizontal="center" vertical="center"/>
    </xf>
    <xf numFmtId="0" fontId="18" fillId="6" borderId="6" xfId="0" applyFont="1" applyFill="1" applyBorder="1" applyAlignment="1">
      <alignment horizontal="center" vertical="center"/>
    </xf>
    <xf numFmtId="14" fontId="19" fillId="0" borderId="2" xfId="0" applyNumberFormat="1" applyFont="1" applyFill="1" applyBorder="1" applyAlignment="1">
      <alignment horizontal="left" vertical="top" indent="1"/>
    </xf>
    <xf numFmtId="0" fontId="18" fillId="6" borderId="1" xfId="0" applyFont="1" applyFill="1" applyBorder="1" applyAlignment="1">
      <alignment horizontal="left" vertical="top"/>
    </xf>
    <xf numFmtId="14" fontId="19" fillId="7" borderId="2" xfId="0" applyNumberFormat="1" applyFont="1" applyFill="1" applyBorder="1" applyAlignment="1">
      <alignment horizontal="left" vertical="top" indent="1"/>
    </xf>
    <xf numFmtId="14" fontId="19" fillId="0" borderId="2" xfId="0" applyNumberFormat="1" applyFont="1" applyBorder="1" applyAlignment="1">
      <alignment horizontal="left" vertical="top" indent="1"/>
    </xf>
    <xf numFmtId="0" fontId="19" fillId="0" borderId="1" xfId="3" applyFont="1" applyBorder="1" applyAlignment="1">
      <alignment horizontal="left" vertical="top" indent="1"/>
    </xf>
    <xf numFmtId="0" fontId="18" fillId="6" borderId="1" xfId="0" applyFont="1" applyFill="1" applyBorder="1" applyAlignment="1">
      <alignment horizontal="center" vertical="top"/>
    </xf>
    <xf numFmtId="0" fontId="18" fillId="6" borderId="1" xfId="3" applyFont="1" applyFill="1" applyBorder="1" applyAlignment="1">
      <alignment vertical="top" wrapText="1"/>
    </xf>
    <xf numFmtId="0" fontId="19" fillId="0" borderId="1" xfId="3" applyFont="1" applyBorder="1" applyAlignment="1">
      <alignment vertical="top"/>
    </xf>
    <xf numFmtId="0" fontId="25" fillId="0" borderId="2" xfId="0" applyFont="1" applyBorder="1" applyAlignment="1">
      <alignment vertical="top" wrapText="1"/>
    </xf>
    <xf numFmtId="0" fontId="25" fillId="7" borderId="2" xfId="0" applyFont="1" applyFill="1" applyBorder="1" applyAlignment="1">
      <alignment vertical="top" wrapText="1"/>
    </xf>
    <xf numFmtId="0" fontId="54" fillId="0" borderId="2" xfId="0" applyFont="1" applyFill="1" applyBorder="1" applyAlignment="1">
      <alignment vertical="top" wrapText="1"/>
    </xf>
    <xf numFmtId="0" fontId="54" fillId="7" borderId="2" xfId="0" applyFont="1" applyFill="1" applyBorder="1" applyAlignment="1">
      <alignment vertical="top" wrapText="1"/>
    </xf>
    <xf numFmtId="0" fontId="48" fillId="0" borderId="2" xfId="0" applyFont="1" applyFill="1" applyBorder="1" applyAlignment="1">
      <alignment vertical="top"/>
    </xf>
    <xf numFmtId="0" fontId="19" fillId="6" borderId="0" xfId="0" applyFont="1" applyFill="1" applyBorder="1" applyAlignment="1">
      <alignment vertical="top" wrapText="1"/>
    </xf>
    <xf numFmtId="0" fontId="22" fillId="6" borderId="0" xfId="0" applyFont="1" applyFill="1" applyBorder="1" applyAlignment="1">
      <alignment vertical="top" wrapText="1"/>
    </xf>
    <xf numFmtId="0" fontId="18" fillId="6" borderId="1" xfId="0" applyFont="1" applyFill="1" applyBorder="1" applyAlignment="1">
      <alignment horizontal="center" vertical="center"/>
    </xf>
    <xf numFmtId="0" fontId="18" fillId="0" borderId="2" xfId="0" applyFont="1" applyFill="1" applyBorder="1" applyAlignment="1">
      <alignment horizontal="center" vertical="center"/>
    </xf>
    <xf numFmtId="0" fontId="19" fillId="0" borderId="1" xfId="3" applyFont="1" applyBorder="1" applyAlignment="1">
      <alignment horizontal="center" vertical="center"/>
    </xf>
    <xf numFmtId="0" fontId="19" fillId="0" borderId="3" xfId="0" applyFont="1" applyBorder="1" applyAlignment="1">
      <alignment horizontal="center" vertical="center"/>
    </xf>
    <xf numFmtId="0" fontId="18" fillId="6" borderId="0" xfId="0" applyFont="1" applyFill="1" applyBorder="1" applyAlignment="1">
      <alignment horizontal="center" vertical="center"/>
    </xf>
    <xf numFmtId="0" fontId="19" fillId="7" borderId="1" xfId="0" applyFont="1" applyFill="1" applyBorder="1" applyAlignment="1">
      <alignment vertical="top" wrapText="1"/>
    </xf>
    <xf numFmtId="0" fontId="22" fillId="0" borderId="0" xfId="0" applyFont="1" applyFill="1" applyBorder="1" applyAlignment="1">
      <alignment vertical="top" wrapText="1"/>
    </xf>
    <xf numFmtId="0" fontId="18" fillId="0" borderId="0" xfId="0" applyFont="1" applyBorder="1" applyAlignment="1">
      <alignment horizontal="center" vertical="center"/>
    </xf>
    <xf numFmtId="0" fontId="48" fillId="0" borderId="1" xfId="0" applyFont="1" applyBorder="1" applyAlignment="1">
      <alignment vertical="top" wrapText="1"/>
    </xf>
    <xf numFmtId="0" fontId="48" fillId="0" borderId="2" xfId="3" applyFont="1" applyBorder="1" applyAlignment="1">
      <alignment vertical="top" wrapText="1"/>
    </xf>
    <xf numFmtId="0" fontId="19" fillId="6" borderId="1" xfId="0" applyFont="1" applyFill="1" applyBorder="1" applyAlignment="1">
      <alignment horizontal="left" vertical="top" wrapText="1" indent="1"/>
    </xf>
    <xf numFmtId="0" fontId="25" fillId="0" borderId="1" xfId="0" applyFont="1" applyBorder="1" applyAlignment="1">
      <alignment vertical="top" wrapText="1"/>
    </xf>
    <xf numFmtId="0" fontId="25" fillId="0" borderId="2" xfId="0" applyFont="1" applyFill="1" applyBorder="1" applyAlignment="1">
      <alignment vertical="top" wrapText="1"/>
    </xf>
    <xf numFmtId="0" fontId="19" fillId="0" borderId="1" xfId="0" applyFont="1" applyFill="1" applyBorder="1" applyAlignment="1">
      <alignment horizontal="center" vertical="center"/>
    </xf>
    <xf numFmtId="0" fontId="48" fillId="0" borderId="2" xfId="0" applyFont="1" applyBorder="1" applyAlignment="1">
      <alignment vertical="top" wrapText="1"/>
    </xf>
    <xf numFmtId="0" fontId="48" fillId="0" borderId="2" xfId="0" applyFont="1" applyBorder="1" applyAlignment="1">
      <alignment vertical="top"/>
    </xf>
    <xf numFmtId="0" fontId="48" fillId="6" borderId="0" xfId="0" applyFont="1" applyFill="1" applyBorder="1" applyAlignment="1">
      <alignment vertical="top" wrapText="1"/>
    </xf>
    <xf numFmtId="0" fontId="49" fillId="0" borderId="1" xfId="0" applyFont="1" applyFill="1" applyBorder="1" applyAlignment="1">
      <alignment vertical="top" wrapText="1"/>
    </xf>
    <xf numFmtId="0" fontId="48" fillId="0" borderId="1" xfId="0" applyFont="1" applyFill="1" applyBorder="1" applyAlignment="1">
      <alignment vertical="top"/>
    </xf>
    <xf numFmtId="0" fontId="48" fillId="8" borderId="1" xfId="0" applyFont="1" applyFill="1" applyBorder="1" applyAlignment="1">
      <alignment vertical="top" wrapText="1"/>
    </xf>
    <xf numFmtId="0" fontId="19" fillId="7" borderId="2" xfId="3" applyFont="1" applyFill="1" applyBorder="1" applyAlignment="1">
      <alignment vertical="top"/>
    </xf>
    <xf numFmtId="0" fontId="19" fillId="7" borderId="2" xfId="3" applyFont="1" applyFill="1" applyBorder="1" applyAlignment="1">
      <alignment horizontal="left" vertical="top" wrapText="1"/>
    </xf>
    <xf numFmtId="0" fontId="50" fillId="0" borderId="2" xfId="0" applyFont="1" applyBorder="1" applyAlignment="1">
      <alignment wrapText="1"/>
    </xf>
    <xf numFmtId="0" fontId="25" fillId="8" borderId="1" xfId="0" applyFont="1" applyFill="1" applyBorder="1" applyAlignment="1">
      <alignment vertical="top" wrapText="1"/>
    </xf>
    <xf numFmtId="0" fontId="45" fillId="0" borderId="1" xfId="0" applyFont="1" applyBorder="1" applyAlignment="1">
      <alignment vertical="top" wrapText="1"/>
    </xf>
    <xf numFmtId="0" fontId="19" fillId="10" borderId="2" xfId="3" applyFont="1" applyFill="1" applyBorder="1" applyAlignment="1">
      <alignment horizontal="left" vertical="top" wrapText="1"/>
    </xf>
    <xf numFmtId="0" fontId="48" fillId="10" borderId="2" xfId="0" applyFont="1" applyFill="1" applyBorder="1" applyAlignment="1">
      <alignment vertical="top" wrapText="1"/>
    </xf>
    <xf numFmtId="0" fontId="25" fillId="0" borderId="1" xfId="0" applyFont="1" applyFill="1" applyBorder="1" applyAlignment="1">
      <alignment vertical="top" wrapText="1"/>
    </xf>
    <xf numFmtId="0" fontId="45" fillId="0" borderId="1" xfId="0" applyFont="1" applyFill="1" applyBorder="1" applyAlignment="1">
      <alignment vertical="top" wrapText="1"/>
    </xf>
    <xf numFmtId="0" fontId="19" fillId="11" borderId="2" xfId="0" applyFont="1" applyFill="1" applyBorder="1" applyAlignment="1">
      <alignment horizontal="center" vertical="top"/>
    </xf>
    <xf numFmtId="0" fontId="19" fillId="11" borderId="2" xfId="0" applyFont="1" applyFill="1" applyBorder="1" applyAlignment="1">
      <alignment vertical="top" wrapText="1"/>
    </xf>
    <xf numFmtId="0" fontId="44" fillId="11" borderId="1" xfId="0" applyFont="1" applyFill="1" applyBorder="1" applyAlignment="1">
      <alignment horizontal="center" vertical="center"/>
    </xf>
    <xf numFmtId="0" fontId="19" fillId="11" borderId="2" xfId="0" applyFont="1" applyFill="1" applyBorder="1" applyAlignment="1">
      <alignment horizontal="left" vertical="top" wrapText="1"/>
    </xf>
    <xf numFmtId="0" fontId="19" fillId="11" borderId="2" xfId="0" applyFont="1" applyFill="1" applyBorder="1" applyAlignment="1">
      <alignment horizontal="center" vertical="center"/>
    </xf>
    <xf numFmtId="0" fontId="48" fillId="11" borderId="2" xfId="0" applyFont="1" applyFill="1" applyBorder="1" applyAlignment="1">
      <alignment vertical="top" wrapText="1"/>
    </xf>
    <xf numFmtId="0" fontId="18" fillId="11" borderId="2" xfId="0" applyFont="1" applyFill="1" applyBorder="1" applyAlignment="1">
      <alignment vertical="top" wrapText="1"/>
    </xf>
    <xf numFmtId="0" fontId="22" fillId="11" borderId="2" xfId="0" applyFont="1" applyFill="1" applyBorder="1" applyAlignment="1">
      <alignment vertical="top" wrapText="1"/>
    </xf>
    <xf numFmtId="0" fontId="19" fillId="0" borderId="2" xfId="0" applyFont="1" applyFill="1" applyBorder="1" applyAlignment="1">
      <alignment horizontal="left" vertical="top" indent="2"/>
    </xf>
    <xf numFmtId="0" fontId="48" fillId="0" borderId="0" xfId="0" applyFont="1" applyFill="1" applyBorder="1" applyAlignment="1">
      <alignment vertical="top" wrapText="1"/>
    </xf>
    <xf numFmtId="0" fontId="48" fillId="11" borderId="1" xfId="0" applyFont="1" applyFill="1" applyBorder="1" applyAlignment="1">
      <alignment vertical="top" wrapText="1"/>
    </xf>
    <xf numFmtId="0" fontId="19" fillId="11" borderId="1" xfId="0" applyFont="1" applyFill="1" applyBorder="1" applyAlignment="1">
      <alignment horizontal="left" vertical="top" wrapText="1"/>
    </xf>
    <xf numFmtId="0" fontId="19" fillId="11" borderId="1" xfId="0" applyFont="1" applyFill="1" applyBorder="1" applyAlignment="1">
      <alignment horizontal="center" vertical="center"/>
    </xf>
    <xf numFmtId="0" fontId="19" fillId="11" borderId="1" xfId="0" applyFont="1" applyFill="1" applyBorder="1" applyAlignment="1">
      <alignment vertical="top" wrapText="1"/>
    </xf>
    <xf numFmtId="0" fontId="18" fillId="11" borderId="1" xfId="0" applyFont="1" applyFill="1" applyBorder="1" applyAlignment="1">
      <alignment vertical="top" wrapText="1"/>
    </xf>
    <xf numFmtId="0" fontId="19" fillId="11" borderId="1" xfId="0" applyFont="1" applyFill="1" applyBorder="1" applyAlignment="1">
      <alignment horizontal="center" vertical="top"/>
    </xf>
    <xf numFmtId="0" fontId="60" fillId="0" borderId="0" xfId="0" applyFont="1" applyAlignment="1">
      <alignment wrapText="1"/>
    </xf>
    <xf numFmtId="14" fontId="19" fillId="0" borderId="1" xfId="0" applyNumberFormat="1" applyFont="1" applyFill="1" applyBorder="1" applyAlignment="1">
      <alignment horizontal="center" vertical="top"/>
    </xf>
    <xf numFmtId="0" fontId="24" fillId="0" borderId="2" xfId="0" applyFont="1" applyFill="1" applyBorder="1" applyAlignment="1">
      <alignment vertical="top" wrapText="1"/>
    </xf>
    <xf numFmtId="0" fontId="19" fillId="7" borderId="0" xfId="0" applyFont="1" applyFill="1" applyAlignment="1">
      <alignment vertical="top"/>
    </xf>
    <xf numFmtId="0" fontId="19" fillId="7" borderId="2" xfId="0" applyFont="1" applyFill="1" applyBorder="1" applyAlignment="1">
      <alignment horizontal="center" vertical="top"/>
    </xf>
    <xf numFmtId="0" fontId="19" fillId="7" borderId="2" xfId="0" applyFont="1" applyFill="1" applyBorder="1" applyAlignment="1">
      <alignment horizontal="left" vertical="top" indent="1"/>
    </xf>
    <xf numFmtId="0" fontId="19" fillId="7" borderId="1" xfId="0" applyFont="1" applyFill="1" applyBorder="1" applyAlignment="1">
      <alignment vertical="top"/>
    </xf>
    <xf numFmtId="0" fontId="18" fillId="7" borderId="3" xfId="0" applyFont="1" applyFill="1" applyBorder="1" applyAlignment="1">
      <alignment horizontal="center" vertical="center"/>
    </xf>
    <xf numFmtId="0" fontId="19" fillId="7" borderId="0" xfId="0" applyFont="1" applyFill="1" applyBorder="1" applyAlignment="1">
      <alignment vertical="top"/>
    </xf>
    <xf numFmtId="0" fontId="19" fillId="7" borderId="0" xfId="0" applyFont="1" applyFill="1" applyBorder="1" applyAlignment="1">
      <alignment vertical="top" wrapText="1"/>
    </xf>
    <xf numFmtId="0" fontId="18" fillId="7" borderId="2" xfId="0" applyFont="1" applyFill="1" applyBorder="1" applyAlignment="1">
      <alignment horizontal="center" vertical="center"/>
    </xf>
    <xf numFmtId="0" fontId="19" fillId="7" borderId="1" xfId="0" applyFont="1" applyFill="1" applyBorder="1" applyAlignment="1">
      <alignment horizontal="center" vertical="top"/>
    </xf>
    <xf numFmtId="0" fontId="19" fillId="7" borderId="1" xfId="3" applyFont="1" applyFill="1" applyBorder="1" applyAlignment="1">
      <alignment vertical="top" wrapText="1"/>
    </xf>
    <xf numFmtId="0" fontId="19" fillId="7" borderId="0" xfId="0" applyFont="1" applyFill="1" applyAlignment="1">
      <alignment vertical="top" wrapText="1"/>
    </xf>
    <xf numFmtId="0" fontId="18" fillId="7" borderId="1" xfId="0" applyFont="1" applyFill="1" applyBorder="1" applyAlignment="1">
      <alignment horizontal="center" vertical="center"/>
    </xf>
    <xf numFmtId="0" fontId="61" fillId="0" borderId="2" xfId="0" applyFont="1" applyFill="1" applyBorder="1" applyAlignment="1">
      <alignment vertical="top" wrapText="1"/>
    </xf>
    <xf numFmtId="0" fontId="24" fillId="0" borderId="2" xfId="3" applyFont="1" applyBorder="1" applyAlignment="1">
      <alignment vertical="top" wrapText="1"/>
    </xf>
    <xf numFmtId="0" fontId="19" fillId="0" borderId="0" xfId="0" applyFont="1" applyFill="1" applyBorder="1" applyAlignment="1">
      <alignment horizontal="center" vertical="top"/>
    </xf>
    <xf numFmtId="0" fontId="18" fillId="0" borderId="6" xfId="0" applyFont="1" applyFill="1" applyBorder="1" applyAlignment="1">
      <alignment horizontal="center" vertical="center"/>
    </xf>
    <xf numFmtId="0" fontId="19" fillId="9" borderId="2" xfId="0" applyFont="1" applyFill="1" applyBorder="1" applyAlignment="1">
      <alignment vertical="top"/>
    </xf>
    <xf numFmtId="0" fontId="54" fillId="0" borderId="1" xfId="0" applyFont="1" applyBorder="1" applyAlignment="1">
      <alignment vertical="top" wrapText="1"/>
    </xf>
    <xf numFmtId="0" fontId="64" fillId="12" borderId="1" xfId="0" applyFont="1" applyFill="1" applyBorder="1" applyAlignment="1">
      <alignment wrapText="1"/>
    </xf>
    <xf numFmtId="0" fontId="67" fillId="6" borderId="2" xfId="0" applyFont="1" applyFill="1" applyBorder="1" applyAlignment="1">
      <alignment vertical="top" wrapText="1"/>
    </xf>
    <xf numFmtId="0" fontId="66" fillId="8" borderId="2" xfId="0" applyFont="1" applyFill="1" applyBorder="1" applyAlignment="1">
      <alignment vertical="top" wrapText="1"/>
    </xf>
    <xf numFmtId="0" fontId="62" fillId="8" borderId="1" xfId="0" applyFont="1" applyFill="1" applyBorder="1" applyAlignment="1">
      <alignment vertical="top" wrapText="1"/>
    </xf>
    <xf numFmtId="0" fontId="9" fillId="0" borderId="2" xfId="0" applyFont="1" applyBorder="1" applyAlignment="1">
      <alignment vertical="top" wrapText="1"/>
    </xf>
    <xf numFmtId="0" fontId="0" fillId="0" borderId="2" xfId="0" applyBorder="1" applyAlignment="1">
      <alignment vertical="top" wrapText="1"/>
    </xf>
    <xf numFmtId="0" fontId="9" fillId="0" borderId="3" xfId="0" applyFont="1" applyBorder="1" applyAlignment="1">
      <alignment vertical="top" wrapText="1"/>
    </xf>
    <xf numFmtId="0" fontId="0" fillId="0" borderId="4" xfId="0" applyBorder="1" applyAlignment="1">
      <alignment vertical="top" wrapText="1"/>
    </xf>
    <xf numFmtId="0" fontId="0" fillId="0" borderId="2" xfId="0" applyBorder="1" applyAlignment="1">
      <alignment vertical="top"/>
    </xf>
    <xf numFmtId="0" fontId="0" fillId="0" borderId="0" xfId="0" applyAlignment="1">
      <alignment vertical="top" wrapText="1"/>
    </xf>
    <xf numFmtId="0" fontId="0" fillId="0" borderId="0" xfId="0" applyAlignment="1">
      <alignment vertical="top"/>
    </xf>
    <xf numFmtId="0" fontId="6" fillId="0" borderId="0" xfId="0" applyFont="1" applyAlignment="1">
      <alignment vertical="top" wrapText="1"/>
    </xf>
    <xf numFmtId="0" fontId="7" fillId="0" borderId="0" xfId="0" applyFont="1" applyAlignment="1">
      <alignment vertical="top" wrapText="1"/>
    </xf>
    <xf numFmtId="0" fontId="10" fillId="5" borderId="2" xfId="0" applyFont="1" applyFill="1" applyBorder="1" applyAlignment="1">
      <alignment vertical="top" wrapText="1"/>
    </xf>
  </cellXfs>
  <cellStyles count="7">
    <cellStyle name="Normal" xfId="0" builtinId="0"/>
    <cellStyle name="Normal 2" xfId="3" xr:uid="{00000000-0005-0000-0000-000001000000}"/>
    <cellStyle name="Normal 2 2" xfId="5" xr:uid="{00000000-0005-0000-0000-000002000000}"/>
    <cellStyle name="Normal 3" xfId="2" xr:uid="{00000000-0005-0000-0000-000003000000}"/>
    <cellStyle name="Normal 3 2" xfId="6" xr:uid="{E8342BEB-6F95-4381-8593-42E2262642D2}"/>
    <cellStyle name="Normal 4" xfId="4" xr:uid="{00000000-0005-0000-0000-000004000000}"/>
    <cellStyle name="TickBox" xfId="1" xr:uid="{00000000-0005-0000-0000-000005000000}"/>
  </cellStyles>
  <dxfs count="413">
    <dxf>
      <fill>
        <patternFill>
          <bgColor indexed="10"/>
        </patternFill>
      </fill>
    </dxf>
    <dxf>
      <fill>
        <patternFill>
          <bgColor indexed="52"/>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11"/>
        </patternFill>
      </fill>
    </dxf>
    <dxf>
      <fill>
        <patternFill>
          <bgColor indexed="52"/>
        </patternFill>
      </fill>
    </dxf>
    <dxf>
      <fill>
        <patternFill>
          <bgColor indexed="11"/>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50"/>
        </patternFill>
      </fill>
    </dxf>
    <dxf>
      <fill>
        <patternFill>
          <bgColor indexed="10"/>
        </patternFill>
      </fill>
    </dxf>
    <dxf>
      <fill>
        <patternFill>
          <bgColor indexed="52"/>
        </patternFill>
      </fill>
    </dxf>
    <dxf>
      <fill>
        <patternFill>
          <bgColor indexed="50"/>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0"/>
        </patternFill>
      </fill>
    </dxf>
    <dxf>
      <fill>
        <patternFill>
          <bgColor indexed="52"/>
        </patternFill>
      </fill>
    </dxf>
    <dxf>
      <fill>
        <patternFill>
          <bgColor indexed="11"/>
        </patternFill>
      </fill>
    </dxf>
    <dxf>
      <fill>
        <patternFill>
          <bgColor indexed="11"/>
        </patternFill>
      </fill>
    </dxf>
    <dxf>
      <fill>
        <patternFill>
          <bgColor indexed="10"/>
        </patternFill>
      </fill>
    </dxf>
    <dxf>
      <fill>
        <patternFill>
          <bgColor indexed="52"/>
        </patternFill>
      </fill>
    </dxf>
    <dxf>
      <fill>
        <patternFill>
          <bgColor indexed="52"/>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1"/>
        </patternFill>
      </fill>
    </dxf>
    <dxf>
      <fill>
        <patternFill>
          <bgColor indexed="10"/>
        </patternFill>
      </fill>
    </dxf>
    <dxf>
      <fill>
        <patternFill>
          <bgColor indexed="10"/>
        </patternFill>
      </fill>
    </dxf>
    <dxf>
      <fill>
        <patternFill>
          <bgColor indexed="11"/>
        </patternFill>
      </fill>
    </dxf>
    <dxf>
      <fill>
        <patternFill>
          <bgColor indexed="52"/>
        </patternFill>
      </fill>
    </dxf>
    <dxf>
      <fill>
        <patternFill>
          <bgColor indexed="10"/>
        </pattern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gradientFill type="path" left="0.5" right="0.5" top="0.5" bottom="0.5">
          <stop position="0">
            <color theme="5" tint="-0.25098422193060094"/>
          </stop>
          <stop position="1">
            <color theme="5" tint="0.40000610370189521"/>
          </stop>
        </gradientFill>
      </fill>
    </dxf>
    <dxf>
      <fill>
        <gradientFill type="path" left="0.5" right="0.5" top="0.5" bottom="0.5">
          <stop position="0">
            <color rgb="FF00B050"/>
          </stop>
          <stop position="1">
            <color rgb="FF92D050"/>
          </stop>
        </gradientFill>
      </fill>
    </dxf>
    <dxf>
      <fill>
        <gradientFill type="path" left="0.5" right="0.5" top="0.5" bottom="0.5">
          <stop position="0">
            <color rgb="FF00B050"/>
          </stop>
          <stop position="1">
            <color rgb="FF92D050"/>
          </stop>
        </gradientFill>
      </fill>
    </dxf>
    <dxf>
      <fill>
        <patternFill>
          <bgColor indexed="52"/>
        </patternFill>
      </fill>
    </dxf>
    <dxf>
      <fill>
        <patternFill>
          <bgColor indexed="11"/>
        </patternFill>
      </fill>
    </dxf>
    <dxf>
      <fill>
        <patternFill>
          <bgColor indexed="10"/>
        </patternFill>
      </fill>
    </dxf>
    <dxf>
      <fill>
        <patternFill>
          <bgColor indexed="11"/>
        </patternFill>
      </fill>
    </dxf>
    <dxf>
      <fill>
        <patternFill>
          <bgColor indexed="11"/>
        </patternFill>
      </fill>
    </dxf>
    <dxf>
      <fill>
        <patternFill>
          <bgColor indexed="11"/>
        </patternFill>
      </fill>
    </dxf>
    <dxf>
      <fill>
        <patternFill>
          <bgColor indexed="11"/>
        </patternFill>
      </fill>
    </dxf>
    <dxf>
      <fill>
        <patternFill>
          <bgColor indexed="10"/>
        </patternFill>
      </fill>
    </dxf>
    <dxf>
      <fill>
        <patternFill>
          <bgColor indexed="50"/>
        </patternFill>
      </fill>
    </dxf>
    <dxf>
      <fill>
        <patternFill>
          <bgColor indexed="52"/>
        </patternFill>
      </fill>
    </dxf>
    <dxf>
      <fill>
        <patternFill>
          <bgColor indexed="10"/>
        </patternFill>
      </fill>
    </dxf>
    <dxf>
      <fill>
        <patternFill>
          <bgColor indexed="50"/>
        </patternFill>
      </fill>
    </dxf>
    <dxf>
      <fill>
        <patternFill>
          <bgColor indexed="5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openxmlformats.org/officeDocument/2006/relationships/calcChain" Target="calcChain.xml"/><Relationship Id="rId5" Type="http://schemas.openxmlformats.org/officeDocument/2006/relationships/worksheet" Target="worksheets/sheet5.xml"/><Relationship Id="rId10"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2.wmf"/></Relationships>
</file>

<file path=xl/drawings/drawing1.xml><?xml version="1.0" encoding="utf-8"?>
<xdr:wsDr xmlns:xdr="http://schemas.openxmlformats.org/drawingml/2006/spreadsheetDrawing" xmlns:a="http://schemas.openxmlformats.org/drawingml/2006/main">
  <xdr:oneCellAnchor>
    <xdr:from>
      <xdr:col>8</xdr:col>
      <xdr:colOff>879324</xdr:colOff>
      <xdr:row>1</xdr:row>
      <xdr:rowOff>159957</xdr:rowOff>
    </xdr:from>
    <xdr:ext cx="1599291" cy="318105"/>
    <xdr:pic>
      <xdr:nvPicPr>
        <xdr:cNvPr id="4" name="Picture 2" descr="ThermoScientific_032-Bk_1in_25mm.jp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11642574" y="339874"/>
          <a:ext cx="1599291" cy="318105"/>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711200</xdr:colOff>
      <xdr:row>0</xdr:row>
      <xdr:rowOff>260350</xdr:rowOff>
    </xdr:from>
    <xdr:to>
      <xdr:col>7</xdr:col>
      <xdr:colOff>77788</xdr:colOff>
      <xdr:row>3</xdr:row>
      <xdr:rowOff>73025</xdr:rowOff>
    </xdr:to>
    <xdr:pic>
      <xdr:nvPicPr>
        <xdr:cNvPr id="6" name="Picture 484" descr="Therm Fisher Space Final-B">
          <a:extLst>
            <a:ext uri="{FF2B5EF4-FFF2-40B4-BE49-F238E27FC236}">
              <a16:creationId xmlns:a16="http://schemas.microsoft.com/office/drawing/2014/main" id="{5255F4F5-A22C-4993-8ECB-DF1FAA0D78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bwMode="auto">
        <a:xfrm>
          <a:off x="8350250" y="260350"/>
          <a:ext cx="2038350" cy="469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henkelgroup.sharepoint.com/Documents%20and%20Settings/gambiea/My%20Documents/4_Sight_RTM1.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quirements"/>
      <sheetName val="Design Details"/>
      <sheetName val="Customisation"/>
      <sheetName val="Configuration"/>
      <sheetName val="Categories"/>
      <sheetName val="Dialog1"/>
      <sheetName val="Module1"/>
      <sheetName val="Module2"/>
      <sheetName val="Module3"/>
    </sheetNames>
    <sheetDataSet>
      <sheetData sheetId="0"/>
      <sheetData sheetId="1"/>
      <sheetData sheetId="2"/>
      <sheetData sheetId="3"/>
      <sheetData sheetId="4">
        <row r="3">
          <cell r="C3" t="str">
            <v>þ</v>
          </cell>
        </row>
        <row r="4">
          <cell r="C4" t="str">
            <v>ý</v>
          </cell>
        </row>
      </sheetData>
      <sheetData sheetId="5"/>
      <sheetData sheetId="6" refreshError="1"/>
      <sheetData sheetId="7" refreshError="1"/>
      <sheetData sheetId="8" refreshError="1"/>
    </sheetDataSet>
  </externalBook>
</externalLink>
</file>

<file path=xl/persons/person.xml><?xml version="1.0" encoding="utf-8"?>
<personList xmlns="http://schemas.microsoft.com/office/spreadsheetml/2018/threadedcomments" xmlns:x="http://schemas.openxmlformats.org/spreadsheetml/2006/main">
  <person displayName="Frank Shen" id="{78B9FBBE-9422-41FE-81C1-9A57D98CC31E}" userId="S::frank.shen@henkel.com::00d47b21-dccf-4c3f-ae8f-ea5d5a02d0e0" providerId="AD"/>
  <person displayName="Gu, Cheng" id="{A1B7953F-B440-4ABB-9F7F-F442466F2FE1}" userId="S::cheng.gu@thermofisher.com::dece2f01-8930-407a-8ed8-3252ffc5a982" providerId="AD"/>
  <person displayName="Neelima Rajesh" id="{B97A3706-A749-42E4-BFDB-71C88F97091E}" userId="S::neelima.rajesh@henkel.com::e9b51af5-5a03-4d45-baba-6827527d3602" providerId="AD"/>
  <person displayName="Mengran Xiao" id="{B4BBF45D-B2D7-4AE1-9995-48BAE5EC353B}" userId="S::mengran.xiao@thermofisher.com::0331391d-0438-4e9d-b2f6-46790c92e18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G11" dT="2024-06-13T05:03:40.19" personId="{B97A3706-A749-42E4-BFDB-71C88F97091E}" id="{729F79BF-F082-4FBE-96C8-CC8AE68E0A3E}" done="1">
    <text>It should be used also for standard testing. Ex: Truck RM, 903 - IPQC, non MES plants. Need a configuration to identify these scenarios</text>
  </threadedComment>
  <threadedComment ref="G13" dT="2024-06-13T05:06:41.59" personId="{B97A3706-A749-42E4-BFDB-71C88F97091E}" id="{4FB76A7B-A7CD-4355-AE9C-EC4334F58A9B}" done="1">
    <text>System shall be able to create sample based on events scheduled within QCLAD</text>
  </threadedComment>
  <threadedComment ref="G14" dT="2024-06-14T02:22:55.51" personId="{B97A3706-A749-42E4-BFDB-71C88F97091E}" id="{BD5FB6BE-00B4-4069-B97E-122A33109E29}" done="1">
    <text>Which has an inspection lot(automatic)</text>
  </threadedComment>
  <threadedComment ref="G24" dT="2024-06-13T05:07:25.92" personId="{B97A3706-A749-42E4-BFDB-71C88F97091E}" id="{467F8052-B7A6-4CC5-8197-A900E1976EF0}" done="1">
    <text>Date and time</text>
  </threadedComment>
  <threadedComment ref="G26" dT="2024-06-14T02:24:22.87" personId="{B97A3706-A749-42E4-BFDB-71C88F97091E}" id="{37C3D7D9-2FB3-468C-89D9-CC58284D8AE8}" done="1">
    <text>Need to add a mandatory comment for the cancellation.</text>
  </threadedComment>
  <threadedComment ref="G29" dT="2024-06-13T05:08:17.49" personId="{B97A3706-A749-42E4-BFDB-71C88F97091E}" id="{45E9C921-298E-45C5-9841-90E783E1BFFB}" done="1">
    <text>Do we need to mention some examples of configurable attributes  to ensure both teams are on same page?</text>
  </threadedComment>
  <threadedComment ref="G29" dT="2024-06-18T07:39:26.92" personId="{78B9FBBE-9422-41FE-81C1-9A57D98CC31E}" id="{92B58AE2-1755-48DE-9612-6F44CCD5E860}" parentId="{45E9C921-298E-45C5-9841-90E783E1BFFB}">
    <text>Thermofisher will provide the details for henkel to choose</text>
  </threadedComment>
  <threadedComment ref="G33" dT="2024-07-12T05:21:15.63" personId="{78B9FBBE-9422-41FE-81C1-9A57D98CC31E}" id="{419760AC-D436-4676-80E6-A4EBDC46B3C4}" done="1">
    <text>Sampling plan should be from QCLaD sop but not from SAP. What to test and skip lot rule need to pulled from SAP. How to test is from SOP.</text>
  </threadedComment>
  <threadedComment ref="G33" dT="2024-07-16T01:05:06.19" personId="{A1B7953F-B440-4ABB-9F7F-F442466F2FE1}" id="{73792BF6-A012-47A2-9005-97D2E6F0473E}" parentId="{419760AC-D436-4676-80E6-A4EBDC46B3C4}">
    <text>Need discussion</text>
  </threadedComment>
  <threadedComment ref="G33" dT="2024-07-18T06:10:33.84" personId="{B4BBF45D-B2D7-4AE1-9995-48BAE5EC353B}" id="{F71B32EB-C9EC-4074-B10D-5162BC6A56E4}" parentId="{419760AC-D436-4676-80E6-A4EBDC46B3C4}">
    <text>Confirmed</text>
  </threadedComment>
  <threadedComment ref="G37" dT="2024-06-14T02:27:06.61" personId="{B97A3706-A749-42E4-BFDB-71C88F97091E}" id="{371531C1-B2C6-41F8-BB05-87632D51E4E4}" done="1">
    <text>Provision for traceability of split samples with a parent sample should be available</text>
  </threadedComment>
  <threadedComment ref="G41" dT="2024-06-13T05:11:08.82" personId="{B97A3706-A749-42E4-BFDB-71C88F97091E}" id="{7DC27EA6-1670-4B52-966E-3D635B2304C0}" done="1">
    <text>Should be access driven, only specific users with right roles can create or modify</text>
  </threadedComment>
  <threadedComment ref="G43" dT="2024-06-14T02:28:33.85" personId="{B97A3706-A749-42E4-BFDB-71C88F97091E}" id="{8CC714BC-1AD9-44A0-823F-887B71383516}">
    <text>If the test is failed and need to retest - Based on the sample number, multiple inspection points to be created in SAP for all standard testing flows. This is to record all failure as well as success of parameters in SAP.</text>
  </threadedComment>
  <threadedComment ref="I45" dT="2024-06-18T07:41:55.22" personId="{78B9FBBE-9422-41FE-81C1-9A57D98CC31E}" id="{222FAC87-BCE2-44F9-BEA6-B4C5DA84A5EF}">
    <text>Why is this item customisation as it is standard functionality</text>
  </threadedComment>
  <threadedComment ref="I45" dT="2024-06-19T02:15:46.95" personId="{B4BBF45D-B2D7-4AE1-9995-48BAE5EC353B}" id="{E7135C8E-FC1E-431B-BEAB-6B6AAF8FC9E7}" parentId="{222FAC87-BCE2-44F9-BEA6-B4C5DA84A5EF}">
    <text>All with interface is customisation for us</text>
  </threadedComment>
  <threadedComment ref="G49" dT="2024-06-14T02:30:12.19" personId="{B97A3706-A749-42E4-BFDB-71C88F97091E}" id="{109981BB-82A0-4CAD-9EDA-91CD33533368}" done="1">
    <text>Specification limit to be pulled from SAP inspection plan</text>
  </threadedComment>
  <threadedComment ref="G57" dT="2024-06-13T05:13:03.10" personId="{B97A3706-A749-42E4-BFDB-71C88F97091E}" id="{6A0F841E-4A63-4BFF-A708-42D3B983D456}" done="1">
    <text>It can be barcode or QRCode</text>
  </threadedComment>
  <threadedComment ref="G67" dT="2024-07-12T05:30:26.22" personId="{78B9FBBE-9422-41FE-81C1-9A57D98CC31E}" id="{299161BF-D327-4500-A060-0D9640AFD2FD}" done="1">
    <text>It is the same thing with non-routine testing raised by non-QCLaD users.</text>
  </threadedComment>
  <threadedComment ref="G68" dT="2024-07-12T05:31:33.29" personId="{78B9FBBE-9422-41FE-81C1-9A57D98CC31E}" id="{65885E7F-6A19-4E3F-8500-5D08164C0A17}" done="1">
    <text>Sample receipt and test as per the workflow. Sample receipt will start with label scanning.</text>
  </threadedComment>
  <threadedComment ref="G70" dT="2024-06-13T05:14:44.81" personId="{B97A3706-A749-42E4-BFDB-71C88F97091E}" id="{4BED2916-50C0-49B8-9285-942B4378BB28}">
    <text>What all attributes can be modified should be configurable and access driven.</text>
  </threadedComment>
  <threadedComment ref="G77" dT="2024-06-14T02:35:15.65" personId="{B97A3706-A749-42E4-BFDB-71C88F97091E}" id="{C48417D0-2C2B-471B-B6E5-5BE5D20DF471}" done="1">
    <text>For RM, in case CoA data already available in SAP inspection lot, the details should be displayed even if the data entry is not required in QCLAD</text>
  </threadedComment>
  <threadedComment ref="G77" dT="2024-06-18T07:46:24.75" personId="{78B9FBBE-9422-41FE-81C1-9A57D98CC31E}" id="{3133137F-3881-46B8-9F05-414E7EF70B66}" parentId="{C48417D0-2C2B-471B-B6E5-5BE5D20DF471}">
    <text>Details: Data recorded within inspection lot, MIC, Spec, Test result</text>
  </threadedComment>
  <threadedComment ref="G79" dT="2024-07-12T05:34:30.95" personId="{78B9FBBE-9422-41FE-81C1-9A57D98CC31E}" id="{5029E3CD-098A-4A75-8691-9892D9F43600}" done="1">
    <text>Please refer to the comments of 4.1.2.3.1</text>
  </threadedComment>
  <threadedComment ref="G81" dT="2024-06-14T02:36:04.77" personId="{B97A3706-A749-42E4-BFDB-71C88F97091E}" id="{A67F6B7D-02B7-44D8-B666-5345B456A0B8}" done="1">
    <text>The instructions of calculations, lab instruments to be pulled from SOP.</text>
  </threadedComment>
  <threadedComment ref="G81" dT="2024-06-18T07:50:25.21" personId="{78B9FBBE-9422-41FE-81C1-9A57D98CC31E}" id="{32D0897A-9E2E-47A9-9FF4-E3870143F87A}" parentId="{A67F6B7D-02B7-44D8-B666-5345B456A0B8}">
    <text>Approved by Thermofisher 2024/06/18</text>
  </threadedComment>
  <threadedComment ref="G92" dT="2024-06-14T02:39:21.78" personId="{B97A3706-A749-42E4-BFDB-71C88F97091E}" id="{716B41BD-2928-4171-9F13-B037712FE949}" done="1">
    <text>Multiple test, samples can be from different materials, material types(Raw material, Semi finished goods, finished goods)</text>
  </threadedComment>
  <threadedComment ref="G92" dT="2024-06-18T07:49:42.57" personId="{78B9FBBE-9422-41FE-81C1-9A57D98CC31E}" id="{F2798302-85C4-47E2-AA82-0E8DAC5588A6}" parentId="{716B41BD-2928-4171-9F13-B037712FE949}">
    <text>Approved by Thermofisher 2024/06/18</text>
  </threadedComment>
  <threadedComment ref="G96" dT="2024-06-14T02:40:50.41" personId="{B97A3706-A749-42E4-BFDB-71C88F97091E}" id="{145F7ED0-A851-4218-9DDF-18A4E56C8489}" done="1">
    <text xml:space="preserve">Only for active samples. </text>
  </threadedComment>
  <threadedComment ref="G99" dT="2024-06-14T02:41:35.34" personId="{B97A3706-A749-42E4-BFDB-71C88F97091E}" id="{769730FE-0D5B-402B-9BE7-4BFF704696E9}">
    <text>What data to be captured need to be aligned with Henkel team</text>
  </threadedComment>
  <threadedComment ref="G99" dT="2024-06-18T07:51:20.66" personId="{78B9FBBE-9422-41FE-81C1-9A57D98CC31E}" id="{801033E5-1916-4F19-A10D-A80978CB2F7D}" parentId="{769730FE-0D5B-402B-9BE7-4BFF704696E9}">
    <text>Need more discussion</text>
  </threadedComment>
  <threadedComment ref="G115" dT="2024-06-14T02:44:44.18" personId="{B97A3706-A749-42E4-BFDB-71C88F97091E}" id="{3CAECBBB-87D2-44D7-BF7F-88C81CDD59E5}" done="1">
    <text>Test method</text>
  </threadedComment>
  <threadedComment ref="G118" dT="2024-06-14T02:45:44.85" personId="{B97A3706-A749-42E4-BFDB-71C88F97091E}" id="{9B125A46-3B2C-4BEE-81F9-5BCD66A99029}" done="1">
    <text>Need to record the information who/what/when changed for audit purpose</text>
  </threadedComment>
  <threadedComment ref="G123" dT="2024-06-14T02:47:16.40" personId="{B97A3706-A749-42E4-BFDB-71C88F97091E}" id="{19DCF94F-1B56-4047-980D-6F8D84C25991}" done="1">
    <text>Recording one result should be 1 user responsibility but test can be started by one person and continued by another person.</text>
  </threadedComment>
  <threadedComment ref="G123" dT="2024-06-18T07:53:03.00" personId="{78B9FBBE-9422-41FE-81C1-9A57D98CC31E}" id="{D77F5874-A714-4AD6-A161-FBEF4AD29744}" parentId="{19DCF94F-1B56-4047-980D-6F8D84C25991}">
    <text>Confimed with Thermofisher 2024/06/18</text>
  </threadedComment>
  <threadedComment ref="G132" dT="2024-06-14T02:48:20.76" personId="{B97A3706-A749-42E4-BFDB-71C88F97091E}" id="{4BB00ACA-3EF7-4CF6-BFAA-F31B4543E1D0}" done="1">
    <text>Peer review should be configurable at material group level</text>
  </threadedComment>
  <threadedComment ref="G132" dT="2024-06-18T07:53:52.42" personId="{78B9FBBE-9422-41FE-81C1-9A57D98CC31E}" id="{88A9BFC1-620C-4EA1-B3F1-2E6A52EC8A1A}" parentId="{4BB00ACA-3EF7-4CF6-BFAA-F31B4543E1D0}">
    <text>There should be configurable option.</text>
  </threadedComment>
  <threadedComment ref="G148" dT="2024-06-14T02:52:35.27" personId="{B97A3706-A749-42E4-BFDB-71C88F97091E}" id="{497CA0CE-403C-404E-BF85-A9107EA146ED}" done="1">
    <text>Return to tester - reviewer should be able to select the operator and sample status have to be changed back to test status</text>
  </threadedComment>
  <threadedComment ref="G155" dT="2024-07-12T05:35:59.29" personId="{78B9FBBE-9422-41FE-81C1-9A57D98CC31E}" id="{A7C09A18-CF27-4236-8C22-35E7706959CD}" done="1">
    <text>Ok</text>
  </threadedComment>
  <threadedComment ref="G173" dT="2024-06-14T02:57:16.03" personId="{B97A3706-A749-42E4-BFDB-71C88F97091E}" id="{4CF404F4-E24D-49A7-9CBF-3013C565BC98}" done="1">
    <text>Loading of reports should be in seconds. If user selects a range which will take time system should give warning of response time so that user can change the date range or wait for the delay</text>
  </threadedComment>
  <threadedComment ref="G181" dT="2024-06-14T02:57:58.06" personId="{B97A3706-A749-42E4-BFDB-71C88F97091E}" id="{596DB311-00E8-4444-838F-0584911AB771}" done="1">
    <text>Or store the file in a configurable shared drive</text>
  </threadedComment>
  <threadedComment ref="G181" dT="2024-06-18T04:28:54.15" personId="{B4BBF45D-B2D7-4AE1-9995-48BAE5EC353B}" id="{CF97B52D-D6D0-4048-AC53-4D0769A91E92}" parentId="{596DB311-00E8-4444-838F-0584911AB771}">
    <text>Manually or automatically</text>
  </threadedComment>
  <threadedComment ref="G181" dT="2024-06-18T07:58:05.13" personId="{78B9FBBE-9422-41FE-81C1-9A57D98CC31E}" id="{E16ABCA4-E8D3-48C4-AFF0-12A87D8DA53C}" parentId="{596DB311-00E8-4444-838F-0584911AB771}">
    <text>Automatically to a sharefolder</text>
  </threadedComment>
  <threadedComment ref="G260" dT="2024-07-12T05:45:38.77" personId="{78B9FBBE-9422-41FE-81C1-9A57D98CC31E}" id="{1ADDABCB-9617-4595-9826-EA582BCA50AD}" done="1">
    <text>Instead of twice a day, a alignment has happened between Henkel and Thermofisher we do automatical task assignment after any new samples received  in lab or  scheduled task based on the shift management.</text>
  </threadedComment>
  <threadedComment ref="G300" dT="2024-06-26T03:21:54.97" personId="{B97A3706-A749-42E4-BFDB-71C88F97091E}" id="{E615E9CA-0CA6-44B2-8353-30FA728F1FCD}" done="1">
    <text>For Type C and type D only manual entry. It should also override the results recorded from Type A and Type B in case there are any issues in data capture.</text>
  </threadedComment>
  <threadedComment ref="G303" dT="2024-06-26T03:22:59.77" personId="{B97A3706-A749-42E4-BFDB-71C88F97091E}" id="{F1189E92-5F2F-4345-9652-6FAAAA8BCA30}" done="1">
    <text>what is export readable file?</text>
  </threadedComment>
  <threadedComment ref="G303" dT="2024-06-27T02:37:35.66" personId="{78B9FBBE-9422-41FE-81C1-9A57D98CC31E}" id="{1C74E9C4-27E6-45E5-97C6-9C29A90A6DE8}" parentId="{F1189E92-5F2F-4345-9652-6FAAAA8BCA30}">
    <text>That means readable files generated by Type B instrument software should be exported to QCLaD for test result</text>
  </threadedComment>
  <threadedComment ref="G303" dT="2024-06-27T06:08:06.44" personId="{B97A3706-A749-42E4-BFDB-71C88F97091E}" id="{D22DEB66-6BF1-41D9-BFB0-9EDC002E98B8}" parentId="{F1189E92-5F2F-4345-9652-6FAAAA8BCA30}">
    <text xml:space="preserve">If Type B instrument can generate a file, the integration should be possible. For Type A, there wont be any file
</text>
  </threadedComment>
  <threadedComment ref="G315" dT="2024-06-26T03:26:53.30" personId="{B97A3706-A749-42E4-BFDB-71C88F97091E}" id="{A07EB3BF-E9AD-46C8-B4ED-5303E734D055}" done="1">
    <text>System shall display standard cycle time, operator id who is performing the task, items consumed in the test process and its quantity. We also need to check whether it is possible to get actual cycle time of sample testing.</text>
  </threadedComment>
  <threadedComment ref="G315" dT="2024-07-01T03:49:03.30" personId="{78B9FBBE-9422-41FE-81C1-9A57D98CC31E}" id="{D889523A-AA21-4867-B2F3-8FCF36A95A68}" parentId="{A07EB3BF-E9AD-46C8-B4ED-5303E734D055}">
    <text>For cycle time of test under MIC level, the system should be able to compare standard cycle time to actual cycle time.</text>
  </threadedComment>
  <threadedComment ref="G315" dT="2024-07-01T08:11:28.79" personId="{B4BBF45D-B2D7-4AE1-9995-48BAE5EC353B}" id="{B9C0F74A-1633-4DC1-AA1D-790EA2E190CC}" parentId="{A07EB3BF-E9AD-46C8-B4ED-5303E734D055}">
    <text>Update</text>
  </threadedComment>
  <threadedComment ref="G317" dT="2024-07-12T05:46:25.92" personId="{78B9FBBE-9422-41FE-81C1-9A57D98CC31E}" id="{A7FE1E43-D067-412D-828A-156020C6ECC5}" done="1">
    <text>Ok</text>
  </threadedComment>
  <threadedComment ref="G325" dT="2024-06-26T03:29:22.81" personId="{B97A3706-A749-42E4-BFDB-71C88F97091E}" id="{5B27D6FF-F3DF-4267-8352-4548BFF2D250}" done="1">
    <text>Should be "click and view" the hyperlink as hyperlink url to be added in master data as part of SOP/workflow.</text>
  </threadedComment>
  <threadedComment ref="G325" dT="2024-07-01T08:11:16.90" personId="{B4BBF45D-B2D7-4AE1-9995-48BAE5EC353B}" id="{BA50172A-0B85-4212-889A-040D0E4CEBEB}" parentId="{5B27D6FF-F3DF-4267-8352-4548BFF2D250}">
    <text>Updated</text>
  </threadedComment>
  <threadedComment ref="G328" dT="2024-06-26T03:30:36.54" personId="{B97A3706-A749-42E4-BFDB-71C88F97091E}" id="{4F3DB61E-6C34-4494-9F31-CE362D35B58A}">
    <text xml:space="preserve">System should allow scanning of labels or QR code from iPAD or tablet. </text>
  </threadedComment>
  <threadedComment ref="G328" dT="2024-07-01T08:16:23.27" personId="{B4BBF45D-B2D7-4AE1-9995-48BAE5EC353B}" id="{A696C5BB-A887-4DCF-B826-2EAB0156808D}" parentId="{4F3DB61E-6C34-4494-9F31-CE362D35B58A}">
    <text>Ipad cannot scan label or QR directly, need a tablet with a scanning camera.</text>
  </threadedComment>
  <threadedComment ref="G328" dT="2024-07-02T04:35:53.55" personId="{78B9FBBE-9422-41FE-81C1-9A57D98CC31E}" id="{ACD97476-3F87-49D5-84FA-33ED70495608}" parentId="{4F3DB61E-6C34-4494-9F31-CE362D35B58A}">
    <text>What they mention tablet is a Ipad slightly bigger than the normal one for better handling and it has the scanning function. Henkel need to understand whether we can utilize the existing Ipads and scanning guns to realize the operation of QCLaD.</text>
  </threadedComment>
  <threadedComment ref="G338" dT="2024-06-26T03:31:27.96" personId="{B97A3706-A749-42E4-BFDB-71C88F97091E}" id="{20AE8D34-5966-4EA3-BCD7-AA4EC8622BEC}" done="1">
    <text>what does remote location means?</text>
  </threadedComment>
  <threadedComment ref="G338" dT="2024-06-27T02:49:35.40" personId="{78B9FBBE-9422-41FE-81C1-9A57D98CC31E}" id="{0B9950F5-2015-461A-B0B7-87E157E85F7B}" parentId="{20AE8D34-5966-4EA3-BCD7-AA4EC8622BEC}">
    <text>Maybe refer to client?</text>
  </threadedComment>
  <threadedComment ref="G338" dT="2024-07-01T08:19:10.49" personId="{B4BBF45D-B2D7-4AE1-9995-48BAE5EC353B}" id="{97A397D3-541C-4879-8449-B9EB3880BE5D}" parentId="{20AE8D34-5966-4EA3-BCD7-AA4EC8622BEC}">
    <text>This is what we want to confirm with you . Our understanding is system support remote operation</text>
  </threadedComment>
  <threadedComment ref="G338" dT="2024-07-02T04:37:23.38" personId="{78B9FBBE-9422-41FE-81C1-9A57D98CC31E}" id="{42A33BC6-9981-4A8B-9CF7-8889F23BA533}" parentId="{20AE8D34-5966-4EA3-BCD7-AA4EC8622BEC}">
    <text>Confirmed, the sample entry and test instrument  may not be in the same room.</text>
  </threadedComment>
  <threadedComment ref="G351" dT="2024-07-12T05:53:04.41" personId="{78B9FBBE-9422-41FE-81C1-9A57D98CC31E}" id="{50D2B8F5-0A9C-456B-B65D-9656F8EDB77E}">
    <text>Resample will be taken from MES and a new unique sample ID will be received.</text>
  </threadedComment>
  <threadedComment ref="G351" dT="2024-07-18T06:20:17.63" personId="{B4BBF45D-B2D7-4AE1-9995-48BAE5EC353B}" id="{763308FB-3D17-4554-9519-7312B5378131}" parentId="{50D2B8F5-0A9C-456B-B65D-9656F8EDB77E}">
    <text>Disscussion next week</text>
  </threadedComment>
  <threadedComment ref="G364" dT="2024-07-12T05:13:11.90" personId="{78B9FBBE-9422-41FE-81C1-9A57D98CC31E}" id="{B5135588-EABB-4940-BF08-878C0360C89F}" done="1">
    <text>We need to maintain a flag in material master data to identify whether the material result is captured by Ecoa or not. If yes, we only to display the results in SAP inspection lot. If no, the manual entry of SAP inspection result is required.</text>
  </threadedComment>
  <threadedComment ref="G364" dT="2024-07-18T06:25:25.86" personId="{B4BBF45D-B2D7-4AE1-9995-48BAE5EC353B}" id="{E6F932A4-608F-4B5D-92DB-62E4C5882411}" parentId="{B5135588-EABB-4940-BF08-878C0360C89F}">
    <text>conifrmed</text>
  </threadedComment>
  <threadedComment ref="G383" dT="2024-07-12T05:53:26.82" personId="{78B9FBBE-9422-41FE-81C1-9A57D98CC31E}" id="{0362E57A-9B75-455B-AB51-8A6A35AA98B2}" done="1">
    <text>Ok</text>
  </threadedComment>
  <threadedComment ref="G415" dT="2024-07-12T05:14:02.79" personId="{78B9FBBE-9422-41FE-81C1-9A57D98CC31E}" id="{21B9D201-80C6-4418-BC82-9E860C72B86D}">
    <text>What is the question. What we are expecting is that the system calculate the details in a table format. Henkel can describe the details of each field in our plant visit.</text>
  </threadedComment>
  <threadedComment ref="G415" dT="2024-07-18T06:37:01.40" personId="{B4BBF45D-B2D7-4AE1-9995-48BAE5EC353B}" id="{92DB228D-A90B-4F7B-99FB-31FD6F37CE5C}" parentId="{21B9D201-80C6-4418-BC82-9E860C72B86D}">
    <text>Disscussion Next week</text>
  </threadedComment>
  <threadedComment ref="G483" dT="2024-06-26T03:52:48.77" personId="{B97A3706-A749-42E4-BFDB-71C88F97091E}" id="{4CACB32F-03B5-4C9F-B0D8-72718EC0565C}" done="1">
    <text xml:space="preserve">Specification and parameters have to be maintained in equipment master data whereas the details of spare parts, calibration and maintenance requirements to be available in their respective SOPs. </text>
  </threadedComment>
  <threadedComment ref="G483" dT="2024-07-01T08:27:35.06" personId="{B4BBF45D-B2D7-4AE1-9995-48BAE5EC353B}" id="{493F31BB-46BB-4483-8EAB-DB7EF8DD136C}" parentId="{4CACB32F-03B5-4C9F-B0D8-72718EC0565C}">
    <text>Update</text>
  </threadedComment>
  <threadedComment ref="G492" dT="2024-06-26T10:57:05.03" personId="{B97A3706-A749-42E4-BFDB-71C88F97091E}" id="{6BFA3DC3-BEBD-467D-BBE9-11B72EE2BDA2}" done="1">
    <text>Instrument is out of scope in alerting users of expiry</text>
  </threadedComment>
  <threadedComment ref="G492" dT="2024-07-01T08:29:19.29" personId="{B4BBF45D-B2D7-4AE1-9995-48BAE5EC353B}" id="{22AC59E8-871E-4555-9916-93EE4831F39D}" parentId="{6BFA3DC3-BEBD-467D-BBE9-11B72EE2BDA2}">
    <text>Yes，update</text>
  </threadedComment>
  <threadedComment ref="G494" dT="2024-06-26T10:58:14.18" personId="{B97A3706-A749-42E4-BFDB-71C88F97091E}" id="{90E02DF0-14AC-43C8-AB08-BC72D771E969}" done="1">
    <text>System should not allow the user to take a testing task if the operator is not qualified</text>
  </threadedComment>
  <threadedComment ref="G494" dT="2024-06-27T03:02:45.07" personId="{78B9FBBE-9422-41FE-81C1-9A57D98CC31E}" id="{34604256-29BC-4C8A-8956-18A7CBE42B0A}" parentId="{90E02DF0-14AC-43C8-AB08-BC72D771E969}">
    <text>Agreed.</text>
  </threadedComment>
  <threadedComment ref="G494" dT="2024-07-01T08:34:06.92" personId="{B4BBF45D-B2D7-4AE1-9995-48BAE5EC353B}" id="{E0C37AFA-644F-49EB-816C-2628AC303C98}" parentId="{90E02DF0-14AC-43C8-AB08-BC72D771E969}">
    <text xml:space="preserve">Update
</text>
  </threadedComment>
  <threadedComment ref="G501" dT="2024-06-26T10:59:20.43" personId="{B97A3706-A749-42E4-BFDB-71C88F97091E}" id="{1CA15D5C-84A8-4A85-8D04-94BCF9C30D4C}" done="1">
    <text>The fields for master data to be agreed by both teams</text>
  </threadedComment>
  <threadedComment ref="G501" dT="2024-07-01T08:35:10.68" personId="{B4BBF45D-B2D7-4AE1-9995-48BAE5EC353B}" id="{CFD649C6-0F00-402E-8DDA-9235BFEA9B6D}" parentId="{1CA15D5C-84A8-4A85-8D04-94BCF9C30D4C}">
    <text>Agree</text>
  </threadedComment>
  <threadedComment ref="G509" dT="2024-06-26T14:12:02.97" personId="{B97A3706-A749-42E4-BFDB-71C88F97091E}" id="{795CC667-F7C4-4CD1-9D0B-01523E4888F8}" done="1">
    <text>User's training module should be a part of OSDP. It is out of scope based on our pre-alignment with Anson</text>
  </threadedComment>
  <threadedComment ref="G517" dT="2024-06-26T14:12:58.70" personId="{B97A3706-A749-42E4-BFDB-71C88F97091E}" id="{F43557C1-4186-47BD-B1B2-C03D5CC5CEFF}" done="1">
    <text>do we need to mention where all the custom calculations are required?</text>
  </threadedComment>
  <threadedComment ref="G517" dT="2024-06-28T01:11:47.71" personId="{78B9FBBE-9422-41FE-81C1-9A57D98CC31E}" id="{5249C215-B204-4C7C-B6FA-2550A5489112}" parentId="{F43557C1-4186-47BD-B1B2-C03D5CC5CEFF}">
    <text>Custom calculations means there are some intermediate result for some tests. The final result should be calculated according to the intermediate results and a configurable formula.</text>
  </threadedComment>
  <threadedComment ref="G517" dT="2024-07-01T08:40:31.59" personId="{B4BBF45D-B2D7-4AE1-9995-48BAE5EC353B}" id="{6462C072-7994-4CED-B448-CBE1FCC8B08A}" parentId="{F43557C1-4186-47BD-B1B2-C03D5CC5CEFF}">
    <text>We will reach an agreement during implementation.</text>
  </threadedComment>
  <threadedComment ref="G521" dT="2024-06-26T14:13:46.14" personId="{B97A3706-A749-42E4-BFDB-71C88F97091E}" id="{06F0FEC7-7AD8-4829-9330-5D7C33ECFCB8}" done="1">
    <text>what is multi level product specification? Do we need to mention the details?</text>
  </threadedComment>
  <threadedComment ref="G521" dT="2024-06-27T03:23:48.00" personId="{78B9FBBE-9422-41FE-81C1-9A57D98CC31E}" id="{36E1157D-668E-4130-A688-5B5EDB5F539D}" parentId="{06F0FEC7-7AD8-4829-9330-5D7C33ECFCB8}">
    <text>Like internal spec for Summer and spec for winter.</text>
  </threadedComment>
  <threadedComment ref="G521" dT="2024-06-27T07:59:52.64" personId="{B97A3706-A749-42E4-BFDB-71C88F97091E}" id="{C45F69BB-FA50-475E-86A7-3E20692D0178}" parentId="{06F0FEC7-7AD8-4829-9330-5D7C33ECFCB8}">
    <text>We can omit multi-level product specification part.</text>
  </threadedComment>
  <threadedComment ref="G530" dT="2024-06-26T14:14:55.67" personId="{B97A3706-A749-42E4-BFDB-71C88F97091E}" id="{0F55F44A-EBED-4172-94B5-91B4D4BF2D06}" done="1">
    <text>do we also need maximum quantity?</text>
  </threadedComment>
  <threadedComment ref="G530" dT="2024-06-27T03:33:26.02" personId="{78B9FBBE-9422-41FE-81C1-9A57D98CC31E}" id="{6B7BC5CF-A8E6-4A5C-9623-3B8D92628DDD}" parentId="{0F55F44A-EBED-4172-94B5-91B4D4BF2D06}">
    <text xml:space="preserve">Yes, for flammable and explosive reagents </text>
  </threadedComment>
  <threadedComment ref="G530" dT="2024-06-27T08:01:19.61" personId="{B97A3706-A749-42E4-BFDB-71C88F97091E}" id="{2890CF91-7C53-4CB6-BEB2-985EA87EE0B2}" parentId="{0F55F44A-EBED-4172-94B5-91B4D4BF2D06}">
    <text>TF need to add maximum part also</text>
  </threadedComment>
  <threadedComment ref="G530" dT="2024-07-01T08:44:44.61" personId="{B4BBF45D-B2D7-4AE1-9995-48BAE5EC353B}" id="{47F83E1D-A105-47E5-96AC-1F508C89C6C3}" parentId="{0F55F44A-EBED-4172-94B5-91B4D4BF2D06}">
    <text>update</text>
  </threadedComment>
  <threadedComment ref="G537" dT="2024-06-26T14:17:30.90" personId="{B97A3706-A749-42E4-BFDB-71C88F97091E}" id="{B817C78D-98BC-4BE1-AB3D-1BF0900E2E01}" done="1">
    <text>The understanding, by giving the material and batch, we should be able to retrieve the storage location for consumables, retain sample</text>
  </threadedComment>
  <threadedComment ref="G537" dT="2024-06-27T03:34:32.07" personId="{78B9FBBE-9422-41FE-81C1-9A57D98CC31E}" id="{EFE1AD25-C77D-4E14-8600-9DC99FD045AD}" parentId="{B817C78D-98BC-4BE1-AB3D-1BF0900E2E01}">
    <text>Exactly</text>
  </threadedComment>
  <threadedComment ref="G537" dT="2024-07-01T08:47:25.23" personId="{B4BBF45D-B2D7-4AE1-9995-48BAE5EC353B}" id="{9E9AAC2E-0879-4A4C-8E2D-83F1822873EC}" parentId="{B817C78D-98BC-4BE1-AB3D-1BF0900E2E01}">
    <text>update</text>
  </threadedComment>
  <threadedComment ref="G541" dT="2024-06-26T14:18:53.68" personId="{B97A3706-A749-42E4-BFDB-71C88F97091E}" id="{8B6D9A06-BE1F-4F98-AF23-25C53C4A38D0}" done="1">
    <text>Stock solution is an intermediate solution created from two or more consumables</text>
  </threadedComment>
  <threadedComment ref="G541" dT="2024-06-27T03:35:09.04" personId="{78B9FBBE-9422-41FE-81C1-9A57D98CC31E}" id="{E8FCADBD-6A6B-4FB6-8B19-5897AE65E01A}" parentId="{8B6D9A06-BE1F-4F98-AF23-25C53C4A38D0}">
    <text>Yes</text>
  </threadedComment>
  <threadedComment ref="G554" dT="2024-06-26T14:21:58.12" personId="{B97A3706-A749-42E4-BFDB-71C88F97091E}" id="{16E4305C-85E5-47B3-A770-B78B5B0AA944}" done="1">
    <text>what is the basis of automatic assignment?</text>
  </threadedComment>
  <threadedComment ref="G554" dT="2024-06-27T03:36:38.53" personId="{78B9FBBE-9422-41FE-81C1-9A57D98CC31E}" id="{0C77092F-EE90-4E3D-99F4-333792472775}" parentId="{16E4305C-85E5-47B3-A770-B78B5B0AA944}">
    <text>Can be found in task list</text>
  </threadedComment>
  <threadedComment ref="G554" dT="2024-06-27T08:04:02.82" personId="{B97A3706-A749-42E4-BFDB-71C88F97091E}" id="{E357FE06-E2B8-4843-B52B-BAEAA714D94D}" parentId="{16E4305C-85E5-47B3-A770-B78B5B0AA944}">
    <text xml:space="preserve">Solution preparation will also be maintained in skill matrix. </text>
  </threadedComment>
  <threadedComment ref="G555" dT="2024-06-26T14:24:00.12" personId="{B97A3706-A749-42E4-BFDB-71C88F97091E}" id="{3A678848-E95B-4F2E-A674-846DD330A8E6}" done="1">
    <text>need to add the maintenance of instruments in OSDP as one skill. This should be available for each equipment</text>
  </threadedComment>
  <threadedComment ref="G558" dT="2024-06-26T14:24:40.64" personId="{B97A3706-A749-42E4-BFDB-71C88F97091E}" id="{2F2ED026-F70D-4B3E-A3F2-C962F0561E35}" done="1">
    <text>GHS information to be pulled from SAP system</text>
  </threadedComment>
  <threadedComment ref="G558" dT="2024-07-01T09:14:35.04" personId="{B4BBF45D-B2D7-4AE1-9995-48BAE5EC353B}" id="{016A9CA3-24C4-40B6-A406-F89792084FCA}" parentId="{2F2ED026-F70D-4B3E-A3F2-C962F0561E35}">
    <text>update</text>
  </threadedComment>
  <threadedComment ref="G587" dT="2024-07-12T05:17:16.40" personId="{78B9FBBE-9422-41FE-81C1-9A57D98CC31E}" id="{C7D86BCB-7C1C-4B07-8C82-4B7D133B1609}">
    <text>Lab, plant, region, globe level. Region and globe will have view access(lab and plant level can have edit and view access roles)</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D11"/>
  <sheetViews>
    <sheetView topLeftCell="B1" workbookViewId="0">
      <selection activeCell="B15" sqref="B15"/>
    </sheetView>
  </sheetViews>
  <sheetFormatPr defaultColWidth="9.33203125" defaultRowHeight="23.1" customHeight="1"/>
  <cols>
    <col min="2" max="2" width="25" customWidth="1"/>
    <col min="3" max="3" width="69.33203125" style="27" customWidth="1"/>
    <col min="4" max="4" width="47.6640625" customWidth="1"/>
  </cols>
  <sheetData>
    <row r="2" spans="1:4" ht="29.1" customHeight="1">
      <c r="A2" s="30" t="s">
        <v>0</v>
      </c>
      <c r="B2" s="30" t="s">
        <v>1</v>
      </c>
      <c r="C2" s="31" t="s">
        <v>2</v>
      </c>
    </row>
    <row r="3" spans="1:4" ht="29.85" customHeight="1">
      <c r="A3" s="28" t="s">
        <v>3</v>
      </c>
      <c r="B3" s="28" t="s">
        <v>4</v>
      </c>
      <c r="C3" s="29" t="s">
        <v>5</v>
      </c>
    </row>
    <row r="4" spans="1:4" ht="31.35" customHeight="1">
      <c r="A4" s="28" t="s">
        <v>3</v>
      </c>
      <c r="B4" s="28" t="s">
        <v>6</v>
      </c>
      <c r="C4" s="25" t="s">
        <v>7</v>
      </c>
    </row>
    <row r="5" spans="1:4" ht="41.85" customHeight="1">
      <c r="A5" s="28" t="s">
        <v>3</v>
      </c>
      <c r="B5" s="28" t="s">
        <v>8</v>
      </c>
      <c r="C5" s="25" t="s">
        <v>9</v>
      </c>
    </row>
    <row r="6" spans="1:4" ht="40.35" customHeight="1">
      <c r="A6" s="28" t="s">
        <v>3</v>
      </c>
      <c r="B6" s="28" t="s">
        <v>10</v>
      </c>
      <c r="C6" s="25" t="s">
        <v>11</v>
      </c>
      <c r="D6" s="23" t="s">
        <v>12</v>
      </c>
    </row>
    <row r="7" spans="1:4" ht="27.75" customHeight="1">
      <c r="A7" s="28" t="s">
        <v>3</v>
      </c>
      <c r="B7" s="24" t="s">
        <v>13</v>
      </c>
      <c r="C7" s="25" t="s">
        <v>14</v>
      </c>
    </row>
    <row r="8" spans="1:4" ht="27" customHeight="1">
      <c r="A8" s="28" t="s">
        <v>15</v>
      </c>
      <c r="B8" s="24" t="s">
        <v>16</v>
      </c>
      <c r="C8" s="25" t="s">
        <v>17</v>
      </c>
    </row>
    <row r="9" spans="1:4" ht="26.1" customHeight="1">
      <c r="A9" s="28" t="s">
        <v>15</v>
      </c>
      <c r="B9" s="24" t="s">
        <v>18</v>
      </c>
      <c r="C9" s="25" t="s">
        <v>19</v>
      </c>
    </row>
    <row r="10" spans="1:4" ht="21.75" customHeight="1">
      <c r="A10" s="28" t="s">
        <v>15</v>
      </c>
      <c r="B10" s="24" t="s">
        <v>20</v>
      </c>
      <c r="C10" s="25" t="s">
        <v>21</v>
      </c>
    </row>
    <row r="11" spans="1:4" ht="23.1" customHeight="1">
      <c r="A11" s="28" t="s">
        <v>15</v>
      </c>
      <c r="B11" s="24" t="s">
        <v>22</v>
      </c>
      <c r="C11" s="26" t="s">
        <v>23</v>
      </c>
    </row>
  </sheetData>
  <phoneticPr fontId="27"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filterMode="1"/>
  <dimension ref="A1:AJ905"/>
  <sheetViews>
    <sheetView tabSelected="1" view="pageLayout" topLeftCell="A262" zoomScale="85" zoomScaleNormal="85" zoomScalePageLayoutView="85" workbookViewId="0">
      <selection activeCell="I15" sqref="I15:I510"/>
    </sheetView>
  </sheetViews>
  <sheetFormatPr defaultColWidth="9.33203125" defaultRowHeight="13.8"/>
  <cols>
    <col min="1" max="1" width="10.33203125" style="39" customWidth="1"/>
    <col min="2" max="2" width="14.6640625" style="39" customWidth="1"/>
    <col min="3" max="3" width="7.88671875" style="49" customWidth="1"/>
    <col min="4" max="5" width="15.33203125" style="50" customWidth="1"/>
    <col min="6" max="6" width="14.33203125" style="53" customWidth="1"/>
    <col min="7" max="7" width="78.5546875" style="52" customWidth="1"/>
    <col min="8" max="8" width="9.6640625" style="53" customWidth="1"/>
    <col min="9" max="9" width="16" style="54" customWidth="1"/>
    <col min="10" max="22" width="10.109375" style="178" hidden="1" customWidth="1"/>
    <col min="23" max="24" width="10.109375" style="55" hidden="1" customWidth="1"/>
    <col min="25" max="25" width="10.109375" style="49" hidden="1" customWidth="1"/>
    <col min="26" max="26" width="19.88671875" style="200" hidden="1" customWidth="1"/>
    <col min="27" max="27" width="10.109375" style="52" hidden="1" customWidth="1"/>
    <col min="28" max="28" width="15" style="52" hidden="1" customWidth="1"/>
    <col min="29" max="29" width="11.33203125" style="52" hidden="1" customWidth="1"/>
    <col min="30" max="30" width="15.33203125" style="52" hidden="1" customWidth="1"/>
    <col min="31" max="31" width="24.33203125" style="52" hidden="1" customWidth="1"/>
    <col min="32" max="32" width="22.33203125" style="52" hidden="1" customWidth="1"/>
    <col min="33" max="33" width="20.33203125" style="58" hidden="1" customWidth="1"/>
    <col min="34" max="34" width="61.6640625" style="52" hidden="1" customWidth="1"/>
    <col min="35" max="35" width="15.5546875" style="56" bestFit="1" customWidth="1"/>
    <col min="36" max="36" width="26.6640625" style="40" bestFit="1" customWidth="1"/>
    <col min="37" max="16384" width="9.33203125" style="39"/>
  </cols>
  <sheetData>
    <row r="1" spans="1:36">
      <c r="C1" s="32" t="s">
        <v>24</v>
      </c>
      <c r="D1" s="32"/>
      <c r="E1" s="32"/>
      <c r="F1" s="33"/>
      <c r="G1" s="34"/>
      <c r="H1" s="33"/>
      <c r="I1" s="33"/>
      <c r="J1" s="39"/>
      <c r="K1" s="39"/>
      <c r="L1" s="39"/>
      <c r="M1" s="39"/>
      <c r="N1" s="39"/>
      <c r="O1" s="39"/>
      <c r="P1" s="39"/>
      <c r="Q1" s="39"/>
      <c r="R1" s="33"/>
      <c r="S1" s="33"/>
      <c r="T1" s="33"/>
      <c r="U1" s="33"/>
      <c r="V1" s="33"/>
      <c r="W1" s="35"/>
      <c r="X1" s="35"/>
      <c r="Y1" s="36"/>
      <c r="Z1" s="195"/>
      <c r="AA1" s="34"/>
      <c r="AB1" s="34"/>
      <c r="AC1" s="34"/>
      <c r="AD1" s="34"/>
      <c r="AE1" s="34"/>
      <c r="AF1" s="34"/>
      <c r="AG1" s="37"/>
      <c r="AH1" s="34"/>
      <c r="AI1" s="38"/>
    </row>
    <row r="2" spans="1:36" s="33" customFormat="1">
      <c r="C2" s="41"/>
      <c r="D2" s="36"/>
      <c r="E2" s="36"/>
      <c r="G2" s="34"/>
      <c r="J2" s="39"/>
      <c r="K2" s="39"/>
      <c r="L2" s="39"/>
      <c r="M2" s="39"/>
      <c r="N2" s="39"/>
      <c r="O2" s="39"/>
      <c r="P2" s="39"/>
      <c r="Q2" s="39"/>
      <c r="W2" s="35"/>
      <c r="X2" s="35"/>
      <c r="Y2" s="36"/>
      <c r="Z2" s="195"/>
      <c r="AA2" s="34"/>
      <c r="AB2" s="34"/>
      <c r="AC2" s="34"/>
      <c r="AD2" s="34"/>
      <c r="AE2" s="34"/>
      <c r="AF2" s="34"/>
      <c r="AG2" s="42"/>
      <c r="AH2" s="34"/>
      <c r="AI2" s="38"/>
      <c r="AJ2" s="34"/>
    </row>
    <row r="3" spans="1:36" s="33" customFormat="1">
      <c r="C3" s="41"/>
      <c r="D3" s="36"/>
      <c r="E3" s="36"/>
      <c r="F3" s="43" t="s">
        <v>25</v>
      </c>
      <c r="G3" s="35" t="s">
        <v>26</v>
      </c>
      <c r="J3" s="39"/>
      <c r="K3" s="39"/>
      <c r="L3" s="39"/>
      <c r="M3" s="39"/>
      <c r="N3" s="39"/>
      <c r="O3" s="39"/>
      <c r="P3" s="39"/>
      <c r="Q3" s="39"/>
      <c r="W3" s="35"/>
      <c r="X3" s="35"/>
      <c r="Y3" s="44"/>
      <c r="Z3" s="195"/>
      <c r="AA3" s="34"/>
      <c r="AB3" s="34"/>
      <c r="AC3" s="34"/>
      <c r="AD3" s="34"/>
      <c r="AE3" s="34"/>
      <c r="AF3" s="34"/>
      <c r="AG3" s="45"/>
      <c r="AH3" s="34"/>
      <c r="AI3" s="38"/>
      <c r="AJ3" s="34"/>
    </row>
    <row r="4" spans="1:36" s="33" customFormat="1">
      <c r="C4" s="41"/>
      <c r="D4" s="36"/>
      <c r="E4" s="36"/>
      <c r="F4" s="43" t="s">
        <v>27</v>
      </c>
      <c r="G4" s="35">
        <v>1</v>
      </c>
      <c r="J4" s="39"/>
      <c r="K4" s="39"/>
      <c r="L4" s="39"/>
      <c r="M4" s="39"/>
      <c r="N4" s="39"/>
      <c r="O4" s="39"/>
      <c r="P4" s="39"/>
      <c r="Q4" s="39"/>
      <c r="W4" s="35"/>
      <c r="X4" s="35"/>
      <c r="Z4" s="195"/>
      <c r="AA4" s="34"/>
      <c r="AB4" s="34"/>
      <c r="AC4" s="34"/>
      <c r="AD4" s="34"/>
      <c r="AE4" s="34"/>
      <c r="AF4" s="34"/>
      <c r="AG4" s="45"/>
      <c r="AH4" s="34"/>
      <c r="AI4" s="38"/>
      <c r="AJ4" s="34"/>
    </row>
    <row r="5" spans="1:36" s="33" customFormat="1">
      <c r="C5" s="41"/>
      <c r="D5" s="36"/>
      <c r="E5" s="36"/>
      <c r="F5" s="43" t="s">
        <v>28</v>
      </c>
      <c r="G5" s="46">
        <v>45447</v>
      </c>
      <c r="J5" s="39"/>
      <c r="K5" s="39"/>
      <c r="L5" s="39"/>
      <c r="M5" s="39"/>
      <c r="N5" s="39"/>
      <c r="O5" s="39"/>
      <c r="P5" s="39"/>
      <c r="Q5" s="39"/>
      <c r="W5" s="35"/>
      <c r="X5" s="35"/>
      <c r="Y5" s="44"/>
      <c r="Z5" s="195"/>
      <c r="AA5" s="34"/>
      <c r="AB5" s="34"/>
      <c r="AC5" s="34"/>
      <c r="AD5" s="34"/>
      <c r="AE5" s="34"/>
      <c r="AF5" s="34"/>
      <c r="AG5" s="45"/>
      <c r="AH5" s="34"/>
      <c r="AI5" s="38"/>
      <c r="AJ5" s="34"/>
    </row>
    <row r="6" spans="1:36" s="33" customFormat="1" ht="6.75" customHeight="1">
      <c r="C6" s="41"/>
      <c r="D6" s="36"/>
      <c r="E6" s="36"/>
      <c r="G6" s="34"/>
      <c r="J6" s="39"/>
      <c r="K6" s="39"/>
      <c r="L6" s="39"/>
      <c r="M6" s="39"/>
      <c r="N6" s="39"/>
      <c r="O6" s="39"/>
      <c r="P6" s="39"/>
      <c r="Q6" s="39"/>
      <c r="W6" s="35"/>
      <c r="X6" s="35"/>
      <c r="Z6" s="195"/>
      <c r="AA6" s="34"/>
      <c r="AB6" s="34"/>
      <c r="AC6" s="34"/>
      <c r="AD6" s="34"/>
      <c r="AE6" s="34"/>
      <c r="AF6" s="34"/>
      <c r="AG6" s="42"/>
      <c r="AH6" s="34"/>
      <c r="AI6" s="38"/>
      <c r="AJ6" s="34"/>
    </row>
    <row r="7" spans="1:36" s="48" customFormat="1" ht="52.65" customHeight="1">
      <c r="A7" s="171" t="s">
        <v>29</v>
      </c>
      <c r="B7" s="171" t="s">
        <v>30</v>
      </c>
      <c r="C7" s="171" t="s">
        <v>31</v>
      </c>
      <c r="D7" s="172" t="s">
        <v>32</v>
      </c>
      <c r="E7" s="172" t="s">
        <v>33</v>
      </c>
      <c r="F7" s="173" t="s">
        <v>34</v>
      </c>
      <c r="G7" s="173" t="s">
        <v>35</v>
      </c>
      <c r="H7" s="173" t="s">
        <v>15</v>
      </c>
      <c r="I7" s="171" t="s">
        <v>3</v>
      </c>
      <c r="J7" s="158" t="s">
        <v>36</v>
      </c>
      <c r="K7" s="158" t="s">
        <v>37</v>
      </c>
      <c r="L7" s="158" t="s">
        <v>38</v>
      </c>
      <c r="M7" s="158" t="s">
        <v>39</v>
      </c>
      <c r="N7" s="158" t="s">
        <v>40</v>
      </c>
      <c r="O7" s="158" t="s">
        <v>41</v>
      </c>
      <c r="P7" s="158" t="s">
        <v>42</v>
      </c>
      <c r="Q7" s="158" t="s">
        <v>43</v>
      </c>
      <c r="R7" s="158" t="s">
        <v>44</v>
      </c>
      <c r="S7" s="158" t="s">
        <v>45</v>
      </c>
      <c r="T7" s="158" t="s">
        <v>46</v>
      </c>
      <c r="U7" s="158" t="s">
        <v>47</v>
      </c>
      <c r="V7" s="158" t="s">
        <v>48</v>
      </c>
      <c r="W7" s="171" t="s">
        <v>49</v>
      </c>
      <c r="X7" s="171" t="s">
        <v>50</v>
      </c>
      <c r="Y7" s="173" t="s">
        <v>51</v>
      </c>
      <c r="Z7" s="173" t="s">
        <v>52</v>
      </c>
      <c r="AA7" s="173" t="s">
        <v>53</v>
      </c>
      <c r="AB7" s="173" t="s">
        <v>54</v>
      </c>
      <c r="AC7" s="173" t="s">
        <v>55</v>
      </c>
      <c r="AD7" s="173" t="s">
        <v>56</v>
      </c>
      <c r="AE7" s="173" t="s">
        <v>57</v>
      </c>
      <c r="AF7" s="173" t="s">
        <v>58</v>
      </c>
      <c r="AG7" s="174" t="s">
        <v>59</v>
      </c>
      <c r="AH7" s="173" t="s">
        <v>60</v>
      </c>
      <c r="AI7" s="171" t="s">
        <v>61</v>
      </c>
      <c r="AJ7" s="47"/>
    </row>
    <row r="8" spans="1:36" s="33" customFormat="1" ht="101.85" hidden="1" customHeight="1">
      <c r="A8" s="33" t="s">
        <v>62</v>
      </c>
      <c r="C8" s="162"/>
      <c r="D8" s="177" t="s">
        <v>63</v>
      </c>
      <c r="E8" s="175"/>
      <c r="F8" s="176" t="s">
        <v>64</v>
      </c>
      <c r="G8" s="163" t="s">
        <v>65</v>
      </c>
      <c r="H8" s="164" t="s">
        <v>22</v>
      </c>
      <c r="I8" s="165"/>
      <c r="J8" s="178"/>
      <c r="K8" s="178"/>
      <c r="L8" s="178"/>
      <c r="M8" s="178"/>
      <c r="N8" s="178"/>
      <c r="O8" s="178"/>
      <c r="P8" s="178"/>
      <c r="Q8" s="178"/>
      <c r="R8" s="178"/>
      <c r="S8" s="178"/>
      <c r="T8" s="178"/>
      <c r="U8" s="178"/>
      <c r="V8" s="178"/>
      <c r="W8" s="166"/>
      <c r="X8" s="166"/>
      <c r="Y8" s="167"/>
      <c r="Z8" s="196"/>
      <c r="AA8" s="168"/>
      <c r="AB8" s="168"/>
      <c r="AC8" s="168"/>
      <c r="AD8" s="168"/>
      <c r="AE8" s="168"/>
      <c r="AF8" s="163"/>
      <c r="AG8" s="169"/>
      <c r="AH8" s="168"/>
      <c r="AI8" s="170"/>
      <c r="AJ8" s="34"/>
    </row>
    <row r="9" spans="1:36" s="33" customFormat="1" ht="41.4" hidden="1">
      <c r="A9" s="33" t="s">
        <v>62</v>
      </c>
      <c r="B9" s="33" t="s">
        <v>66</v>
      </c>
      <c r="C9" s="49" t="s">
        <v>67</v>
      </c>
      <c r="D9" s="87" t="s">
        <v>68</v>
      </c>
      <c r="E9" s="49" t="s">
        <v>69</v>
      </c>
      <c r="F9" s="51"/>
      <c r="G9" s="52" t="s">
        <v>70</v>
      </c>
      <c r="H9" s="53" t="s">
        <v>22</v>
      </c>
      <c r="I9" s="54" t="s">
        <v>71</v>
      </c>
      <c r="J9" s="178" t="s">
        <v>72</v>
      </c>
      <c r="K9" s="178" t="s">
        <v>72</v>
      </c>
      <c r="L9" s="178" t="s">
        <v>72</v>
      </c>
      <c r="M9" s="178" t="s">
        <v>72</v>
      </c>
      <c r="N9" s="178" t="s">
        <v>72</v>
      </c>
      <c r="O9" s="178" t="s">
        <v>72</v>
      </c>
      <c r="P9" s="178" t="s">
        <v>72</v>
      </c>
      <c r="Q9" s="178" t="s">
        <v>73</v>
      </c>
      <c r="R9" s="178" t="s">
        <v>72</v>
      </c>
      <c r="S9" s="178" t="s">
        <v>72</v>
      </c>
      <c r="T9" s="178" t="s">
        <v>72</v>
      </c>
      <c r="U9" s="178" t="s">
        <v>73</v>
      </c>
      <c r="V9" s="178" t="s">
        <v>73</v>
      </c>
      <c r="W9" s="55"/>
      <c r="X9" s="55"/>
      <c r="Y9" s="56"/>
      <c r="Z9" s="197" t="s">
        <v>74</v>
      </c>
      <c r="AA9" s="52"/>
      <c r="AB9" s="52"/>
      <c r="AC9" s="52"/>
      <c r="AD9" s="52"/>
      <c r="AE9" s="52"/>
      <c r="AF9" s="57"/>
      <c r="AG9" s="58"/>
      <c r="AH9" s="52"/>
      <c r="AI9" s="159"/>
      <c r="AJ9" s="34"/>
    </row>
    <row r="10" spans="1:36" s="33" customFormat="1" hidden="1">
      <c r="A10" s="33" t="s">
        <v>75</v>
      </c>
      <c r="C10" s="49"/>
      <c r="D10" s="87" t="s">
        <v>76</v>
      </c>
      <c r="E10" s="49"/>
      <c r="F10" s="51" t="s">
        <v>77</v>
      </c>
      <c r="G10" s="70" t="s">
        <v>78</v>
      </c>
      <c r="H10" s="53"/>
      <c r="I10" s="54"/>
      <c r="J10" s="178"/>
      <c r="K10" s="178"/>
      <c r="L10" s="178"/>
      <c r="M10" s="178"/>
      <c r="N10" s="178"/>
      <c r="O10" s="178"/>
      <c r="P10" s="178"/>
      <c r="Q10" s="178"/>
      <c r="R10" s="178"/>
      <c r="S10" s="178"/>
      <c r="T10" s="178"/>
      <c r="U10" s="178"/>
      <c r="V10" s="178"/>
      <c r="W10" s="55"/>
      <c r="X10" s="55"/>
      <c r="Y10" s="56"/>
      <c r="Z10" s="197"/>
      <c r="AA10" s="52"/>
      <c r="AB10" s="52"/>
      <c r="AC10" s="52"/>
      <c r="AD10" s="52"/>
      <c r="AE10" s="52"/>
      <c r="AF10" s="57"/>
      <c r="AG10" s="58"/>
      <c r="AH10" s="52"/>
      <c r="AI10" s="159"/>
      <c r="AJ10" s="34"/>
    </row>
    <row r="11" spans="1:36" s="33" customFormat="1" ht="35.1" hidden="1" customHeight="1">
      <c r="A11" s="33" t="s">
        <v>75</v>
      </c>
      <c r="B11" s="33" t="s">
        <v>66</v>
      </c>
      <c r="C11" s="49" t="s">
        <v>79</v>
      </c>
      <c r="D11" s="87" t="s">
        <v>80</v>
      </c>
      <c r="E11" s="49" t="s">
        <v>69</v>
      </c>
      <c r="F11" s="51"/>
      <c r="G11" s="202" t="s">
        <v>81</v>
      </c>
      <c r="H11" s="53" t="s">
        <v>22</v>
      </c>
      <c r="I11" s="54" t="s">
        <v>71</v>
      </c>
      <c r="J11" s="178" t="s">
        <v>72</v>
      </c>
      <c r="K11" s="178" t="s">
        <v>72</v>
      </c>
      <c r="L11" s="178" t="s">
        <v>72</v>
      </c>
      <c r="M11" s="178" t="s">
        <v>73</v>
      </c>
      <c r="N11" s="178" t="s">
        <v>73</v>
      </c>
      <c r="O11" s="178" t="s">
        <v>73</v>
      </c>
      <c r="P11" s="178" t="s">
        <v>73</v>
      </c>
      <c r="Q11" s="178" t="s">
        <v>73</v>
      </c>
      <c r="R11" s="178" t="s">
        <v>73</v>
      </c>
      <c r="S11" s="178" t="s">
        <v>73</v>
      </c>
      <c r="T11" s="178" t="s">
        <v>73</v>
      </c>
      <c r="U11" s="178" t="s">
        <v>73</v>
      </c>
      <c r="V11" s="178" t="s">
        <v>73</v>
      </c>
      <c r="W11" s="55"/>
      <c r="X11" s="55"/>
      <c r="Y11" s="56"/>
      <c r="Z11" s="264" t="s">
        <v>82</v>
      </c>
      <c r="AA11" s="52"/>
      <c r="AB11" s="52"/>
      <c r="AC11" s="52"/>
      <c r="AD11" s="52"/>
      <c r="AE11" s="52"/>
      <c r="AF11" s="57"/>
      <c r="AG11" s="58"/>
      <c r="AH11" s="52"/>
      <c r="AI11" s="159"/>
      <c r="AJ11" s="34"/>
    </row>
    <row r="12" spans="1:36" ht="55.2" hidden="1">
      <c r="A12" s="39" t="s">
        <v>62</v>
      </c>
      <c r="B12" s="33" t="s">
        <v>66</v>
      </c>
      <c r="C12" s="49" t="s">
        <v>83</v>
      </c>
      <c r="D12" s="87" t="s">
        <v>84</v>
      </c>
      <c r="E12" s="49" t="s">
        <v>69</v>
      </c>
      <c r="F12" s="51"/>
      <c r="G12" s="202" t="s">
        <v>85</v>
      </c>
      <c r="H12" s="53" t="s">
        <v>22</v>
      </c>
      <c r="I12" s="54" t="s">
        <v>71</v>
      </c>
      <c r="J12" s="178" t="s">
        <v>73</v>
      </c>
      <c r="K12" s="178" t="s">
        <v>73</v>
      </c>
      <c r="L12" s="178" t="s">
        <v>73</v>
      </c>
      <c r="M12" s="178" t="s">
        <v>72</v>
      </c>
      <c r="N12" s="178" t="s">
        <v>72</v>
      </c>
      <c r="O12" s="178" t="s">
        <v>72</v>
      </c>
      <c r="P12" s="178" t="s">
        <v>72</v>
      </c>
      <c r="Q12" s="178" t="s">
        <v>73</v>
      </c>
      <c r="R12" s="178" t="s">
        <v>72</v>
      </c>
      <c r="S12" s="178" t="s">
        <v>72</v>
      </c>
      <c r="T12" s="178" t="s">
        <v>72</v>
      </c>
      <c r="U12" s="178" t="s">
        <v>73</v>
      </c>
      <c r="V12" s="178" t="s">
        <v>73</v>
      </c>
      <c r="Y12" s="56"/>
      <c r="Z12" s="264" t="s">
        <v>82</v>
      </c>
      <c r="AF12" s="57"/>
      <c r="AI12" s="220"/>
    </row>
    <row r="13" spans="1:36" s="33" customFormat="1" ht="27.6" hidden="1">
      <c r="A13" s="33" t="s">
        <v>62</v>
      </c>
      <c r="C13" s="162"/>
      <c r="D13" s="177" t="s">
        <v>86</v>
      </c>
      <c r="E13" s="175"/>
      <c r="F13" s="176"/>
      <c r="G13" s="163" t="s">
        <v>87</v>
      </c>
      <c r="H13" s="164" t="s">
        <v>22</v>
      </c>
      <c r="I13" s="165"/>
      <c r="J13" s="178"/>
      <c r="K13" s="178"/>
      <c r="L13" s="178"/>
      <c r="M13" s="178"/>
      <c r="N13" s="178"/>
      <c r="O13" s="178"/>
      <c r="P13" s="178"/>
      <c r="Q13" s="178"/>
      <c r="R13" s="178"/>
      <c r="S13" s="178"/>
      <c r="T13" s="178"/>
      <c r="U13" s="178"/>
      <c r="V13" s="178"/>
      <c r="W13" s="166"/>
      <c r="X13" s="166"/>
      <c r="Y13" s="167"/>
      <c r="Z13" s="196"/>
      <c r="AA13" s="168"/>
      <c r="AB13" s="168"/>
      <c r="AC13" s="168"/>
      <c r="AD13" s="168"/>
      <c r="AE13" s="168"/>
      <c r="AF13" s="163"/>
      <c r="AG13" s="169"/>
      <c r="AH13" s="168"/>
      <c r="AI13" s="221"/>
      <c r="AJ13" s="34"/>
    </row>
    <row r="14" spans="1:36" s="33" customFormat="1" ht="27.6">
      <c r="A14" s="33" t="s">
        <v>62</v>
      </c>
      <c r="B14" s="33" t="s">
        <v>88</v>
      </c>
      <c r="C14" s="49" t="s">
        <v>89</v>
      </c>
      <c r="D14" s="87" t="s">
        <v>90</v>
      </c>
      <c r="E14" s="49" t="s">
        <v>69</v>
      </c>
      <c r="F14" s="51"/>
      <c r="G14" s="201" t="s">
        <v>91</v>
      </c>
      <c r="H14" s="53"/>
      <c r="I14" s="54" t="s">
        <v>92</v>
      </c>
      <c r="J14" s="178" t="s">
        <v>72</v>
      </c>
      <c r="K14" s="178" t="s">
        <v>72</v>
      </c>
      <c r="L14" s="178" t="s">
        <v>72</v>
      </c>
      <c r="M14" s="178" t="s">
        <v>73</v>
      </c>
      <c r="N14" s="178" t="s">
        <v>72</v>
      </c>
      <c r="O14" s="178" t="s">
        <v>73</v>
      </c>
      <c r="P14" s="178" t="s">
        <v>73</v>
      </c>
      <c r="Q14" s="178" t="s">
        <v>73</v>
      </c>
      <c r="R14" s="178" t="s">
        <v>72</v>
      </c>
      <c r="S14" s="178" t="s">
        <v>72</v>
      </c>
      <c r="T14" s="178" t="s">
        <v>72</v>
      </c>
      <c r="U14" s="178" t="s">
        <v>73</v>
      </c>
      <c r="V14" s="178" t="s">
        <v>72</v>
      </c>
      <c r="W14" s="55"/>
      <c r="X14" s="55"/>
      <c r="Y14" s="56"/>
      <c r="Z14" s="197" t="s">
        <v>93</v>
      </c>
      <c r="AA14" s="52"/>
      <c r="AB14" s="52"/>
      <c r="AC14" s="52"/>
      <c r="AD14" s="52"/>
      <c r="AE14" s="52"/>
      <c r="AF14" s="57"/>
      <c r="AG14" s="58"/>
      <c r="AH14" s="52"/>
      <c r="AI14" s="159"/>
      <c r="AJ14" s="34"/>
    </row>
    <row r="15" spans="1:36" s="33" customFormat="1" ht="34.5" hidden="1" customHeight="1">
      <c r="A15" s="33" t="s">
        <v>62</v>
      </c>
      <c r="B15" s="33" t="s">
        <v>88</v>
      </c>
      <c r="C15" s="49" t="s">
        <v>94</v>
      </c>
      <c r="D15" s="87" t="s">
        <v>95</v>
      </c>
      <c r="E15" s="49" t="s">
        <v>96</v>
      </c>
      <c r="F15" s="51"/>
      <c r="G15" s="52" t="s">
        <v>97</v>
      </c>
      <c r="H15" s="53"/>
      <c r="I15" s="54" t="s">
        <v>92</v>
      </c>
      <c r="J15" s="178"/>
      <c r="K15" s="178" t="s">
        <v>72</v>
      </c>
      <c r="L15" s="178"/>
      <c r="M15" s="178"/>
      <c r="N15" s="178"/>
      <c r="O15" s="178"/>
      <c r="P15" s="178"/>
      <c r="Q15" s="178"/>
      <c r="R15" s="178"/>
      <c r="S15" s="178"/>
      <c r="T15" s="178"/>
      <c r="U15" s="178"/>
      <c r="V15" s="178"/>
      <c r="W15" s="55"/>
      <c r="X15" s="55"/>
      <c r="Y15" s="56"/>
      <c r="Z15" s="198" t="s">
        <v>98</v>
      </c>
      <c r="AA15" s="52"/>
      <c r="AB15" s="52"/>
      <c r="AC15" s="52"/>
      <c r="AD15" s="52"/>
      <c r="AE15" s="52"/>
      <c r="AF15" s="57"/>
      <c r="AG15" s="58"/>
      <c r="AH15" s="52"/>
      <c r="AI15" s="220"/>
      <c r="AJ15" s="34"/>
    </row>
    <row r="16" spans="1:36" s="33" customFormat="1" ht="34.5" hidden="1" customHeight="1">
      <c r="A16" s="33" t="s">
        <v>62</v>
      </c>
      <c r="B16" s="33" t="s">
        <v>66</v>
      </c>
      <c r="C16" s="49" t="s">
        <v>99</v>
      </c>
      <c r="D16" s="87" t="s">
        <v>100</v>
      </c>
      <c r="E16" s="49" t="s">
        <v>69</v>
      </c>
      <c r="F16" s="51"/>
      <c r="G16" s="260" t="s">
        <v>101</v>
      </c>
      <c r="H16" s="53"/>
      <c r="I16" s="54" t="s">
        <v>4</v>
      </c>
      <c r="J16" s="178" t="s">
        <v>72</v>
      </c>
      <c r="K16" s="178" t="s">
        <v>72</v>
      </c>
      <c r="L16" s="178" t="s">
        <v>72</v>
      </c>
      <c r="M16" s="178" t="s">
        <v>72</v>
      </c>
      <c r="N16" s="178" t="s">
        <v>72</v>
      </c>
      <c r="O16" s="178" t="s">
        <v>72</v>
      </c>
      <c r="P16" s="178" t="s">
        <v>72</v>
      </c>
      <c r="Q16" s="178"/>
      <c r="R16" s="178" t="s">
        <v>72</v>
      </c>
      <c r="S16" s="178" t="s">
        <v>72</v>
      </c>
      <c r="T16" s="178" t="s">
        <v>72</v>
      </c>
      <c r="U16" s="178"/>
      <c r="V16" s="178" t="s">
        <v>72</v>
      </c>
      <c r="W16" s="55"/>
      <c r="X16" s="55"/>
      <c r="Y16" s="56"/>
      <c r="Z16" s="197"/>
      <c r="AA16" s="52"/>
      <c r="AB16" s="52"/>
      <c r="AC16" s="52"/>
      <c r="AD16" s="52"/>
      <c r="AE16" s="52"/>
      <c r="AF16" s="57"/>
      <c r="AG16" s="58"/>
      <c r="AH16" s="52"/>
      <c r="AI16" s="220"/>
      <c r="AJ16" s="34"/>
    </row>
    <row r="17" spans="1:36" s="33" customFormat="1" ht="41.4" hidden="1">
      <c r="A17" s="33" t="s">
        <v>62</v>
      </c>
      <c r="C17" s="162"/>
      <c r="D17" s="177" t="s">
        <v>102</v>
      </c>
      <c r="E17" s="175"/>
      <c r="F17" s="176"/>
      <c r="G17" s="163" t="s">
        <v>103</v>
      </c>
      <c r="H17" s="164" t="s">
        <v>22</v>
      </c>
      <c r="I17" s="165"/>
      <c r="J17" s="178"/>
      <c r="K17" s="178"/>
      <c r="L17" s="178"/>
      <c r="M17" s="178"/>
      <c r="N17" s="178"/>
      <c r="O17" s="178"/>
      <c r="P17" s="178"/>
      <c r="Q17" s="178"/>
      <c r="R17" s="178"/>
      <c r="S17" s="178"/>
      <c r="T17" s="178"/>
      <c r="U17" s="178"/>
      <c r="V17" s="178"/>
      <c r="W17" s="166"/>
      <c r="X17" s="166"/>
      <c r="Y17" s="167"/>
      <c r="Z17" s="196"/>
      <c r="AA17" s="168"/>
      <c r="AB17" s="168"/>
      <c r="AC17" s="168"/>
      <c r="AD17" s="168"/>
      <c r="AE17" s="168"/>
      <c r="AF17" s="163"/>
      <c r="AG17" s="169"/>
      <c r="AH17" s="168"/>
      <c r="AI17" s="221"/>
      <c r="AJ17" s="34"/>
    </row>
    <row r="18" spans="1:36" s="33" customFormat="1" ht="34.5" hidden="1" customHeight="1">
      <c r="A18" s="33" t="s">
        <v>62</v>
      </c>
      <c r="B18" s="33" t="s">
        <v>66</v>
      </c>
      <c r="C18" s="49" t="s">
        <v>104</v>
      </c>
      <c r="D18" s="87" t="s">
        <v>105</v>
      </c>
      <c r="E18" s="49" t="s">
        <v>69</v>
      </c>
      <c r="F18" s="51"/>
      <c r="G18" s="52" t="s">
        <v>106</v>
      </c>
      <c r="H18" s="53" t="s">
        <v>22</v>
      </c>
      <c r="I18" s="54" t="s">
        <v>71</v>
      </c>
      <c r="J18" s="178" t="s">
        <v>72</v>
      </c>
      <c r="K18" s="178" t="s">
        <v>72</v>
      </c>
      <c r="L18" s="178" t="s">
        <v>72</v>
      </c>
      <c r="M18" s="178" t="s">
        <v>72</v>
      </c>
      <c r="N18" s="178" t="s">
        <v>72</v>
      </c>
      <c r="O18" s="178" t="s">
        <v>72</v>
      </c>
      <c r="P18" s="178" t="s">
        <v>72</v>
      </c>
      <c r="Q18" s="178"/>
      <c r="R18" s="178" t="s">
        <v>72</v>
      </c>
      <c r="S18" s="178" t="s">
        <v>72</v>
      </c>
      <c r="T18" s="178" t="s">
        <v>72</v>
      </c>
      <c r="U18" s="178"/>
      <c r="V18" s="178" t="s">
        <v>72</v>
      </c>
      <c r="W18" s="55"/>
      <c r="X18" s="55"/>
      <c r="Y18" s="56"/>
      <c r="Z18" s="197" t="s">
        <v>107</v>
      </c>
      <c r="AA18" s="52"/>
      <c r="AB18" s="52"/>
      <c r="AC18" s="52"/>
      <c r="AD18" s="52"/>
      <c r="AE18" s="52"/>
      <c r="AF18" s="57"/>
      <c r="AG18" s="58"/>
      <c r="AH18" s="52"/>
      <c r="AI18" s="220"/>
      <c r="AJ18" s="34"/>
    </row>
    <row r="19" spans="1:36" s="33" customFormat="1" ht="69" hidden="1">
      <c r="A19" s="33" t="s">
        <v>62</v>
      </c>
      <c r="B19" s="33" t="s">
        <v>66</v>
      </c>
      <c r="C19" s="49" t="s">
        <v>108</v>
      </c>
      <c r="D19" s="87" t="s">
        <v>109</v>
      </c>
      <c r="E19" s="49" t="s">
        <v>69</v>
      </c>
      <c r="F19" s="51"/>
      <c r="G19" s="52" t="s">
        <v>110</v>
      </c>
      <c r="H19" s="53"/>
      <c r="I19" s="54" t="s">
        <v>92</v>
      </c>
      <c r="J19" s="178"/>
      <c r="K19" s="178"/>
      <c r="L19" s="178"/>
      <c r="M19" s="178"/>
      <c r="N19" s="178"/>
      <c r="O19" s="178"/>
      <c r="P19" s="178"/>
      <c r="Q19" s="178"/>
      <c r="R19" s="178"/>
      <c r="S19" s="178"/>
      <c r="T19" s="178"/>
      <c r="U19" s="178"/>
      <c r="V19" s="178"/>
      <c r="W19" s="55"/>
      <c r="X19" s="55"/>
      <c r="Y19" s="56"/>
      <c r="Z19" s="197" t="s">
        <v>111</v>
      </c>
      <c r="AA19" s="52"/>
      <c r="AB19" s="52"/>
      <c r="AC19" s="52"/>
      <c r="AD19" s="52"/>
      <c r="AE19" s="52"/>
      <c r="AF19" s="57"/>
      <c r="AG19" s="58"/>
      <c r="AH19" s="52"/>
      <c r="AI19" s="159"/>
      <c r="AJ19" s="34"/>
    </row>
    <row r="20" spans="1:36" s="33" customFormat="1" ht="34.5" hidden="1" customHeight="1">
      <c r="A20" s="33" t="s">
        <v>62</v>
      </c>
      <c r="C20" s="49"/>
      <c r="D20" s="87" t="s">
        <v>112</v>
      </c>
      <c r="E20" s="49"/>
      <c r="F20" s="51" t="s">
        <v>113</v>
      </c>
      <c r="G20" s="70" t="s">
        <v>114</v>
      </c>
      <c r="H20" s="53"/>
      <c r="I20" s="54"/>
      <c r="J20" s="178"/>
      <c r="K20" s="178"/>
      <c r="L20" s="178"/>
      <c r="M20" s="178"/>
      <c r="N20" s="178"/>
      <c r="O20" s="178"/>
      <c r="P20" s="178"/>
      <c r="Q20" s="178"/>
      <c r="R20" s="178"/>
      <c r="S20" s="178"/>
      <c r="T20" s="178"/>
      <c r="U20" s="178"/>
      <c r="V20" s="178"/>
      <c r="W20" s="55"/>
      <c r="X20" s="55"/>
      <c r="Y20" s="56"/>
      <c r="Z20" s="197"/>
      <c r="AA20" s="52"/>
      <c r="AB20" s="52"/>
      <c r="AC20" s="52"/>
      <c r="AD20" s="52"/>
      <c r="AE20" s="52"/>
      <c r="AF20" s="57"/>
      <c r="AG20" s="58"/>
      <c r="AH20" s="52"/>
      <c r="AI20" s="220"/>
      <c r="AJ20" s="34"/>
    </row>
    <row r="21" spans="1:36" s="33" customFormat="1" hidden="1">
      <c r="A21" s="33" t="s">
        <v>62</v>
      </c>
      <c r="B21" s="33" t="s">
        <v>66</v>
      </c>
      <c r="C21" s="49" t="s">
        <v>115</v>
      </c>
      <c r="D21" s="87" t="s">
        <v>116</v>
      </c>
      <c r="E21" s="49" t="s">
        <v>69</v>
      </c>
      <c r="F21" s="51"/>
      <c r="G21" s="52" t="s">
        <v>117</v>
      </c>
      <c r="H21" s="53" t="s">
        <v>22</v>
      </c>
      <c r="I21" s="54" t="s">
        <v>4</v>
      </c>
      <c r="J21" s="178"/>
      <c r="K21" s="178"/>
      <c r="L21" s="178"/>
      <c r="M21" s="178"/>
      <c r="N21" s="178"/>
      <c r="O21" s="178"/>
      <c r="P21" s="178"/>
      <c r="Q21" s="178"/>
      <c r="R21" s="178"/>
      <c r="S21" s="178"/>
      <c r="T21" s="178"/>
      <c r="U21" s="178"/>
      <c r="V21" s="178"/>
      <c r="W21" s="55"/>
      <c r="X21" s="55"/>
      <c r="Y21" s="56"/>
      <c r="Z21" s="197" t="s">
        <v>118</v>
      </c>
      <c r="AA21" s="52"/>
      <c r="AB21" s="52"/>
      <c r="AC21" s="52"/>
      <c r="AD21" s="52"/>
      <c r="AE21" s="52"/>
      <c r="AF21" s="57"/>
      <c r="AG21" s="58"/>
      <c r="AH21" s="52"/>
      <c r="AI21" s="159"/>
      <c r="AJ21" s="34"/>
    </row>
    <row r="22" spans="1:36" s="33" customFormat="1" ht="27.6" hidden="1">
      <c r="A22" s="33" t="s">
        <v>62</v>
      </c>
      <c r="C22" s="49"/>
      <c r="D22" s="87" t="s">
        <v>119</v>
      </c>
      <c r="E22" s="49"/>
      <c r="F22" s="191" t="s">
        <v>120</v>
      </c>
      <c r="G22" s="192" t="s">
        <v>121</v>
      </c>
      <c r="H22" s="53"/>
      <c r="I22" s="54"/>
      <c r="J22" s="178"/>
      <c r="K22" s="178"/>
      <c r="L22" s="178"/>
      <c r="M22" s="178"/>
      <c r="N22" s="178"/>
      <c r="O22" s="178"/>
      <c r="P22" s="178"/>
      <c r="Q22" s="178"/>
      <c r="R22" s="178"/>
      <c r="S22" s="178"/>
      <c r="T22" s="178"/>
      <c r="U22" s="178"/>
      <c r="V22" s="178"/>
      <c r="W22" s="55"/>
      <c r="X22" s="55"/>
      <c r="Y22" s="56"/>
      <c r="Z22" s="197"/>
      <c r="AA22" s="52"/>
      <c r="AB22" s="52"/>
      <c r="AC22" s="52"/>
      <c r="AD22" s="52"/>
      <c r="AE22" s="52"/>
      <c r="AF22" s="57"/>
      <c r="AG22" s="58"/>
      <c r="AH22" s="52"/>
      <c r="AI22" s="159"/>
      <c r="AJ22" s="34"/>
    </row>
    <row r="23" spans="1:36" s="33" customFormat="1" ht="45" hidden="1" customHeight="1">
      <c r="A23" s="33" t="s">
        <v>62</v>
      </c>
      <c r="C23" s="162"/>
      <c r="D23" s="177" t="s">
        <v>122</v>
      </c>
      <c r="E23" s="175"/>
      <c r="F23" s="176"/>
      <c r="G23" s="163" t="s">
        <v>123</v>
      </c>
      <c r="H23" s="164" t="s">
        <v>22</v>
      </c>
      <c r="I23" s="165"/>
      <c r="J23" s="178"/>
      <c r="K23" s="178"/>
      <c r="L23" s="178"/>
      <c r="M23" s="178"/>
      <c r="N23" s="178"/>
      <c r="O23" s="178"/>
      <c r="P23" s="178"/>
      <c r="Q23" s="178"/>
      <c r="R23" s="178"/>
      <c r="S23" s="178"/>
      <c r="T23" s="178"/>
      <c r="U23" s="178"/>
      <c r="V23" s="178"/>
      <c r="W23" s="166"/>
      <c r="X23" s="166"/>
      <c r="Y23" s="167"/>
      <c r="Z23" s="196"/>
      <c r="AA23" s="168"/>
      <c r="AB23" s="168"/>
      <c r="AC23" s="168"/>
      <c r="AD23" s="168"/>
      <c r="AE23" s="168"/>
      <c r="AF23" s="163"/>
      <c r="AG23" s="169"/>
      <c r="AH23" s="168"/>
      <c r="AI23" s="170"/>
      <c r="AJ23" s="34"/>
    </row>
    <row r="24" spans="1:36" s="33" customFormat="1" hidden="1">
      <c r="A24" s="33" t="s">
        <v>62</v>
      </c>
      <c r="B24" s="33" t="s">
        <v>66</v>
      </c>
      <c r="C24" s="49" t="s">
        <v>124</v>
      </c>
      <c r="D24" s="87" t="s">
        <v>125</v>
      </c>
      <c r="E24" s="49" t="s">
        <v>69</v>
      </c>
      <c r="F24" s="51"/>
      <c r="G24" s="201" t="s">
        <v>126</v>
      </c>
      <c r="H24" s="53" t="s">
        <v>22</v>
      </c>
      <c r="I24" s="54" t="s">
        <v>4</v>
      </c>
      <c r="J24" s="178"/>
      <c r="K24" s="178"/>
      <c r="L24" s="178"/>
      <c r="M24" s="178"/>
      <c r="N24" s="178"/>
      <c r="O24" s="178"/>
      <c r="P24" s="178"/>
      <c r="Q24" s="178"/>
      <c r="R24" s="178"/>
      <c r="S24" s="178"/>
      <c r="T24" s="178"/>
      <c r="U24" s="178"/>
      <c r="V24" s="178"/>
      <c r="W24" s="55"/>
      <c r="X24" s="55"/>
      <c r="Y24" s="56"/>
      <c r="Z24" s="197" t="s">
        <v>127</v>
      </c>
      <c r="AA24" s="52"/>
      <c r="AB24" s="52"/>
      <c r="AC24" s="52"/>
      <c r="AD24" s="52"/>
      <c r="AE24" s="52"/>
      <c r="AF24" s="57"/>
      <c r="AG24" s="58"/>
      <c r="AH24" s="52"/>
      <c r="AI24" s="159"/>
      <c r="AJ24" s="34"/>
    </row>
    <row r="25" spans="1:36" s="33" customFormat="1" ht="27.6" hidden="1">
      <c r="A25" s="33" t="s">
        <v>62</v>
      </c>
      <c r="C25" s="162"/>
      <c r="D25" s="177" t="s">
        <v>128</v>
      </c>
      <c r="E25" s="175"/>
      <c r="F25" s="176"/>
      <c r="G25" s="163" t="s">
        <v>1549</v>
      </c>
      <c r="H25" s="164" t="s">
        <v>22</v>
      </c>
      <c r="I25" s="165"/>
      <c r="J25" s="178"/>
      <c r="K25" s="178"/>
      <c r="L25" s="178"/>
      <c r="M25" s="178"/>
      <c r="N25" s="178"/>
      <c r="O25" s="178"/>
      <c r="P25" s="178"/>
      <c r="Q25" s="178"/>
      <c r="R25" s="178"/>
      <c r="S25" s="178"/>
      <c r="T25" s="178"/>
      <c r="U25" s="178"/>
      <c r="V25" s="178"/>
      <c r="W25" s="166"/>
      <c r="X25" s="166"/>
      <c r="Y25" s="167"/>
      <c r="Z25" s="196"/>
      <c r="AA25" s="168"/>
      <c r="AB25" s="168"/>
      <c r="AC25" s="168"/>
      <c r="AD25" s="168"/>
      <c r="AE25" s="168"/>
      <c r="AF25" s="163"/>
      <c r="AG25" s="169"/>
      <c r="AH25" s="168"/>
      <c r="AI25" s="221"/>
      <c r="AJ25" s="34"/>
    </row>
    <row r="26" spans="1:36" s="33" customFormat="1" ht="34.5" hidden="1" customHeight="1">
      <c r="A26" s="33" t="s">
        <v>62</v>
      </c>
      <c r="B26" s="33" t="s">
        <v>66</v>
      </c>
      <c r="C26" s="49" t="s">
        <v>129</v>
      </c>
      <c r="D26" s="87" t="s">
        <v>130</v>
      </c>
      <c r="E26" s="49" t="s">
        <v>69</v>
      </c>
      <c r="F26" s="51"/>
      <c r="G26" s="52" t="s">
        <v>131</v>
      </c>
      <c r="H26" s="53" t="s">
        <v>22</v>
      </c>
      <c r="I26" s="54" t="s">
        <v>4</v>
      </c>
      <c r="J26" s="178"/>
      <c r="K26" s="178"/>
      <c r="L26" s="178"/>
      <c r="M26" s="178"/>
      <c r="N26" s="178"/>
      <c r="O26" s="178"/>
      <c r="P26" s="178"/>
      <c r="Q26" s="178"/>
      <c r="R26" s="178"/>
      <c r="S26" s="178"/>
      <c r="T26" s="178"/>
      <c r="U26" s="178"/>
      <c r="V26" s="178"/>
      <c r="W26" s="55"/>
      <c r="X26" s="55"/>
      <c r="Y26" s="56"/>
      <c r="Z26" s="197" t="s">
        <v>132</v>
      </c>
      <c r="AA26" s="52"/>
      <c r="AB26" s="52"/>
      <c r="AC26" s="52"/>
      <c r="AD26" s="52"/>
      <c r="AE26" s="52"/>
      <c r="AF26" s="57"/>
      <c r="AG26" s="58"/>
      <c r="AH26" s="52"/>
      <c r="AI26" s="41"/>
      <c r="AJ26" s="34"/>
    </row>
    <row r="27" spans="1:36" hidden="1">
      <c r="A27" s="39" t="s">
        <v>62</v>
      </c>
      <c r="B27" s="33" t="s">
        <v>66</v>
      </c>
      <c r="C27" s="66" t="s">
        <v>133</v>
      </c>
      <c r="D27" s="155" t="s">
        <v>134</v>
      </c>
      <c r="E27" s="49" t="s">
        <v>69</v>
      </c>
      <c r="F27" s="51"/>
      <c r="G27" s="260" t="s">
        <v>135</v>
      </c>
      <c r="I27" s="54" t="s">
        <v>71</v>
      </c>
      <c r="Y27" s="56"/>
      <c r="Z27" s="197"/>
      <c r="AF27" s="57"/>
      <c r="AI27" s="220"/>
    </row>
    <row r="28" spans="1:36" s="33" customFormat="1" ht="27.6" hidden="1">
      <c r="A28" s="33" t="s">
        <v>62</v>
      </c>
      <c r="C28" s="162"/>
      <c r="D28" s="177" t="s">
        <v>136</v>
      </c>
      <c r="E28" s="175"/>
      <c r="F28" s="176"/>
      <c r="G28" s="163" t="s">
        <v>137</v>
      </c>
      <c r="H28" s="164" t="s">
        <v>22</v>
      </c>
      <c r="I28" s="165"/>
      <c r="J28" s="178"/>
      <c r="K28" s="178"/>
      <c r="L28" s="178"/>
      <c r="M28" s="178"/>
      <c r="N28" s="178"/>
      <c r="O28" s="178"/>
      <c r="P28" s="178"/>
      <c r="Q28" s="178"/>
      <c r="R28" s="178"/>
      <c r="S28" s="178"/>
      <c r="T28" s="178"/>
      <c r="U28" s="178"/>
      <c r="V28" s="178"/>
      <c r="W28" s="166"/>
      <c r="X28" s="166"/>
      <c r="Y28" s="167"/>
      <c r="Z28" s="196"/>
      <c r="AA28" s="168"/>
      <c r="AB28" s="168"/>
      <c r="AC28" s="168"/>
      <c r="AD28" s="168"/>
      <c r="AE28" s="168"/>
      <c r="AF28" s="163"/>
      <c r="AG28" s="169"/>
      <c r="AH28" s="168"/>
      <c r="AI28" s="221"/>
      <c r="AJ28" s="34"/>
    </row>
    <row r="29" spans="1:36" s="33" customFormat="1" ht="34.5" hidden="1" customHeight="1">
      <c r="A29" s="33" t="s">
        <v>62</v>
      </c>
      <c r="B29" s="33" t="s">
        <v>66</v>
      </c>
      <c r="C29" s="49" t="s">
        <v>138</v>
      </c>
      <c r="D29" s="87" t="s">
        <v>139</v>
      </c>
      <c r="E29" s="49" t="s">
        <v>69</v>
      </c>
      <c r="F29" s="51"/>
      <c r="G29" s="52" t="s">
        <v>140</v>
      </c>
      <c r="H29" s="53" t="s">
        <v>22</v>
      </c>
      <c r="I29" s="54" t="s">
        <v>4</v>
      </c>
      <c r="J29" s="178"/>
      <c r="K29" s="178"/>
      <c r="L29" s="178"/>
      <c r="M29" s="178"/>
      <c r="N29" s="178"/>
      <c r="O29" s="178"/>
      <c r="P29" s="178"/>
      <c r="Q29" s="178"/>
      <c r="R29" s="178"/>
      <c r="S29" s="178"/>
      <c r="T29" s="178"/>
      <c r="U29" s="178"/>
      <c r="V29" s="178"/>
      <c r="W29" s="55"/>
      <c r="X29" s="55"/>
      <c r="Y29" s="56"/>
      <c r="Z29" s="197" t="s">
        <v>127</v>
      </c>
      <c r="AA29" s="52"/>
      <c r="AB29" s="52"/>
      <c r="AC29" s="52"/>
      <c r="AD29" s="52"/>
      <c r="AE29" s="52"/>
      <c r="AF29" s="57"/>
      <c r="AG29" s="58"/>
      <c r="AH29" s="52"/>
      <c r="AI29" s="220"/>
      <c r="AJ29" s="34"/>
    </row>
    <row r="30" spans="1:36" s="33" customFormat="1" ht="64.650000000000006" hidden="1" customHeight="1">
      <c r="A30" s="33" t="s">
        <v>62</v>
      </c>
      <c r="C30" s="162"/>
      <c r="D30" s="177" t="s">
        <v>141</v>
      </c>
      <c r="E30" s="175"/>
      <c r="F30" s="176"/>
      <c r="G30" s="203" t="s">
        <v>142</v>
      </c>
      <c r="H30" s="164" t="s">
        <v>22</v>
      </c>
      <c r="I30" s="165"/>
      <c r="J30" s="178"/>
      <c r="K30" s="178"/>
      <c r="L30" s="178"/>
      <c r="M30" s="178"/>
      <c r="N30" s="178"/>
      <c r="O30" s="178"/>
      <c r="P30" s="178"/>
      <c r="Q30" s="178"/>
      <c r="R30" s="178"/>
      <c r="S30" s="178"/>
      <c r="T30" s="178"/>
      <c r="U30" s="178"/>
      <c r="V30" s="178"/>
      <c r="W30" s="166"/>
      <c r="X30" s="166"/>
      <c r="Y30" s="167"/>
      <c r="Z30" s="196"/>
      <c r="AA30" s="168"/>
      <c r="AB30" s="168"/>
      <c r="AC30" s="168"/>
      <c r="AD30" s="168"/>
      <c r="AE30" s="168"/>
      <c r="AF30" s="163"/>
      <c r="AG30" s="169"/>
      <c r="AH30" s="168"/>
      <c r="AI30" s="221"/>
      <c r="AJ30" s="34"/>
    </row>
    <row r="31" spans="1:36" s="33" customFormat="1" ht="34.5" hidden="1" customHeight="1">
      <c r="A31" s="33" t="s">
        <v>62</v>
      </c>
      <c r="B31" s="33" t="s">
        <v>66</v>
      </c>
      <c r="C31" s="49" t="s">
        <v>143</v>
      </c>
      <c r="D31" s="87" t="s">
        <v>144</v>
      </c>
      <c r="E31" s="49" t="s">
        <v>69</v>
      </c>
      <c r="F31" s="51"/>
      <c r="G31" s="52" t="s">
        <v>145</v>
      </c>
      <c r="H31" s="53" t="s">
        <v>22</v>
      </c>
      <c r="I31" s="54" t="s">
        <v>4</v>
      </c>
      <c r="J31" s="178"/>
      <c r="K31" s="178"/>
      <c r="L31" s="178"/>
      <c r="M31" s="178"/>
      <c r="N31" s="178"/>
      <c r="O31" s="178"/>
      <c r="P31" s="178"/>
      <c r="Q31" s="178"/>
      <c r="R31" s="178"/>
      <c r="S31" s="178"/>
      <c r="T31" s="178"/>
      <c r="U31" s="178"/>
      <c r="V31" s="178"/>
      <c r="W31" s="55"/>
      <c r="X31" s="55"/>
      <c r="Y31" s="56"/>
      <c r="Z31" s="197" t="s">
        <v>127</v>
      </c>
      <c r="AA31" s="52"/>
      <c r="AB31" s="52"/>
      <c r="AC31" s="52"/>
      <c r="AD31" s="52"/>
      <c r="AE31" s="52"/>
      <c r="AF31" s="57"/>
      <c r="AG31" s="58"/>
      <c r="AH31" s="52"/>
      <c r="AI31" s="220"/>
      <c r="AJ31" s="34"/>
    </row>
    <row r="32" spans="1:36" s="33" customFormat="1" ht="42.6" hidden="1" customHeight="1">
      <c r="A32" s="33" t="s">
        <v>62</v>
      </c>
      <c r="C32" s="49"/>
      <c r="D32" s="87" t="s">
        <v>146</v>
      </c>
      <c r="E32" s="49"/>
      <c r="F32" s="191" t="s">
        <v>77</v>
      </c>
      <c r="G32" s="192" t="s">
        <v>147</v>
      </c>
      <c r="H32" s="53"/>
      <c r="I32" s="54"/>
      <c r="J32" s="178"/>
      <c r="K32" s="178"/>
      <c r="L32" s="178"/>
      <c r="M32" s="178"/>
      <c r="N32" s="178"/>
      <c r="O32" s="178"/>
      <c r="P32" s="178"/>
      <c r="Q32" s="178"/>
      <c r="R32" s="178"/>
      <c r="S32" s="178"/>
      <c r="T32" s="178"/>
      <c r="U32" s="178"/>
      <c r="V32" s="178"/>
      <c r="W32" s="55"/>
      <c r="X32" s="55"/>
      <c r="Y32" s="56"/>
      <c r="Z32" s="197"/>
      <c r="AA32" s="52"/>
      <c r="AB32" s="52"/>
      <c r="AC32" s="52"/>
      <c r="AD32" s="52"/>
      <c r="AE32" s="52"/>
      <c r="AF32" s="57"/>
      <c r="AG32" s="58"/>
      <c r="AH32" s="52"/>
      <c r="AI32" s="159"/>
      <c r="AJ32" s="34"/>
    </row>
    <row r="33" spans="1:36" s="161" customFormat="1" ht="43.5" hidden="1" customHeight="1">
      <c r="A33" s="161" t="s">
        <v>62</v>
      </c>
      <c r="B33" s="161" t="s">
        <v>66</v>
      </c>
      <c r="C33" s="71" t="s">
        <v>148</v>
      </c>
      <c r="D33" s="183" t="s">
        <v>149</v>
      </c>
      <c r="E33" s="71" t="s">
        <v>69</v>
      </c>
      <c r="F33" s="51"/>
      <c r="G33" s="298" t="s">
        <v>150</v>
      </c>
      <c r="H33" s="184" t="s">
        <v>22</v>
      </c>
      <c r="I33" s="73" t="s">
        <v>71</v>
      </c>
      <c r="J33" s="185"/>
      <c r="K33" s="185"/>
      <c r="L33" s="185"/>
      <c r="M33" s="185"/>
      <c r="N33" s="185"/>
      <c r="O33" s="185"/>
      <c r="P33" s="185"/>
      <c r="Q33" s="185"/>
      <c r="R33" s="185"/>
      <c r="S33" s="185"/>
      <c r="T33" s="185"/>
      <c r="U33" s="185"/>
      <c r="V33" s="185"/>
      <c r="W33" s="186"/>
      <c r="X33" s="186"/>
      <c r="Y33" s="187"/>
      <c r="Z33" s="197" t="s">
        <v>151</v>
      </c>
      <c r="AA33" s="70"/>
      <c r="AB33" s="70"/>
      <c r="AC33" s="70"/>
      <c r="AD33" s="70"/>
      <c r="AE33" s="70"/>
      <c r="AF33" s="188"/>
      <c r="AG33" s="65"/>
      <c r="AH33" s="70"/>
      <c r="AI33" s="189"/>
      <c r="AJ33" s="190"/>
    </row>
    <row r="34" spans="1:36" s="33" customFormat="1" ht="16.350000000000001" hidden="1" customHeight="1">
      <c r="A34" s="33" t="s">
        <v>62</v>
      </c>
      <c r="C34" s="162"/>
      <c r="D34" s="177" t="s">
        <v>152</v>
      </c>
      <c r="E34" s="175"/>
      <c r="F34" s="176"/>
      <c r="G34" s="163" t="s">
        <v>153</v>
      </c>
      <c r="H34" s="164" t="s">
        <v>22</v>
      </c>
      <c r="I34" s="165"/>
      <c r="J34" s="178"/>
      <c r="K34" s="178"/>
      <c r="L34" s="178"/>
      <c r="M34" s="178"/>
      <c r="N34" s="178"/>
      <c r="O34" s="178"/>
      <c r="P34" s="178"/>
      <c r="Q34" s="178"/>
      <c r="R34" s="178"/>
      <c r="S34" s="178"/>
      <c r="T34" s="178"/>
      <c r="U34" s="178"/>
      <c r="V34" s="178"/>
      <c r="W34" s="166"/>
      <c r="X34" s="166"/>
      <c r="Y34" s="167"/>
      <c r="Z34" s="196"/>
      <c r="AA34" s="168"/>
      <c r="AB34" s="168"/>
      <c r="AC34" s="168"/>
      <c r="AD34" s="168"/>
      <c r="AE34" s="168"/>
      <c r="AF34" s="163"/>
      <c r="AG34" s="169"/>
      <c r="AH34" s="168"/>
      <c r="AI34" s="221"/>
      <c r="AJ34" s="34"/>
    </row>
    <row r="35" spans="1:36" s="33" customFormat="1" ht="34.35" hidden="1" customHeight="1">
      <c r="A35" s="33" t="s">
        <v>62</v>
      </c>
      <c r="B35" s="33" t="s">
        <v>66</v>
      </c>
      <c r="C35" s="49" t="s">
        <v>154</v>
      </c>
      <c r="D35" s="87" t="s">
        <v>155</v>
      </c>
      <c r="E35" s="49" t="s">
        <v>69</v>
      </c>
      <c r="F35" s="51"/>
      <c r="G35" s="52" t="s">
        <v>156</v>
      </c>
      <c r="H35" s="53" t="s">
        <v>22</v>
      </c>
      <c r="I35" s="54" t="s">
        <v>4</v>
      </c>
      <c r="J35" s="178"/>
      <c r="K35" s="178"/>
      <c r="L35" s="178"/>
      <c r="M35" s="178"/>
      <c r="N35" s="178"/>
      <c r="O35" s="178"/>
      <c r="P35" s="178"/>
      <c r="Q35" s="178"/>
      <c r="R35" s="178"/>
      <c r="S35" s="178"/>
      <c r="T35" s="178"/>
      <c r="U35" s="178"/>
      <c r="V35" s="178"/>
      <c r="W35" s="55"/>
      <c r="X35" s="55"/>
      <c r="Y35" s="56"/>
      <c r="Z35" s="197" t="s">
        <v>127</v>
      </c>
      <c r="AA35" s="52"/>
      <c r="AB35" s="52"/>
      <c r="AC35" s="52"/>
      <c r="AD35" s="52"/>
      <c r="AE35" s="52"/>
      <c r="AF35" s="57"/>
      <c r="AG35" s="58"/>
      <c r="AH35" s="52"/>
      <c r="AI35" s="220"/>
      <c r="AJ35" s="34"/>
    </row>
    <row r="36" spans="1:36" s="33" customFormat="1" hidden="1">
      <c r="A36" s="33" t="s">
        <v>62</v>
      </c>
      <c r="C36" s="162"/>
      <c r="D36" s="177" t="s">
        <v>157</v>
      </c>
      <c r="E36" s="175"/>
      <c r="F36" s="176"/>
      <c r="G36" s="163" t="s">
        <v>158</v>
      </c>
      <c r="H36" s="164" t="s">
        <v>22</v>
      </c>
      <c r="I36" s="165"/>
      <c r="J36" s="178"/>
      <c r="K36" s="178"/>
      <c r="L36" s="178"/>
      <c r="M36" s="178"/>
      <c r="N36" s="178"/>
      <c r="O36" s="178"/>
      <c r="P36" s="178"/>
      <c r="Q36" s="178"/>
      <c r="R36" s="178"/>
      <c r="S36" s="178"/>
      <c r="T36" s="178"/>
      <c r="U36" s="178"/>
      <c r="V36" s="178"/>
      <c r="W36" s="166"/>
      <c r="X36" s="166"/>
      <c r="Y36" s="167"/>
      <c r="Z36" s="196"/>
      <c r="AA36" s="168"/>
      <c r="AB36" s="168"/>
      <c r="AC36" s="168"/>
      <c r="AD36" s="168"/>
      <c r="AE36" s="168"/>
      <c r="AF36" s="163"/>
      <c r="AG36" s="169"/>
      <c r="AH36" s="168"/>
      <c r="AI36" s="221"/>
      <c r="AJ36" s="34"/>
    </row>
    <row r="37" spans="1:36" s="33" customFormat="1" hidden="1">
      <c r="A37" s="33" t="s">
        <v>62</v>
      </c>
      <c r="B37" s="33" t="s">
        <v>66</v>
      </c>
      <c r="C37" s="49" t="s">
        <v>159</v>
      </c>
      <c r="D37" s="87" t="s">
        <v>160</v>
      </c>
      <c r="E37" s="49" t="s">
        <v>69</v>
      </c>
      <c r="F37" s="51"/>
      <c r="G37" s="182" t="s">
        <v>161</v>
      </c>
      <c r="H37" s="53" t="s">
        <v>22</v>
      </c>
      <c r="I37" s="54" t="s">
        <v>4</v>
      </c>
      <c r="J37" s="178"/>
      <c r="K37" s="178"/>
      <c r="L37" s="178"/>
      <c r="M37" s="178"/>
      <c r="N37" s="178"/>
      <c r="O37" s="178"/>
      <c r="P37" s="178"/>
      <c r="Q37" s="178"/>
      <c r="R37" s="178"/>
      <c r="S37" s="178"/>
      <c r="T37" s="178"/>
      <c r="U37" s="178"/>
      <c r="V37" s="178"/>
      <c r="W37" s="55"/>
      <c r="X37" s="55"/>
      <c r="Y37" s="56"/>
      <c r="Z37" s="197" t="s">
        <v>127</v>
      </c>
      <c r="AA37" s="52"/>
      <c r="AB37" s="52"/>
      <c r="AC37" s="52"/>
      <c r="AD37" s="52"/>
      <c r="AE37" s="52"/>
      <c r="AF37" s="57"/>
      <c r="AG37" s="58"/>
      <c r="AH37" s="52"/>
      <c r="AI37" s="159"/>
      <c r="AJ37" s="34"/>
    </row>
    <row r="38" spans="1:36" s="33" customFormat="1" ht="34.5" hidden="1" customHeight="1">
      <c r="A38" s="33" t="s">
        <v>62</v>
      </c>
      <c r="B38" s="33" t="s">
        <v>162</v>
      </c>
      <c r="C38" s="49" t="s">
        <v>163</v>
      </c>
      <c r="D38" s="87" t="s">
        <v>164</v>
      </c>
      <c r="E38" s="49" t="s">
        <v>69</v>
      </c>
      <c r="F38" s="51"/>
      <c r="G38" s="204" t="s">
        <v>165</v>
      </c>
      <c r="H38" s="53"/>
      <c r="I38" s="54" t="s">
        <v>4</v>
      </c>
      <c r="J38" s="178"/>
      <c r="K38" s="178"/>
      <c r="L38" s="178"/>
      <c r="M38" s="178"/>
      <c r="N38" s="178"/>
      <c r="O38" s="178"/>
      <c r="P38" s="178"/>
      <c r="Q38" s="178"/>
      <c r="R38" s="178"/>
      <c r="S38" s="178"/>
      <c r="T38" s="178"/>
      <c r="U38" s="178"/>
      <c r="V38" s="178"/>
      <c r="W38" s="55"/>
      <c r="X38" s="55"/>
      <c r="Y38" s="56"/>
      <c r="Z38" s="197"/>
      <c r="AA38" s="52"/>
      <c r="AB38" s="52"/>
      <c r="AC38" s="52"/>
      <c r="AD38" s="52"/>
      <c r="AE38" s="52"/>
      <c r="AF38" s="57"/>
      <c r="AG38" s="58"/>
      <c r="AH38" s="52"/>
      <c r="AI38" s="220"/>
      <c r="AJ38" s="34"/>
    </row>
    <row r="39" spans="1:36" s="33" customFormat="1" ht="57.75" hidden="1" customHeight="1">
      <c r="A39" s="33" t="s">
        <v>62</v>
      </c>
      <c r="C39" s="162"/>
      <c r="D39" s="177" t="s">
        <v>166</v>
      </c>
      <c r="E39" s="175"/>
      <c r="F39" s="176"/>
      <c r="G39" s="163" t="s">
        <v>167</v>
      </c>
      <c r="H39" s="164" t="s">
        <v>22</v>
      </c>
      <c r="I39" s="165"/>
      <c r="J39" s="178"/>
      <c r="K39" s="178"/>
      <c r="L39" s="178"/>
      <c r="M39" s="178"/>
      <c r="N39" s="178"/>
      <c r="O39" s="178"/>
      <c r="P39" s="178"/>
      <c r="Q39" s="178"/>
      <c r="R39" s="178"/>
      <c r="S39" s="178"/>
      <c r="T39" s="178"/>
      <c r="U39" s="178"/>
      <c r="V39" s="178"/>
      <c r="W39" s="166"/>
      <c r="X39" s="166"/>
      <c r="Y39" s="167"/>
      <c r="Z39" s="196"/>
      <c r="AA39" s="168"/>
      <c r="AB39" s="168"/>
      <c r="AC39" s="168"/>
      <c r="AD39" s="168"/>
      <c r="AE39" s="168"/>
      <c r="AF39" s="163"/>
      <c r="AG39" s="169"/>
      <c r="AH39" s="168"/>
      <c r="AI39" s="221"/>
      <c r="AJ39" s="34"/>
    </row>
    <row r="40" spans="1:36" s="33" customFormat="1" ht="45.6" hidden="1" customHeight="1">
      <c r="A40" s="33" t="s">
        <v>62</v>
      </c>
      <c r="B40" s="33" t="s">
        <v>66</v>
      </c>
      <c r="C40" s="49" t="s">
        <v>168</v>
      </c>
      <c r="D40" s="87" t="s">
        <v>169</v>
      </c>
      <c r="E40" s="49" t="s">
        <v>69</v>
      </c>
      <c r="F40" s="51"/>
      <c r="G40" s="52" t="s">
        <v>170</v>
      </c>
      <c r="H40" s="53" t="s">
        <v>22</v>
      </c>
      <c r="I40" s="54" t="s">
        <v>4</v>
      </c>
      <c r="J40" s="178"/>
      <c r="K40" s="178"/>
      <c r="L40" s="178"/>
      <c r="M40" s="178"/>
      <c r="N40" s="178"/>
      <c r="O40" s="178"/>
      <c r="P40" s="178"/>
      <c r="Q40" s="178"/>
      <c r="R40" s="178"/>
      <c r="S40" s="178"/>
      <c r="T40" s="178"/>
      <c r="U40" s="178"/>
      <c r="V40" s="178"/>
      <c r="W40" s="55"/>
      <c r="X40" s="55"/>
      <c r="Y40" s="56"/>
      <c r="Z40" s="197" t="s">
        <v>127</v>
      </c>
      <c r="AA40" s="52"/>
      <c r="AB40" s="52"/>
      <c r="AC40" s="52"/>
      <c r="AD40" s="52"/>
      <c r="AE40" s="52"/>
      <c r="AF40" s="57"/>
      <c r="AG40" s="58"/>
      <c r="AH40" s="52"/>
      <c r="AI40" s="220"/>
      <c r="AJ40" s="34"/>
    </row>
    <row r="41" spans="1:36" s="33" customFormat="1" ht="30" hidden="1" customHeight="1">
      <c r="A41" s="33" t="s">
        <v>62</v>
      </c>
      <c r="B41" s="33" t="s">
        <v>66</v>
      </c>
      <c r="C41" s="49" t="s">
        <v>171</v>
      </c>
      <c r="D41" s="87" t="s">
        <v>172</v>
      </c>
      <c r="E41" s="49" t="s">
        <v>69</v>
      </c>
      <c r="F41" s="51"/>
      <c r="G41" s="201" t="s">
        <v>173</v>
      </c>
      <c r="H41" s="53" t="s">
        <v>22</v>
      </c>
      <c r="I41" s="54" t="s">
        <v>4</v>
      </c>
      <c r="J41" s="178"/>
      <c r="K41" s="178"/>
      <c r="L41" s="178"/>
      <c r="M41" s="178"/>
      <c r="N41" s="178"/>
      <c r="O41" s="178"/>
      <c r="P41" s="178"/>
      <c r="Q41" s="178"/>
      <c r="R41" s="178"/>
      <c r="S41" s="178"/>
      <c r="T41" s="178"/>
      <c r="U41" s="178"/>
      <c r="V41" s="178"/>
      <c r="W41" s="55"/>
      <c r="X41" s="55"/>
      <c r="Y41" s="56"/>
      <c r="Z41" s="197" t="s">
        <v>127</v>
      </c>
      <c r="AA41" s="52"/>
      <c r="AB41" s="52"/>
      <c r="AC41" s="52"/>
      <c r="AD41" s="52"/>
      <c r="AE41" s="52"/>
      <c r="AF41" s="57"/>
      <c r="AG41" s="58"/>
      <c r="AH41" s="52"/>
      <c r="AI41" s="159"/>
      <c r="AJ41" s="34"/>
    </row>
    <row r="42" spans="1:36" s="33" customFormat="1" ht="36" hidden="1" customHeight="1">
      <c r="A42" s="33" t="s">
        <v>62</v>
      </c>
      <c r="C42" s="162"/>
      <c r="D42" s="177" t="s">
        <v>174</v>
      </c>
      <c r="E42" s="175"/>
      <c r="F42" s="176"/>
      <c r="G42" s="214" t="s">
        <v>175</v>
      </c>
      <c r="H42" s="164" t="s">
        <v>22</v>
      </c>
      <c r="I42" s="165"/>
      <c r="J42" s="178"/>
      <c r="K42" s="178"/>
      <c r="L42" s="178"/>
      <c r="M42" s="178"/>
      <c r="N42" s="178"/>
      <c r="O42" s="178"/>
      <c r="P42" s="178"/>
      <c r="Q42" s="178"/>
      <c r="R42" s="178"/>
      <c r="S42" s="178"/>
      <c r="T42" s="178"/>
      <c r="U42" s="178"/>
      <c r="V42" s="178"/>
      <c r="W42" s="166"/>
      <c r="X42" s="166"/>
      <c r="Y42" s="167"/>
      <c r="Z42" s="196"/>
      <c r="AA42" s="168"/>
      <c r="AB42" s="168"/>
      <c r="AC42" s="168"/>
      <c r="AD42" s="168"/>
      <c r="AE42" s="168"/>
      <c r="AF42" s="163"/>
      <c r="AG42" s="169"/>
      <c r="AH42" s="168"/>
      <c r="AI42" s="221"/>
      <c r="AJ42" s="34"/>
    </row>
    <row r="43" spans="1:36" s="33" customFormat="1" ht="78.75" hidden="1" customHeight="1">
      <c r="A43" s="33" t="s">
        <v>62</v>
      </c>
      <c r="B43" s="33" t="s">
        <v>66</v>
      </c>
      <c r="C43" s="49" t="s">
        <v>176</v>
      </c>
      <c r="D43" s="87" t="s">
        <v>177</v>
      </c>
      <c r="E43" s="49" t="s">
        <v>69</v>
      </c>
      <c r="F43" s="51"/>
      <c r="G43" s="182" t="s">
        <v>178</v>
      </c>
      <c r="H43" s="53" t="s">
        <v>22</v>
      </c>
      <c r="I43" s="54" t="s">
        <v>71</v>
      </c>
      <c r="J43" s="178"/>
      <c r="K43" s="178"/>
      <c r="L43" s="178"/>
      <c r="M43" s="178"/>
      <c r="N43" s="178"/>
      <c r="O43" s="178"/>
      <c r="P43" s="178"/>
      <c r="Q43" s="178"/>
      <c r="R43" s="178"/>
      <c r="S43" s="178"/>
      <c r="T43" s="178"/>
      <c r="U43" s="178"/>
      <c r="V43" s="178"/>
      <c r="W43" s="55"/>
      <c r="X43" s="55"/>
      <c r="Y43" s="56"/>
      <c r="Z43" s="264" t="s">
        <v>179</v>
      </c>
      <c r="AA43" s="52"/>
      <c r="AB43" s="52"/>
      <c r="AC43" s="52"/>
      <c r="AD43" s="52"/>
      <c r="AE43" s="52"/>
      <c r="AF43" s="57"/>
      <c r="AG43" s="58"/>
      <c r="AH43" s="52"/>
      <c r="AI43" s="159"/>
      <c r="AJ43" s="34"/>
    </row>
    <row r="44" spans="1:36" s="33" customFormat="1" ht="54" hidden="1" customHeight="1">
      <c r="A44" s="33" t="s">
        <v>62</v>
      </c>
      <c r="B44" s="33" t="s">
        <v>66</v>
      </c>
      <c r="C44" s="49" t="s">
        <v>180</v>
      </c>
      <c r="D44" s="87" t="s">
        <v>181</v>
      </c>
      <c r="E44" s="49" t="s">
        <v>69</v>
      </c>
      <c r="F44" s="51"/>
      <c r="G44" s="205" t="s">
        <v>182</v>
      </c>
      <c r="H44" s="53" t="s">
        <v>22</v>
      </c>
      <c r="I44" s="54" t="s">
        <v>4</v>
      </c>
      <c r="J44" s="178"/>
      <c r="K44" s="178"/>
      <c r="L44" s="178"/>
      <c r="M44" s="178"/>
      <c r="N44" s="178"/>
      <c r="O44" s="178"/>
      <c r="P44" s="178"/>
      <c r="Q44" s="178"/>
      <c r="R44" s="178"/>
      <c r="S44" s="178"/>
      <c r="T44" s="178"/>
      <c r="U44" s="178"/>
      <c r="V44" s="178"/>
      <c r="W44" s="55"/>
      <c r="X44" s="55"/>
      <c r="Y44" s="56"/>
      <c r="Z44" s="197"/>
      <c r="AA44" s="52"/>
      <c r="AB44" s="52"/>
      <c r="AC44" s="52"/>
      <c r="AD44" s="52"/>
      <c r="AE44" s="52"/>
      <c r="AF44" s="57"/>
      <c r="AG44" s="58"/>
      <c r="AH44" s="52"/>
      <c r="AI44" s="220"/>
      <c r="AJ44" s="34"/>
    </row>
    <row r="45" spans="1:36" s="33" customFormat="1" ht="34.5" customHeight="1">
      <c r="A45" s="33" t="s">
        <v>62</v>
      </c>
      <c r="B45" s="33" t="s">
        <v>88</v>
      </c>
      <c r="C45" s="49" t="s">
        <v>183</v>
      </c>
      <c r="D45" s="87" t="s">
        <v>184</v>
      </c>
      <c r="E45" s="49" t="s">
        <v>69</v>
      </c>
      <c r="F45" s="51"/>
      <c r="G45" s="210" t="s">
        <v>185</v>
      </c>
      <c r="H45" s="53"/>
      <c r="I45" s="54" t="s">
        <v>92</v>
      </c>
      <c r="J45" s="178"/>
      <c r="K45" s="178"/>
      <c r="L45" s="178"/>
      <c r="M45" s="178"/>
      <c r="N45" s="178"/>
      <c r="O45" s="178"/>
      <c r="P45" s="178"/>
      <c r="Q45" s="178"/>
      <c r="R45" s="178"/>
      <c r="S45" s="178"/>
      <c r="T45" s="178"/>
      <c r="U45" s="178"/>
      <c r="V45" s="178"/>
      <c r="W45" s="55"/>
      <c r="X45" s="55"/>
      <c r="Y45" s="56"/>
      <c r="Z45" s="197" t="s">
        <v>93</v>
      </c>
      <c r="AA45" s="52"/>
      <c r="AB45" s="52"/>
      <c r="AC45" s="52"/>
      <c r="AD45" s="52"/>
      <c r="AE45" s="52"/>
      <c r="AF45" s="57"/>
      <c r="AG45" s="58"/>
      <c r="AH45" s="52"/>
      <c r="AI45" s="220"/>
      <c r="AJ45" s="34"/>
    </row>
    <row r="46" spans="1:36" s="33" customFormat="1" ht="33" hidden="1" customHeight="1">
      <c r="A46" s="33" t="s">
        <v>62</v>
      </c>
      <c r="C46" s="162"/>
      <c r="D46" s="177" t="s">
        <v>186</v>
      </c>
      <c r="E46" s="175"/>
      <c r="F46" s="176"/>
      <c r="G46" s="163" t="s">
        <v>187</v>
      </c>
      <c r="H46" s="164" t="s">
        <v>22</v>
      </c>
      <c r="I46" s="165"/>
      <c r="J46" s="178"/>
      <c r="K46" s="178"/>
      <c r="L46" s="178"/>
      <c r="M46" s="178"/>
      <c r="N46" s="178"/>
      <c r="O46" s="178"/>
      <c r="P46" s="178"/>
      <c r="Q46" s="178"/>
      <c r="R46" s="178"/>
      <c r="S46" s="178"/>
      <c r="T46" s="178"/>
      <c r="U46" s="178"/>
      <c r="V46" s="178"/>
      <c r="W46" s="166"/>
      <c r="X46" s="166"/>
      <c r="Y46" s="167"/>
      <c r="Z46" s="196"/>
      <c r="AA46" s="168"/>
      <c r="AB46" s="168"/>
      <c r="AC46" s="168"/>
      <c r="AD46" s="168"/>
      <c r="AE46" s="168"/>
      <c r="AF46" s="163"/>
      <c r="AG46" s="169"/>
      <c r="AH46" s="168"/>
      <c r="AI46" s="221"/>
      <c r="AJ46" s="34"/>
    </row>
    <row r="47" spans="1:36" s="33" customFormat="1" ht="34.5" hidden="1" customHeight="1">
      <c r="A47" s="33" t="s">
        <v>62</v>
      </c>
      <c r="B47" s="33" t="s">
        <v>66</v>
      </c>
      <c r="C47" s="49" t="s">
        <v>188</v>
      </c>
      <c r="D47" s="87" t="s">
        <v>189</v>
      </c>
      <c r="E47" s="49" t="s">
        <v>69</v>
      </c>
      <c r="F47" s="51"/>
      <c r="G47" s="182" t="s">
        <v>190</v>
      </c>
      <c r="H47" s="53" t="s">
        <v>22</v>
      </c>
      <c r="I47" s="54" t="s">
        <v>4</v>
      </c>
      <c r="J47" s="178"/>
      <c r="K47" s="178"/>
      <c r="L47" s="178"/>
      <c r="M47" s="178"/>
      <c r="N47" s="178"/>
      <c r="O47" s="178"/>
      <c r="P47" s="178"/>
      <c r="Q47" s="178"/>
      <c r="R47" s="178"/>
      <c r="S47" s="178"/>
      <c r="T47" s="178"/>
      <c r="U47" s="178"/>
      <c r="V47" s="178"/>
      <c r="W47" s="55"/>
      <c r="X47" s="55"/>
      <c r="Y47" s="56"/>
      <c r="Z47" s="264" t="s">
        <v>191</v>
      </c>
      <c r="AA47" s="52"/>
      <c r="AB47" s="52"/>
      <c r="AC47" s="52"/>
      <c r="AD47" s="52"/>
      <c r="AE47" s="52"/>
      <c r="AF47" s="57"/>
      <c r="AG47" s="58"/>
      <c r="AH47" s="52"/>
      <c r="AI47" s="159"/>
      <c r="AJ47" s="34"/>
    </row>
    <row r="48" spans="1:36" s="33" customFormat="1" ht="34.35" hidden="1" customHeight="1">
      <c r="A48" s="33" t="s">
        <v>62</v>
      </c>
      <c r="C48" s="162"/>
      <c r="D48" s="177" t="s">
        <v>192</v>
      </c>
      <c r="E48" s="175"/>
      <c r="F48" s="176"/>
      <c r="G48" s="163" t="s">
        <v>193</v>
      </c>
      <c r="H48" s="164" t="s">
        <v>22</v>
      </c>
      <c r="I48" s="165"/>
      <c r="J48" s="178"/>
      <c r="K48" s="178"/>
      <c r="L48" s="178"/>
      <c r="M48" s="178"/>
      <c r="N48" s="178"/>
      <c r="O48" s="178"/>
      <c r="P48" s="178"/>
      <c r="Q48" s="178"/>
      <c r="R48" s="178"/>
      <c r="S48" s="178"/>
      <c r="T48" s="178"/>
      <c r="U48" s="178"/>
      <c r="V48" s="178"/>
      <c r="W48" s="166"/>
      <c r="X48" s="166"/>
      <c r="Y48" s="167"/>
      <c r="Z48" s="196"/>
      <c r="AA48" s="168"/>
      <c r="AB48" s="168"/>
      <c r="AC48" s="168"/>
      <c r="AD48" s="168"/>
      <c r="AE48" s="168"/>
      <c r="AF48" s="163"/>
      <c r="AG48" s="169"/>
      <c r="AH48" s="168"/>
      <c r="AI48" s="221"/>
      <c r="AJ48" s="34"/>
    </row>
    <row r="49" spans="1:36" s="33" customFormat="1" ht="19.350000000000001" hidden="1" customHeight="1">
      <c r="A49" s="33" t="s">
        <v>75</v>
      </c>
      <c r="B49" s="33" t="s">
        <v>66</v>
      </c>
      <c r="C49" s="49" t="s">
        <v>194</v>
      </c>
      <c r="D49" s="87" t="s">
        <v>195</v>
      </c>
      <c r="E49" s="49" t="s">
        <v>69</v>
      </c>
      <c r="F49" s="51"/>
      <c r="G49" s="182" t="s">
        <v>196</v>
      </c>
      <c r="H49" s="53" t="s">
        <v>22</v>
      </c>
      <c r="I49" s="54" t="s">
        <v>4</v>
      </c>
      <c r="J49" s="178"/>
      <c r="K49" s="178"/>
      <c r="L49" s="178"/>
      <c r="M49" s="178"/>
      <c r="N49" s="178"/>
      <c r="O49" s="178"/>
      <c r="P49" s="178"/>
      <c r="Q49" s="178"/>
      <c r="R49" s="178"/>
      <c r="S49" s="178"/>
      <c r="T49" s="178"/>
      <c r="U49" s="178"/>
      <c r="V49" s="178"/>
      <c r="W49" s="55"/>
      <c r="X49" s="55"/>
      <c r="Y49" s="56"/>
      <c r="Z49" s="197" t="s">
        <v>127</v>
      </c>
      <c r="AA49" s="52"/>
      <c r="AB49" s="52"/>
      <c r="AC49" s="52"/>
      <c r="AD49" s="52"/>
      <c r="AE49" s="52"/>
      <c r="AF49" s="57"/>
      <c r="AG49" s="58"/>
      <c r="AH49" s="52"/>
      <c r="AI49" s="159"/>
      <c r="AJ49" s="34"/>
    </row>
    <row r="50" spans="1:36" ht="27.6">
      <c r="A50" s="39" t="s">
        <v>75</v>
      </c>
      <c r="B50" s="39" t="s">
        <v>88</v>
      </c>
      <c r="C50" s="66" t="s">
        <v>197</v>
      </c>
      <c r="D50" s="155" t="s">
        <v>198</v>
      </c>
      <c r="E50" s="49" t="s">
        <v>69</v>
      </c>
      <c r="F50" s="51"/>
      <c r="G50" s="204" t="s">
        <v>199</v>
      </c>
      <c r="I50" s="54" t="s">
        <v>92</v>
      </c>
      <c r="Y50" s="56"/>
      <c r="Z50" s="197" t="s">
        <v>200</v>
      </c>
      <c r="AF50" s="57"/>
      <c r="AI50" s="220"/>
    </row>
    <row r="51" spans="1:36" s="33" customFormat="1" ht="52.35" hidden="1" customHeight="1">
      <c r="A51" s="33" t="s">
        <v>62</v>
      </c>
      <c r="C51" s="162"/>
      <c r="D51" s="177" t="s">
        <v>201</v>
      </c>
      <c r="E51" s="175"/>
      <c r="F51" s="176"/>
      <c r="G51" s="163" t="s">
        <v>202</v>
      </c>
      <c r="H51" s="164" t="s">
        <v>22</v>
      </c>
      <c r="I51" s="165"/>
      <c r="J51" s="178"/>
      <c r="K51" s="178"/>
      <c r="L51" s="178"/>
      <c r="M51" s="178"/>
      <c r="N51" s="178"/>
      <c r="O51" s="178"/>
      <c r="P51" s="178"/>
      <c r="Q51" s="178"/>
      <c r="R51" s="178"/>
      <c r="S51" s="178"/>
      <c r="T51" s="178"/>
      <c r="U51" s="178"/>
      <c r="V51" s="178"/>
      <c r="W51" s="166"/>
      <c r="X51" s="166"/>
      <c r="Y51" s="167"/>
      <c r="Z51" s="196"/>
      <c r="AA51" s="168"/>
      <c r="AB51" s="168"/>
      <c r="AC51" s="168"/>
      <c r="AD51" s="168"/>
      <c r="AE51" s="168"/>
      <c r="AF51" s="163"/>
      <c r="AG51" s="169"/>
      <c r="AH51" s="168"/>
      <c r="AI51" s="221"/>
      <c r="AJ51" s="34"/>
    </row>
    <row r="52" spans="1:36" s="33" customFormat="1" ht="34.5" hidden="1" customHeight="1">
      <c r="A52" s="33" t="s">
        <v>75</v>
      </c>
      <c r="B52" s="33" t="s">
        <v>162</v>
      </c>
      <c r="C52" s="49" t="s">
        <v>203</v>
      </c>
      <c r="D52" s="87" t="s">
        <v>204</v>
      </c>
      <c r="E52" s="49" t="s">
        <v>69</v>
      </c>
      <c r="F52" s="51"/>
      <c r="G52" s="52" t="s">
        <v>1550</v>
      </c>
      <c r="H52" s="53" t="s">
        <v>22</v>
      </c>
      <c r="I52" s="54" t="s">
        <v>4</v>
      </c>
      <c r="J52" s="178"/>
      <c r="K52" s="178"/>
      <c r="L52" s="178"/>
      <c r="M52" s="178"/>
      <c r="N52" s="178"/>
      <c r="O52" s="178"/>
      <c r="P52" s="178"/>
      <c r="Q52" s="178"/>
      <c r="R52" s="178"/>
      <c r="S52" s="178"/>
      <c r="T52" s="178"/>
      <c r="U52" s="178"/>
      <c r="V52" s="178"/>
      <c r="W52" s="55"/>
      <c r="X52" s="55"/>
      <c r="Y52" s="56"/>
      <c r="Z52" s="197" t="s">
        <v>127</v>
      </c>
      <c r="AA52" s="52"/>
      <c r="AB52" s="52"/>
      <c r="AC52" s="52"/>
      <c r="AD52" s="52"/>
      <c r="AE52" s="52"/>
      <c r="AF52" s="57"/>
      <c r="AG52" s="58"/>
      <c r="AH52" s="52"/>
      <c r="AI52" s="220"/>
      <c r="AJ52" s="34"/>
    </row>
    <row r="53" spans="1:36" s="33" customFormat="1" ht="33" hidden="1" customHeight="1">
      <c r="A53" s="33" t="s">
        <v>62</v>
      </c>
      <c r="B53" s="33" t="s">
        <v>66</v>
      </c>
      <c r="C53" s="49" t="s">
        <v>205</v>
      </c>
      <c r="D53" s="87" t="s">
        <v>206</v>
      </c>
      <c r="E53" s="49" t="s">
        <v>69</v>
      </c>
      <c r="F53" s="51"/>
      <c r="G53" s="52" t="s">
        <v>207</v>
      </c>
      <c r="H53" s="53" t="s">
        <v>22</v>
      </c>
      <c r="I53" s="54" t="s">
        <v>71</v>
      </c>
      <c r="J53" s="178"/>
      <c r="K53" s="178"/>
      <c r="L53" s="178"/>
      <c r="M53" s="178"/>
      <c r="N53" s="178"/>
      <c r="O53" s="178"/>
      <c r="P53" s="178"/>
      <c r="Q53" s="178"/>
      <c r="R53" s="178"/>
      <c r="S53" s="178"/>
      <c r="T53" s="178"/>
      <c r="U53" s="178"/>
      <c r="V53" s="178"/>
      <c r="W53" s="55"/>
      <c r="X53" s="55"/>
      <c r="Y53" s="56"/>
      <c r="Z53" s="197" t="s">
        <v>208</v>
      </c>
      <c r="AA53" s="52"/>
      <c r="AB53" s="52"/>
      <c r="AC53" s="52"/>
      <c r="AD53" s="52"/>
      <c r="AE53" s="52"/>
      <c r="AF53" s="57"/>
      <c r="AG53" s="58"/>
      <c r="AH53" s="52"/>
      <c r="AI53" s="159"/>
      <c r="AJ53" s="34"/>
    </row>
    <row r="54" spans="1:36" s="33" customFormat="1" ht="34.5" hidden="1" customHeight="1">
      <c r="A54" s="33" t="s">
        <v>62</v>
      </c>
      <c r="C54" s="162"/>
      <c r="D54" s="177" t="s">
        <v>209</v>
      </c>
      <c r="E54" s="175"/>
      <c r="F54" s="176"/>
      <c r="G54" s="163" t="s">
        <v>210</v>
      </c>
      <c r="H54" s="164" t="s">
        <v>22</v>
      </c>
      <c r="I54" s="165"/>
      <c r="J54" s="178"/>
      <c r="K54" s="178"/>
      <c r="L54" s="178"/>
      <c r="M54" s="178"/>
      <c r="N54" s="178"/>
      <c r="O54" s="178"/>
      <c r="P54" s="178"/>
      <c r="Q54" s="178"/>
      <c r="R54" s="178"/>
      <c r="S54" s="178"/>
      <c r="T54" s="178"/>
      <c r="U54" s="178"/>
      <c r="V54" s="178"/>
      <c r="W54" s="166"/>
      <c r="X54" s="166"/>
      <c r="Y54" s="167"/>
      <c r="Z54" s="196"/>
      <c r="AA54" s="168"/>
      <c r="AB54" s="168"/>
      <c r="AC54" s="168"/>
      <c r="AD54" s="168"/>
      <c r="AE54" s="168"/>
      <c r="AF54" s="163"/>
      <c r="AG54" s="169"/>
      <c r="AH54" s="168"/>
      <c r="AI54" s="170"/>
      <c r="AJ54" s="34"/>
    </row>
    <row r="55" spans="1:36" s="33" customFormat="1" ht="20.100000000000001" hidden="1" customHeight="1">
      <c r="A55" s="33" t="s">
        <v>62</v>
      </c>
      <c r="B55" s="33" t="s">
        <v>66</v>
      </c>
      <c r="C55" s="49" t="s">
        <v>211</v>
      </c>
      <c r="D55" s="87" t="s">
        <v>212</v>
      </c>
      <c r="E55" s="49" t="s">
        <v>69</v>
      </c>
      <c r="F55" s="51"/>
      <c r="G55" s="182" t="s">
        <v>213</v>
      </c>
      <c r="H55" s="53" t="s">
        <v>22</v>
      </c>
      <c r="I55" s="54" t="s">
        <v>71</v>
      </c>
      <c r="J55" s="178"/>
      <c r="K55" s="178"/>
      <c r="L55" s="178"/>
      <c r="M55" s="178"/>
      <c r="N55" s="178"/>
      <c r="O55" s="178"/>
      <c r="P55" s="178"/>
      <c r="Q55" s="178"/>
      <c r="R55" s="178"/>
      <c r="S55" s="178"/>
      <c r="T55" s="178"/>
      <c r="U55" s="178"/>
      <c r="V55" s="178"/>
      <c r="W55" s="55"/>
      <c r="X55" s="55"/>
      <c r="Y55" s="56"/>
      <c r="Z55" s="197" t="s">
        <v>214</v>
      </c>
      <c r="AA55" s="52"/>
      <c r="AB55" s="52"/>
      <c r="AC55" s="52"/>
      <c r="AD55" s="52"/>
      <c r="AE55" s="52"/>
      <c r="AF55" s="57"/>
      <c r="AG55" s="58"/>
      <c r="AH55" s="52"/>
      <c r="AI55" s="159"/>
      <c r="AJ55" s="34"/>
    </row>
    <row r="56" spans="1:36" s="33" customFormat="1" ht="27.6" hidden="1">
      <c r="A56" s="33" t="s">
        <v>62</v>
      </c>
      <c r="C56" s="162"/>
      <c r="D56" s="177" t="s">
        <v>215</v>
      </c>
      <c r="E56" s="175"/>
      <c r="F56" s="176"/>
      <c r="G56" s="214" t="s">
        <v>216</v>
      </c>
      <c r="H56" s="164" t="s">
        <v>22</v>
      </c>
      <c r="I56" s="165"/>
      <c r="J56" s="178"/>
      <c r="K56" s="178"/>
      <c r="L56" s="178"/>
      <c r="M56" s="178"/>
      <c r="N56" s="178"/>
      <c r="O56" s="178"/>
      <c r="P56" s="178"/>
      <c r="Q56" s="178"/>
      <c r="R56" s="178"/>
      <c r="S56" s="178"/>
      <c r="T56" s="178"/>
      <c r="U56" s="178"/>
      <c r="V56" s="178"/>
      <c r="W56" s="166"/>
      <c r="X56" s="166"/>
      <c r="Y56" s="167"/>
      <c r="Z56" s="196"/>
      <c r="AA56" s="168"/>
      <c r="AB56" s="168"/>
      <c r="AC56" s="168"/>
      <c r="AD56" s="168"/>
      <c r="AE56" s="168"/>
      <c r="AF56" s="163"/>
      <c r="AG56" s="169"/>
      <c r="AH56" s="168"/>
      <c r="AI56" s="221"/>
      <c r="AJ56" s="34"/>
    </row>
    <row r="57" spans="1:36" s="33" customFormat="1" ht="34.5" hidden="1" customHeight="1">
      <c r="A57" s="33" t="s">
        <v>62</v>
      </c>
      <c r="B57" s="33" t="s">
        <v>66</v>
      </c>
      <c r="C57" s="49" t="s">
        <v>217</v>
      </c>
      <c r="D57" s="87" t="s">
        <v>218</v>
      </c>
      <c r="E57" s="49" t="s">
        <v>69</v>
      </c>
      <c r="F57" s="51"/>
      <c r="G57" s="52" t="s">
        <v>219</v>
      </c>
      <c r="H57" s="53"/>
      <c r="I57" s="54" t="s">
        <v>92</v>
      </c>
      <c r="J57" s="178"/>
      <c r="K57" s="178"/>
      <c r="L57" s="178"/>
      <c r="M57" s="178"/>
      <c r="N57" s="178"/>
      <c r="O57" s="178"/>
      <c r="P57" s="178"/>
      <c r="Q57" s="178"/>
      <c r="R57" s="178"/>
      <c r="S57" s="178"/>
      <c r="T57" s="178"/>
      <c r="U57" s="178"/>
      <c r="V57" s="178"/>
      <c r="W57" s="55"/>
      <c r="X57" s="55"/>
      <c r="Y57" s="56"/>
      <c r="Z57" s="197" t="s">
        <v>220</v>
      </c>
      <c r="AA57" s="52"/>
      <c r="AB57" s="52"/>
      <c r="AC57" s="52"/>
      <c r="AD57" s="52"/>
      <c r="AE57" s="52"/>
      <c r="AF57" s="57"/>
      <c r="AG57" s="58"/>
      <c r="AH57" s="52"/>
      <c r="AI57" s="220"/>
      <c r="AJ57" s="34"/>
    </row>
    <row r="58" spans="1:36" s="33" customFormat="1" ht="27.6" hidden="1">
      <c r="A58" s="33" t="s">
        <v>62</v>
      </c>
      <c r="C58" s="162"/>
      <c r="D58" s="177" t="s">
        <v>221</v>
      </c>
      <c r="E58" s="175"/>
      <c r="F58" s="176"/>
      <c r="G58" s="163" t="s">
        <v>222</v>
      </c>
      <c r="H58" s="164" t="s">
        <v>22</v>
      </c>
      <c r="I58" s="165"/>
      <c r="J58" s="178"/>
      <c r="K58" s="178"/>
      <c r="L58" s="178"/>
      <c r="M58" s="178"/>
      <c r="N58" s="178"/>
      <c r="O58" s="178"/>
      <c r="P58" s="178"/>
      <c r="Q58" s="178"/>
      <c r="R58" s="178"/>
      <c r="S58" s="178"/>
      <c r="T58" s="178"/>
      <c r="U58" s="178"/>
      <c r="V58" s="178"/>
      <c r="W58" s="166"/>
      <c r="X58" s="166"/>
      <c r="Y58" s="167"/>
      <c r="Z58" s="196"/>
      <c r="AA58" s="168"/>
      <c r="AB58" s="168"/>
      <c r="AC58" s="168"/>
      <c r="AD58" s="168"/>
      <c r="AE58" s="168"/>
      <c r="AF58" s="163"/>
      <c r="AG58" s="169"/>
      <c r="AH58" s="168"/>
      <c r="AI58" s="221"/>
      <c r="AJ58" s="34"/>
    </row>
    <row r="59" spans="1:36" s="33" customFormat="1" ht="66.599999999999994" hidden="1" customHeight="1">
      <c r="A59" s="33" t="s">
        <v>62</v>
      </c>
      <c r="B59" s="33" t="s">
        <v>66</v>
      </c>
      <c r="C59" s="49" t="s">
        <v>223</v>
      </c>
      <c r="D59" s="87" t="s">
        <v>224</v>
      </c>
      <c r="E59" s="49" t="s">
        <v>69</v>
      </c>
      <c r="F59" s="51"/>
      <c r="G59" s="52" t="s">
        <v>225</v>
      </c>
      <c r="H59" s="53" t="s">
        <v>22</v>
      </c>
      <c r="I59" s="54" t="s">
        <v>4</v>
      </c>
      <c r="J59" s="178"/>
      <c r="K59" s="178"/>
      <c r="L59" s="178"/>
      <c r="M59" s="178"/>
      <c r="N59" s="178"/>
      <c r="O59" s="178"/>
      <c r="P59" s="178"/>
      <c r="Q59" s="178"/>
      <c r="R59" s="178"/>
      <c r="S59" s="178"/>
      <c r="T59" s="178"/>
      <c r="U59" s="178"/>
      <c r="V59" s="178"/>
      <c r="W59" s="55"/>
      <c r="X59" s="55"/>
      <c r="Y59" s="56"/>
      <c r="Z59" s="197" t="s">
        <v>127</v>
      </c>
      <c r="AA59" s="52"/>
      <c r="AB59" s="52"/>
      <c r="AC59" s="52"/>
      <c r="AD59" s="52"/>
      <c r="AE59" s="52"/>
      <c r="AF59" s="57"/>
      <c r="AG59" s="58"/>
      <c r="AH59" s="52"/>
      <c r="AI59" s="220"/>
      <c r="AJ59" s="34"/>
    </row>
    <row r="60" spans="1:36" s="33" customFormat="1" ht="69">
      <c r="A60" s="33" t="s">
        <v>62</v>
      </c>
      <c r="B60" s="33" t="s">
        <v>88</v>
      </c>
      <c r="C60" s="49" t="s">
        <v>226</v>
      </c>
      <c r="D60" s="87" t="s">
        <v>227</v>
      </c>
      <c r="E60" s="49" t="s">
        <v>69</v>
      </c>
      <c r="F60" s="51"/>
      <c r="G60" s="52" t="s">
        <v>228</v>
      </c>
      <c r="H60" s="53"/>
      <c r="I60" s="54" t="s">
        <v>92</v>
      </c>
      <c r="J60" s="178"/>
      <c r="K60" s="178"/>
      <c r="L60" s="178"/>
      <c r="M60" s="178"/>
      <c r="N60" s="178"/>
      <c r="O60" s="178"/>
      <c r="P60" s="178"/>
      <c r="Q60" s="178"/>
      <c r="R60" s="178"/>
      <c r="S60" s="178"/>
      <c r="T60" s="178"/>
      <c r="U60" s="178"/>
      <c r="V60" s="178"/>
      <c r="W60" s="55"/>
      <c r="X60" s="55"/>
      <c r="Y60" s="56"/>
      <c r="Z60" s="197" t="s">
        <v>229</v>
      </c>
      <c r="AA60" s="52"/>
      <c r="AB60" s="52"/>
      <c r="AC60" s="52"/>
      <c r="AD60" s="52"/>
      <c r="AE60" s="52"/>
      <c r="AF60" s="57"/>
      <c r="AG60" s="58"/>
      <c r="AH60" s="52"/>
      <c r="AI60" s="159"/>
      <c r="AJ60" s="34"/>
    </row>
    <row r="61" spans="1:36" s="33" customFormat="1" ht="30.6" hidden="1" customHeight="1">
      <c r="A61" s="39" t="s">
        <v>62</v>
      </c>
      <c r="B61" s="39" t="s">
        <v>88</v>
      </c>
      <c r="C61" s="49" t="s">
        <v>230</v>
      </c>
      <c r="D61" s="87" t="s">
        <v>231</v>
      </c>
      <c r="E61" s="49" t="s">
        <v>96</v>
      </c>
      <c r="F61" s="51"/>
      <c r="G61" s="52" t="s">
        <v>232</v>
      </c>
      <c r="H61" s="53"/>
      <c r="I61" s="54" t="s">
        <v>92</v>
      </c>
      <c r="J61" s="178"/>
      <c r="K61" s="178"/>
      <c r="L61" s="178"/>
      <c r="M61" s="178"/>
      <c r="N61" s="178"/>
      <c r="O61" s="178"/>
      <c r="P61" s="178"/>
      <c r="Q61" s="178"/>
      <c r="R61" s="178"/>
      <c r="S61" s="178"/>
      <c r="T61" s="178"/>
      <c r="U61" s="178"/>
      <c r="V61" s="178"/>
      <c r="W61" s="55"/>
      <c r="X61" s="55"/>
      <c r="Y61" s="56"/>
      <c r="Z61" s="197" t="s">
        <v>233</v>
      </c>
      <c r="AA61" s="52"/>
      <c r="AB61" s="52"/>
      <c r="AC61" s="52"/>
      <c r="AD61" s="52"/>
      <c r="AE61" s="52"/>
      <c r="AF61" s="57"/>
      <c r="AG61" s="58"/>
      <c r="AH61" s="52"/>
      <c r="AI61" s="159"/>
      <c r="AJ61" s="34"/>
    </row>
    <row r="62" spans="1:36" s="33" customFormat="1" ht="82.8" hidden="1">
      <c r="A62" s="33" t="s">
        <v>62</v>
      </c>
      <c r="C62" s="162"/>
      <c r="D62" s="177" t="s">
        <v>234</v>
      </c>
      <c r="E62" s="175"/>
      <c r="F62" s="176"/>
      <c r="G62" s="163" t="s">
        <v>235</v>
      </c>
      <c r="H62" s="164" t="s">
        <v>22</v>
      </c>
      <c r="I62" s="165"/>
      <c r="J62" s="178"/>
      <c r="K62" s="178"/>
      <c r="L62" s="178"/>
      <c r="M62" s="178"/>
      <c r="N62" s="178"/>
      <c r="O62" s="178"/>
      <c r="P62" s="178"/>
      <c r="Q62" s="178"/>
      <c r="R62" s="178"/>
      <c r="S62" s="178"/>
      <c r="T62" s="178"/>
      <c r="U62" s="178"/>
      <c r="V62" s="178"/>
      <c r="W62" s="166"/>
      <c r="X62" s="166"/>
      <c r="Y62" s="167"/>
      <c r="Z62" s="196"/>
      <c r="AA62" s="168"/>
      <c r="AB62" s="168"/>
      <c r="AC62" s="168"/>
      <c r="AD62" s="168"/>
      <c r="AE62" s="168"/>
      <c r="AF62" s="163"/>
      <c r="AG62" s="169"/>
      <c r="AH62" s="168"/>
      <c r="AI62" s="221"/>
      <c r="AJ62" s="34"/>
    </row>
    <row r="63" spans="1:36" s="33" customFormat="1" ht="34.5" hidden="1" customHeight="1">
      <c r="A63" s="33" t="s">
        <v>75</v>
      </c>
      <c r="B63" s="33" t="s">
        <v>66</v>
      </c>
      <c r="C63" s="49" t="s">
        <v>236</v>
      </c>
      <c r="D63" s="87" t="s">
        <v>237</v>
      </c>
      <c r="E63" s="49" t="s">
        <v>69</v>
      </c>
      <c r="F63" s="51"/>
      <c r="G63" s="52" t="s">
        <v>238</v>
      </c>
      <c r="H63" s="53" t="s">
        <v>22</v>
      </c>
      <c r="I63" s="54" t="s">
        <v>71</v>
      </c>
      <c r="J63" s="178"/>
      <c r="K63" s="178"/>
      <c r="L63" s="178"/>
      <c r="M63" s="178"/>
      <c r="N63" s="178"/>
      <c r="O63" s="178"/>
      <c r="P63" s="178"/>
      <c r="Q63" s="178"/>
      <c r="R63" s="178"/>
      <c r="S63" s="178"/>
      <c r="T63" s="178"/>
      <c r="U63" s="178"/>
      <c r="V63" s="178"/>
      <c r="W63" s="55"/>
      <c r="X63" s="55"/>
      <c r="Y63" s="56"/>
      <c r="Z63" s="198" t="s">
        <v>239</v>
      </c>
      <c r="AA63" s="52"/>
      <c r="AB63" s="52"/>
      <c r="AC63" s="52"/>
      <c r="AD63" s="52"/>
      <c r="AE63" s="52"/>
      <c r="AF63" s="57"/>
      <c r="AG63" s="58"/>
      <c r="AH63" s="52"/>
      <c r="AI63" s="220"/>
      <c r="AJ63" s="34"/>
    </row>
    <row r="64" spans="1:36" s="33" customFormat="1" ht="31.35" hidden="1" customHeight="1">
      <c r="A64" s="39" t="s">
        <v>62</v>
      </c>
      <c r="B64" s="39" t="s">
        <v>66</v>
      </c>
      <c r="C64" s="49" t="s">
        <v>240</v>
      </c>
      <c r="D64" s="87" t="s">
        <v>241</v>
      </c>
      <c r="E64" s="49" t="s">
        <v>69</v>
      </c>
      <c r="F64" s="51"/>
      <c r="G64" s="182" t="s">
        <v>242</v>
      </c>
      <c r="H64" s="53"/>
      <c r="I64" s="54" t="s">
        <v>92</v>
      </c>
      <c r="J64" s="178"/>
      <c r="K64" s="178"/>
      <c r="L64" s="178"/>
      <c r="M64" s="178"/>
      <c r="N64" s="178"/>
      <c r="O64" s="178"/>
      <c r="P64" s="178"/>
      <c r="Q64" s="178"/>
      <c r="R64" s="178"/>
      <c r="S64" s="178"/>
      <c r="T64" s="178"/>
      <c r="U64" s="178"/>
      <c r="V64" s="178"/>
      <c r="W64" s="55"/>
      <c r="X64" s="55"/>
      <c r="Y64" s="56"/>
      <c r="Z64" s="197" t="s">
        <v>111</v>
      </c>
      <c r="AA64" s="52"/>
      <c r="AB64" s="52"/>
      <c r="AC64" s="52"/>
      <c r="AD64" s="52"/>
      <c r="AE64" s="52"/>
      <c r="AF64" s="57"/>
      <c r="AG64" s="58"/>
      <c r="AH64" s="52"/>
      <c r="AI64" s="159"/>
      <c r="AJ64" s="34"/>
    </row>
    <row r="65" spans="1:36" s="33" customFormat="1" ht="34.5" hidden="1" customHeight="1">
      <c r="A65" s="39" t="s">
        <v>62</v>
      </c>
      <c r="B65" s="39" t="s">
        <v>243</v>
      </c>
      <c r="C65" s="49" t="s">
        <v>244</v>
      </c>
      <c r="D65" s="87" t="s">
        <v>245</v>
      </c>
      <c r="E65" s="49" t="s">
        <v>69</v>
      </c>
      <c r="F65" s="51"/>
      <c r="G65" s="182" t="s">
        <v>246</v>
      </c>
      <c r="H65" s="53" t="s">
        <v>22</v>
      </c>
      <c r="I65" s="54" t="s">
        <v>71</v>
      </c>
      <c r="J65" s="178"/>
      <c r="K65" s="178"/>
      <c r="L65" s="178"/>
      <c r="M65" s="178"/>
      <c r="N65" s="178"/>
      <c r="O65" s="178"/>
      <c r="P65" s="178"/>
      <c r="Q65" s="178"/>
      <c r="R65" s="178"/>
      <c r="S65" s="178"/>
      <c r="T65" s="178"/>
      <c r="U65" s="178"/>
      <c r="V65" s="178"/>
      <c r="W65" s="55"/>
      <c r="X65" s="55"/>
      <c r="Y65" s="56"/>
      <c r="Z65" s="197" t="s">
        <v>247</v>
      </c>
      <c r="AA65" s="52"/>
      <c r="AB65" s="52"/>
      <c r="AC65" s="52"/>
      <c r="AD65" s="52"/>
      <c r="AE65" s="52"/>
      <c r="AF65" s="57"/>
      <c r="AG65" s="58"/>
      <c r="AH65" s="52"/>
      <c r="AI65" s="220"/>
      <c r="AJ65" s="34"/>
    </row>
    <row r="66" spans="1:36" s="33" customFormat="1" ht="69" hidden="1" customHeight="1">
      <c r="A66" s="33" t="s">
        <v>62</v>
      </c>
      <c r="B66" s="39"/>
      <c r="C66" s="162"/>
      <c r="D66" s="177" t="s">
        <v>248</v>
      </c>
      <c r="E66" s="175"/>
      <c r="F66" s="176"/>
      <c r="G66" s="181" t="s">
        <v>249</v>
      </c>
      <c r="H66" s="164" t="s">
        <v>22</v>
      </c>
      <c r="I66" s="165"/>
      <c r="J66" s="178"/>
      <c r="K66" s="178"/>
      <c r="L66" s="178"/>
      <c r="M66" s="178"/>
      <c r="N66" s="178"/>
      <c r="O66" s="178"/>
      <c r="P66" s="178"/>
      <c r="Q66" s="178"/>
      <c r="R66" s="178"/>
      <c r="S66" s="178"/>
      <c r="T66" s="178"/>
      <c r="U66" s="178"/>
      <c r="V66" s="178"/>
      <c r="W66" s="166"/>
      <c r="X66" s="166"/>
      <c r="Y66" s="167"/>
      <c r="Z66" s="196"/>
      <c r="AA66" s="168"/>
      <c r="AB66" s="168"/>
      <c r="AC66" s="168"/>
      <c r="AD66" s="168"/>
      <c r="AE66" s="168"/>
      <c r="AF66" s="163"/>
      <c r="AG66" s="169"/>
      <c r="AH66" s="168"/>
      <c r="AI66" s="221"/>
      <c r="AJ66" s="34"/>
    </row>
    <row r="67" spans="1:36" s="161" customFormat="1" ht="47.1" hidden="1" customHeight="1">
      <c r="A67" s="161" t="s">
        <v>250</v>
      </c>
      <c r="B67" s="78" t="s">
        <v>66</v>
      </c>
      <c r="C67" s="71" t="s">
        <v>251</v>
      </c>
      <c r="D67" s="183" t="s">
        <v>252</v>
      </c>
      <c r="E67" s="71" t="s">
        <v>69</v>
      </c>
      <c r="F67" s="299" t="s">
        <v>77</v>
      </c>
      <c r="G67" s="70" t="s">
        <v>253</v>
      </c>
      <c r="H67" s="184"/>
      <c r="I67" s="73" t="s">
        <v>4</v>
      </c>
      <c r="J67" s="185"/>
      <c r="K67" s="185"/>
      <c r="L67" s="185"/>
      <c r="M67" s="185"/>
      <c r="N67" s="185"/>
      <c r="O67" s="185"/>
      <c r="P67" s="185"/>
      <c r="Q67" s="185"/>
      <c r="R67" s="185"/>
      <c r="S67" s="185"/>
      <c r="T67" s="185"/>
      <c r="U67" s="185"/>
      <c r="V67" s="185"/>
      <c r="W67" s="186"/>
      <c r="X67" s="186"/>
      <c r="Y67" s="187"/>
      <c r="Z67" s="197"/>
      <c r="AA67" s="70"/>
      <c r="AB67" s="70"/>
      <c r="AC67" s="70"/>
      <c r="AD67" s="70"/>
      <c r="AE67" s="70"/>
      <c r="AF67" s="188"/>
      <c r="AG67" s="65"/>
      <c r="AH67" s="70"/>
      <c r="AI67" s="189"/>
      <c r="AJ67" s="190"/>
    </row>
    <row r="68" spans="1:36" s="161" customFormat="1" ht="44.1" hidden="1" customHeight="1">
      <c r="A68" s="161" t="s">
        <v>250</v>
      </c>
      <c r="B68" s="78" t="s">
        <v>66</v>
      </c>
      <c r="C68" s="71" t="s">
        <v>254</v>
      </c>
      <c r="D68" s="183" t="s">
        <v>255</v>
      </c>
      <c r="E68" s="71" t="s">
        <v>69</v>
      </c>
      <c r="F68" s="51"/>
      <c r="G68" s="70" t="s">
        <v>256</v>
      </c>
      <c r="H68" s="184"/>
      <c r="I68" s="73"/>
      <c r="J68" s="185"/>
      <c r="K68" s="185"/>
      <c r="L68" s="185"/>
      <c r="M68" s="185"/>
      <c r="N68" s="185"/>
      <c r="O68" s="185"/>
      <c r="P68" s="185"/>
      <c r="Q68" s="185"/>
      <c r="R68" s="185"/>
      <c r="S68" s="185"/>
      <c r="T68" s="185"/>
      <c r="U68" s="185"/>
      <c r="V68" s="185"/>
      <c r="W68" s="186"/>
      <c r="X68" s="186"/>
      <c r="Y68" s="187"/>
      <c r="Z68" s="197"/>
      <c r="AA68" s="70"/>
      <c r="AB68" s="70"/>
      <c r="AC68" s="70"/>
      <c r="AD68" s="70"/>
      <c r="AE68" s="70"/>
      <c r="AF68" s="188"/>
      <c r="AG68" s="65"/>
      <c r="AH68" s="70"/>
      <c r="AI68" s="239"/>
      <c r="AJ68" s="190"/>
    </row>
    <row r="69" spans="1:36" s="33" customFormat="1" ht="27.6" hidden="1">
      <c r="A69" s="33" t="s">
        <v>62</v>
      </c>
      <c r="B69" s="39"/>
      <c r="C69" s="162"/>
      <c r="D69" s="177" t="s">
        <v>257</v>
      </c>
      <c r="E69" s="175"/>
      <c r="F69" s="176"/>
      <c r="G69" s="163" t="s">
        <v>258</v>
      </c>
      <c r="H69" s="164" t="s">
        <v>22</v>
      </c>
      <c r="I69" s="165"/>
      <c r="J69" s="178"/>
      <c r="K69" s="178"/>
      <c r="L69" s="178"/>
      <c r="M69" s="178"/>
      <c r="N69" s="178"/>
      <c r="O69" s="178"/>
      <c r="P69" s="178"/>
      <c r="Q69" s="178"/>
      <c r="R69" s="178"/>
      <c r="S69" s="178"/>
      <c r="T69" s="178"/>
      <c r="U69" s="178"/>
      <c r="V69" s="178"/>
      <c r="W69" s="166"/>
      <c r="X69" s="166"/>
      <c r="Y69" s="167"/>
      <c r="Z69" s="196"/>
      <c r="AA69" s="168"/>
      <c r="AB69" s="168"/>
      <c r="AC69" s="168"/>
      <c r="AD69" s="168"/>
      <c r="AE69" s="168"/>
      <c r="AF69" s="163"/>
      <c r="AG69" s="169"/>
      <c r="AH69" s="168"/>
      <c r="AI69" s="221"/>
      <c r="AJ69" s="34"/>
    </row>
    <row r="70" spans="1:36" s="33" customFormat="1" ht="41.4" hidden="1">
      <c r="A70" s="33" t="s">
        <v>62</v>
      </c>
      <c r="B70" s="39" t="s">
        <v>66</v>
      </c>
      <c r="C70" s="49"/>
      <c r="D70" s="87" t="s">
        <v>259</v>
      </c>
      <c r="E70" s="49" t="s">
        <v>69</v>
      </c>
      <c r="F70" s="51"/>
      <c r="G70" s="52" t="s">
        <v>260</v>
      </c>
      <c r="H70" s="53" t="s">
        <v>22</v>
      </c>
      <c r="I70" s="54" t="s">
        <v>71</v>
      </c>
      <c r="J70" s="178"/>
      <c r="K70" s="178"/>
      <c r="L70" s="178"/>
      <c r="M70" s="178"/>
      <c r="N70" s="178"/>
      <c r="O70" s="178"/>
      <c r="P70" s="178"/>
      <c r="Q70" s="178"/>
      <c r="R70" s="178"/>
      <c r="S70" s="178"/>
      <c r="T70" s="178"/>
      <c r="U70" s="178"/>
      <c r="V70" s="178"/>
      <c r="W70" s="55"/>
      <c r="X70" s="55"/>
      <c r="Y70" s="56"/>
      <c r="Z70" s="197" t="s">
        <v>261</v>
      </c>
      <c r="AA70" s="52"/>
      <c r="AB70" s="52"/>
      <c r="AC70" s="52"/>
      <c r="AD70" s="52"/>
      <c r="AE70" s="52"/>
      <c r="AF70" s="57"/>
      <c r="AG70" s="58"/>
      <c r="AH70" s="52"/>
      <c r="AI70" s="159"/>
      <c r="AJ70" s="34"/>
    </row>
    <row r="71" spans="1:36" s="33" customFormat="1" ht="151.80000000000001" hidden="1">
      <c r="A71" s="33" t="s">
        <v>62</v>
      </c>
      <c r="B71" s="39"/>
      <c r="C71" s="162"/>
      <c r="D71" s="177" t="s">
        <v>262</v>
      </c>
      <c r="E71" s="175"/>
      <c r="F71" s="176" t="s">
        <v>263</v>
      </c>
      <c r="G71" s="163" t="s">
        <v>264</v>
      </c>
      <c r="H71" s="164" t="s">
        <v>22</v>
      </c>
      <c r="I71" s="165"/>
      <c r="J71" s="178"/>
      <c r="K71" s="178"/>
      <c r="L71" s="178"/>
      <c r="M71" s="178"/>
      <c r="N71" s="178"/>
      <c r="O71" s="178"/>
      <c r="P71" s="178"/>
      <c r="Q71" s="178"/>
      <c r="R71" s="178"/>
      <c r="S71" s="178"/>
      <c r="T71" s="178"/>
      <c r="U71" s="178"/>
      <c r="V71" s="178"/>
      <c r="W71" s="166"/>
      <c r="X71" s="166"/>
      <c r="Y71" s="167"/>
      <c r="Z71" s="196"/>
      <c r="AA71" s="168"/>
      <c r="AB71" s="168"/>
      <c r="AC71" s="168"/>
      <c r="AD71" s="168"/>
      <c r="AE71" s="168"/>
      <c r="AF71" s="163"/>
      <c r="AG71" s="169"/>
      <c r="AH71" s="168"/>
      <c r="AI71" s="221"/>
      <c r="AJ71" s="34"/>
    </row>
    <row r="72" spans="1:36" s="33" customFormat="1" ht="46.35" hidden="1" customHeight="1">
      <c r="A72" s="33" t="s">
        <v>62</v>
      </c>
      <c r="B72" s="39" t="s">
        <v>265</v>
      </c>
      <c r="C72" s="49"/>
      <c r="D72" s="87" t="s">
        <v>266</v>
      </c>
      <c r="E72" s="49" t="s">
        <v>69</v>
      </c>
      <c r="F72" s="51"/>
      <c r="G72" s="52" t="s">
        <v>267</v>
      </c>
      <c r="H72" s="53"/>
      <c r="I72" s="54" t="s">
        <v>92</v>
      </c>
      <c r="J72" s="178"/>
      <c r="K72" s="178"/>
      <c r="L72" s="178"/>
      <c r="M72" s="178"/>
      <c r="N72" s="178"/>
      <c r="O72" s="178"/>
      <c r="P72" s="178"/>
      <c r="Q72" s="178"/>
      <c r="R72" s="178"/>
      <c r="S72" s="178"/>
      <c r="T72" s="178"/>
      <c r="U72" s="178"/>
      <c r="V72" s="178"/>
      <c r="W72" s="55"/>
      <c r="X72" s="55"/>
      <c r="Y72" s="56"/>
      <c r="Z72" s="197" t="s">
        <v>268</v>
      </c>
      <c r="AA72" s="52"/>
      <c r="AB72" s="52"/>
      <c r="AC72" s="52"/>
      <c r="AD72" s="52"/>
      <c r="AE72" s="52"/>
      <c r="AF72" s="57"/>
      <c r="AG72" s="58"/>
      <c r="AH72" s="52"/>
      <c r="AI72" s="220"/>
      <c r="AJ72" s="34"/>
    </row>
    <row r="73" spans="1:36" s="33" customFormat="1" hidden="1">
      <c r="A73" s="33" t="s">
        <v>62</v>
      </c>
      <c r="B73" s="39" t="s">
        <v>265</v>
      </c>
      <c r="C73" s="49"/>
      <c r="D73" s="87" t="s">
        <v>269</v>
      </c>
      <c r="E73" s="49" t="s">
        <v>69</v>
      </c>
      <c r="F73" s="51"/>
      <c r="G73" s="52" t="s">
        <v>270</v>
      </c>
      <c r="H73" s="53"/>
      <c r="I73" s="54" t="s">
        <v>92</v>
      </c>
      <c r="J73" s="178"/>
      <c r="K73" s="178"/>
      <c r="L73" s="178"/>
      <c r="M73" s="178"/>
      <c r="N73" s="178"/>
      <c r="O73" s="178"/>
      <c r="P73" s="178"/>
      <c r="Q73" s="178"/>
      <c r="R73" s="178"/>
      <c r="S73" s="178"/>
      <c r="T73" s="178"/>
      <c r="U73" s="178"/>
      <c r="V73" s="178"/>
      <c r="W73" s="55"/>
      <c r="X73" s="55"/>
      <c r="Y73" s="56"/>
      <c r="Z73" s="198"/>
      <c r="AA73" s="52"/>
      <c r="AB73" s="52"/>
      <c r="AC73" s="52"/>
      <c r="AD73" s="52"/>
      <c r="AE73" s="52"/>
      <c r="AF73" s="57"/>
      <c r="AG73" s="58"/>
      <c r="AH73" s="52"/>
      <c r="AI73" s="159"/>
      <c r="AJ73" s="34"/>
    </row>
    <row r="74" spans="1:36" s="33" customFormat="1" ht="55.2" hidden="1">
      <c r="A74" s="39" t="s">
        <v>62</v>
      </c>
      <c r="B74" s="39" t="s">
        <v>265</v>
      </c>
      <c r="C74" s="49"/>
      <c r="D74" s="87" t="s">
        <v>271</v>
      </c>
      <c r="E74" s="49" t="s">
        <v>69</v>
      </c>
      <c r="F74" s="51"/>
      <c r="G74" s="52" t="s">
        <v>272</v>
      </c>
      <c r="H74" s="53"/>
      <c r="I74" s="54" t="s">
        <v>92</v>
      </c>
      <c r="J74" s="178"/>
      <c r="K74" s="178"/>
      <c r="L74" s="178"/>
      <c r="M74" s="178"/>
      <c r="N74" s="178"/>
      <c r="O74" s="178"/>
      <c r="P74" s="178"/>
      <c r="Q74" s="178"/>
      <c r="R74" s="178"/>
      <c r="S74" s="178"/>
      <c r="T74" s="178"/>
      <c r="U74" s="178"/>
      <c r="V74" s="178"/>
      <c r="W74" s="55"/>
      <c r="X74" s="55"/>
      <c r="Y74" s="56"/>
      <c r="Z74" s="198" t="s">
        <v>273</v>
      </c>
      <c r="AA74" s="52"/>
      <c r="AB74" s="52"/>
      <c r="AC74" s="52"/>
      <c r="AD74" s="52"/>
      <c r="AE74" s="52"/>
      <c r="AF74" s="57"/>
      <c r="AG74" s="58"/>
      <c r="AH74" s="52"/>
      <c r="AI74" s="159"/>
      <c r="AJ74" s="34"/>
    </row>
    <row r="75" spans="1:36" s="33" customFormat="1" ht="34.5" hidden="1" customHeight="1">
      <c r="A75" s="39" t="s">
        <v>62</v>
      </c>
      <c r="B75" s="39" t="s">
        <v>265</v>
      </c>
      <c r="C75" s="49"/>
      <c r="D75" s="87" t="s">
        <v>274</v>
      </c>
      <c r="E75" s="49" t="s">
        <v>96</v>
      </c>
      <c r="F75" s="51"/>
      <c r="G75" s="52" t="s">
        <v>275</v>
      </c>
      <c r="H75" s="53"/>
      <c r="I75" s="54" t="s">
        <v>92</v>
      </c>
      <c r="J75" s="178"/>
      <c r="K75" s="178"/>
      <c r="L75" s="178"/>
      <c r="M75" s="178"/>
      <c r="N75" s="178"/>
      <c r="O75" s="178"/>
      <c r="P75" s="178"/>
      <c r="Q75" s="178"/>
      <c r="R75" s="178"/>
      <c r="S75" s="178"/>
      <c r="T75" s="178"/>
      <c r="U75" s="178"/>
      <c r="V75" s="178"/>
      <c r="W75" s="55"/>
      <c r="X75" s="55"/>
      <c r="Y75" s="56"/>
      <c r="Z75" s="198" t="s">
        <v>276</v>
      </c>
      <c r="AA75" s="52"/>
      <c r="AB75" s="52"/>
      <c r="AC75" s="52"/>
      <c r="AD75" s="52"/>
      <c r="AE75" s="52"/>
      <c r="AF75" s="57"/>
      <c r="AG75" s="58"/>
      <c r="AH75" s="52"/>
      <c r="AI75" s="220"/>
      <c r="AJ75" s="34"/>
    </row>
    <row r="76" spans="1:36" s="33" customFormat="1" hidden="1">
      <c r="A76" s="33" t="s">
        <v>62</v>
      </c>
      <c r="B76" s="39"/>
      <c r="C76" s="162"/>
      <c r="D76" s="177" t="s">
        <v>277</v>
      </c>
      <c r="E76" s="175"/>
      <c r="F76" s="176"/>
      <c r="G76" s="163" t="s">
        <v>278</v>
      </c>
      <c r="H76" s="164" t="s">
        <v>22</v>
      </c>
      <c r="I76" s="165"/>
      <c r="J76" s="178"/>
      <c r="K76" s="178"/>
      <c r="L76" s="178"/>
      <c r="M76" s="178"/>
      <c r="N76" s="178"/>
      <c r="O76" s="178"/>
      <c r="P76" s="178"/>
      <c r="Q76" s="178"/>
      <c r="R76" s="178"/>
      <c r="S76" s="178"/>
      <c r="T76" s="178"/>
      <c r="U76" s="178"/>
      <c r="V76" s="178"/>
      <c r="W76" s="166"/>
      <c r="X76" s="166"/>
      <c r="Y76" s="167"/>
      <c r="Z76" s="196"/>
      <c r="AA76" s="168"/>
      <c r="AB76" s="168"/>
      <c r="AC76" s="168"/>
      <c r="AD76" s="168"/>
      <c r="AE76" s="168"/>
      <c r="AF76" s="163"/>
      <c r="AG76" s="169"/>
      <c r="AH76" s="168"/>
      <c r="AI76" s="221"/>
      <c r="AJ76" s="34"/>
    </row>
    <row r="77" spans="1:36" s="33" customFormat="1" ht="69.599999999999994" hidden="1" customHeight="1">
      <c r="A77" s="33" t="s">
        <v>62</v>
      </c>
      <c r="B77" s="39" t="s">
        <v>66</v>
      </c>
      <c r="C77" s="49"/>
      <c r="D77" s="87" t="s">
        <v>279</v>
      </c>
      <c r="E77" s="49" t="s">
        <v>69</v>
      </c>
      <c r="F77" s="51"/>
      <c r="G77" s="182" t="s">
        <v>280</v>
      </c>
      <c r="H77" s="53" t="s">
        <v>22</v>
      </c>
      <c r="I77" s="54" t="s">
        <v>4</v>
      </c>
      <c r="J77" s="178"/>
      <c r="K77" s="178"/>
      <c r="L77" s="178"/>
      <c r="M77" s="178"/>
      <c r="N77" s="178"/>
      <c r="O77" s="178"/>
      <c r="P77" s="178"/>
      <c r="Q77" s="178"/>
      <c r="R77" s="178"/>
      <c r="S77" s="178"/>
      <c r="T77" s="178"/>
      <c r="U77" s="178"/>
      <c r="V77" s="178"/>
      <c r="W77" s="55"/>
      <c r="X77" s="55"/>
      <c r="Y77" s="56"/>
      <c r="Z77" s="197" t="s">
        <v>127</v>
      </c>
      <c r="AA77" s="52"/>
      <c r="AB77" s="52"/>
      <c r="AC77" s="52"/>
      <c r="AD77" s="52"/>
      <c r="AE77" s="52"/>
      <c r="AF77" s="57"/>
      <c r="AG77" s="58"/>
      <c r="AH77" s="52"/>
      <c r="AI77" s="220"/>
      <c r="AJ77" s="34"/>
    </row>
    <row r="78" spans="1:36" s="33" customFormat="1" ht="82.8">
      <c r="A78" s="39" t="s">
        <v>62</v>
      </c>
      <c r="B78" s="39" t="s">
        <v>88</v>
      </c>
      <c r="C78" s="49"/>
      <c r="D78" s="87" t="s">
        <v>281</v>
      </c>
      <c r="E78" s="49" t="s">
        <v>69</v>
      </c>
      <c r="F78" s="51"/>
      <c r="G78" s="206" t="s">
        <v>282</v>
      </c>
      <c r="H78" s="53"/>
      <c r="I78" s="54" t="s">
        <v>92</v>
      </c>
      <c r="J78" s="178"/>
      <c r="K78" s="178"/>
      <c r="L78" s="178"/>
      <c r="M78" s="178"/>
      <c r="N78" s="178"/>
      <c r="O78" s="178"/>
      <c r="P78" s="178"/>
      <c r="Q78" s="178"/>
      <c r="R78" s="178"/>
      <c r="S78" s="178"/>
      <c r="T78" s="178"/>
      <c r="U78" s="178"/>
      <c r="V78" s="178"/>
      <c r="W78" s="55"/>
      <c r="X78" s="55"/>
      <c r="Y78" s="56"/>
      <c r="Z78" s="197" t="s">
        <v>283</v>
      </c>
      <c r="AA78" s="52"/>
      <c r="AB78" s="52"/>
      <c r="AC78" s="52"/>
      <c r="AD78" s="52"/>
      <c r="AE78" s="52"/>
      <c r="AF78" s="57"/>
      <c r="AG78" s="58"/>
      <c r="AH78" s="52"/>
      <c r="AI78" s="159"/>
      <c r="AJ78" s="34"/>
    </row>
    <row r="79" spans="1:36" s="161" customFormat="1" ht="71.099999999999994" customHeight="1">
      <c r="A79" s="161" t="s">
        <v>62</v>
      </c>
      <c r="B79" s="78" t="s">
        <v>88</v>
      </c>
      <c r="C79" s="71"/>
      <c r="D79" s="183" t="s">
        <v>284</v>
      </c>
      <c r="E79" s="71" t="s">
        <v>69</v>
      </c>
      <c r="F79" s="51"/>
      <c r="G79" s="206" t="s">
        <v>285</v>
      </c>
      <c r="H79" s="184"/>
      <c r="I79" s="73" t="s">
        <v>92</v>
      </c>
      <c r="J79" s="269"/>
      <c r="K79" s="269"/>
      <c r="L79" s="269"/>
      <c r="M79" s="269"/>
      <c r="N79" s="269"/>
      <c r="O79" s="269"/>
      <c r="P79" s="269"/>
      <c r="Q79" s="269"/>
      <c r="R79" s="269"/>
      <c r="S79" s="269"/>
      <c r="T79" s="269"/>
      <c r="U79" s="269"/>
      <c r="V79" s="269"/>
      <c r="W79" s="270"/>
      <c r="X79" s="270"/>
      <c r="Y79" s="271"/>
      <c r="Z79" s="272"/>
      <c r="AA79" s="268"/>
      <c r="AB79" s="268"/>
      <c r="AC79" s="268"/>
      <c r="AD79" s="268"/>
      <c r="AE79" s="268"/>
      <c r="AF79" s="273"/>
      <c r="AG79" s="274"/>
      <c r="AH79" s="268"/>
      <c r="AI79" s="189"/>
      <c r="AJ79" s="190"/>
    </row>
    <row r="80" spans="1:36" s="33" customFormat="1" ht="34.5" hidden="1" customHeight="1">
      <c r="A80" s="33" t="s">
        <v>62</v>
      </c>
      <c r="B80" s="39"/>
      <c r="C80" s="162"/>
      <c r="D80" s="177" t="s">
        <v>286</v>
      </c>
      <c r="E80" s="175"/>
      <c r="F80" s="176"/>
      <c r="G80" s="163" t="s">
        <v>287</v>
      </c>
      <c r="H80" s="164" t="s">
        <v>22</v>
      </c>
      <c r="I80" s="165"/>
      <c r="J80" s="178"/>
      <c r="K80" s="178"/>
      <c r="L80" s="178"/>
      <c r="M80" s="178"/>
      <c r="N80" s="178"/>
      <c r="O80" s="178"/>
      <c r="P80" s="178"/>
      <c r="Q80" s="178"/>
      <c r="R80" s="178"/>
      <c r="S80" s="178"/>
      <c r="T80" s="178"/>
      <c r="U80" s="178"/>
      <c r="V80" s="178"/>
      <c r="W80" s="166"/>
      <c r="X80" s="166"/>
      <c r="Y80" s="167"/>
      <c r="Z80" s="196"/>
      <c r="AA80" s="168"/>
      <c r="AB80" s="168"/>
      <c r="AC80" s="168"/>
      <c r="AD80" s="168"/>
      <c r="AE80" s="168"/>
      <c r="AF80" s="163"/>
      <c r="AG80" s="169"/>
      <c r="AH80" s="168"/>
      <c r="AI80" s="170"/>
      <c r="AJ80" s="34"/>
    </row>
    <row r="81" spans="1:36" s="33" customFormat="1" ht="69" hidden="1">
      <c r="A81" s="33" t="s">
        <v>62</v>
      </c>
      <c r="B81" s="39" t="s">
        <v>66</v>
      </c>
      <c r="C81" s="49"/>
      <c r="D81" s="87" t="s">
        <v>288</v>
      </c>
      <c r="E81" s="49" t="s">
        <v>69</v>
      </c>
      <c r="F81" s="51"/>
      <c r="G81" s="70" t="s">
        <v>289</v>
      </c>
      <c r="H81" s="53" t="s">
        <v>22</v>
      </c>
      <c r="I81" s="54" t="s">
        <v>71</v>
      </c>
      <c r="J81" s="178"/>
      <c r="K81" s="178"/>
      <c r="L81" s="178"/>
      <c r="M81" s="178"/>
      <c r="N81" s="178"/>
      <c r="O81" s="178"/>
      <c r="P81" s="178"/>
      <c r="Q81" s="178"/>
      <c r="R81" s="178"/>
      <c r="S81" s="178"/>
      <c r="T81" s="178"/>
      <c r="U81" s="178"/>
      <c r="V81" s="178"/>
      <c r="W81" s="55"/>
      <c r="X81" s="55"/>
      <c r="Y81" s="56"/>
      <c r="Z81" s="264" t="s">
        <v>290</v>
      </c>
      <c r="AA81" s="52"/>
      <c r="AB81" s="52"/>
      <c r="AC81" s="52"/>
      <c r="AD81" s="52"/>
      <c r="AE81" s="52"/>
      <c r="AF81" s="57"/>
      <c r="AG81" s="58"/>
      <c r="AH81" s="52"/>
      <c r="AI81" s="159"/>
      <c r="AJ81" s="34"/>
    </row>
    <row r="82" spans="1:36" s="33" customFormat="1" ht="77.849999999999994" hidden="1" customHeight="1">
      <c r="A82" s="33" t="s">
        <v>62</v>
      </c>
      <c r="B82" s="39"/>
      <c r="C82" s="162"/>
      <c r="D82" s="177" t="s">
        <v>291</v>
      </c>
      <c r="E82" s="175"/>
      <c r="F82" s="176"/>
      <c r="G82" s="163" t="s">
        <v>292</v>
      </c>
      <c r="H82" s="164" t="s">
        <v>22</v>
      </c>
      <c r="I82" s="165"/>
      <c r="J82" s="178"/>
      <c r="K82" s="178"/>
      <c r="L82" s="178"/>
      <c r="M82" s="178"/>
      <c r="N82" s="178"/>
      <c r="O82" s="178"/>
      <c r="P82" s="178"/>
      <c r="Q82" s="178"/>
      <c r="R82" s="178"/>
      <c r="S82" s="178"/>
      <c r="T82" s="178"/>
      <c r="U82" s="178"/>
      <c r="V82" s="178"/>
      <c r="W82" s="166"/>
      <c r="X82" s="166"/>
      <c r="Y82" s="167"/>
      <c r="Z82" s="196"/>
      <c r="AA82" s="168"/>
      <c r="AB82" s="168"/>
      <c r="AC82" s="168"/>
      <c r="AD82" s="168"/>
      <c r="AE82" s="168"/>
      <c r="AF82" s="163"/>
      <c r="AG82" s="169"/>
      <c r="AH82" s="168"/>
      <c r="AI82" s="170"/>
      <c r="AJ82" s="34"/>
    </row>
    <row r="83" spans="1:36" s="33" customFormat="1" ht="54" hidden="1" customHeight="1">
      <c r="A83" s="33" t="s">
        <v>62</v>
      </c>
      <c r="B83" s="39" t="s">
        <v>66</v>
      </c>
      <c r="C83" s="49"/>
      <c r="D83" s="87" t="s">
        <v>293</v>
      </c>
      <c r="E83" s="49" t="s">
        <v>69</v>
      </c>
      <c r="F83" s="51"/>
      <c r="G83" s="52" t="s">
        <v>1551</v>
      </c>
      <c r="H83" s="53"/>
      <c r="I83" s="54" t="s">
        <v>4</v>
      </c>
      <c r="J83" s="178"/>
      <c r="K83" s="178"/>
      <c r="L83" s="178"/>
      <c r="M83" s="178"/>
      <c r="N83" s="178"/>
      <c r="O83" s="178"/>
      <c r="P83" s="178"/>
      <c r="Q83" s="178"/>
      <c r="R83" s="178"/>
      <c r="S83" s="178"/>
      <c r="T83" s="178"/>
      <c r="U83" s="178"/>
      <c r="V83" s="178"/>
      <c r="W83" s="55"/>
      <c r="X83" s="55"/>
      <c r="Y83" s="56"/>
      <c r="Z83" s="198" t="s">
        <v>294</v>
      </c>
      <c r="AA83" s="52"/>
      <c r="AB83" s="52"/>
      <c r="AC83" s="52"/>
      <c r="AD83" s="52"/>
      <c r="AE83" s="52"/>
      <c r="AF83" s="57"/>
      <c r="AG83" s="58"/>
      <c r="AH83" s="52"/>
      <c r="AI83" s="159"/>
      <c r="AJ83" s="34"/>
    </row>
    <row r="84" spans="1:36" s="33" customFormat="1" ht="24.6" hidden="1" customHeight="1">
      <c r="A84" s="33" t="s">
        <v>62</v>
      </c>
      <c r="B84" s="39" t="s">
        <v>66</v>
      </c>
      <c r="C84" s="49"/>
      <c r="D84" s="87" t="s">
        <v>295</v>
      </c>
      <c r="E84" s="49" t="s">
        <v>69</v>
      </c>
      <c r="F84" s="51"/>
      <c r="G84" s="52" t="s">
        <v>296</v>
      </c>
      <c r="H84" s="53" t="s">
        <v>22</v>
      </c>
      <c r="I84" s="54" t="s">
        <v>71</v>
      </c>
      <c r="J84" s="178"/>
      <c r="K84" s="178"/>
      <c r="L84" s="178"/>
      <c r="M84" s="178"/>
      <c r="N84" s="178"/>
      <c r="O84" s="178"/>
      <c r="P84" s="178"/>
      <c r="Q84" s="178"/>
      <c r="R84" s="178"/>
      <c r="S84" s="178"/>
      <c r="T84" s="178"/>
      <c r="U84" s="178"/>
      <c r="V84" s="178"/>
      <c r="W84" s="55"/>
      <c r="X84" s="55"/>
      <c r="Y84" s="56"/>
      <c r="Z84" s="197" t="s">
        <v>297</v>
      </c>
      <c r="AA84" s="52"/>
      <c r="AB84" s="52"/>
      <c r="AC84" s="52"/>
      <c r="AD84" s="52"/>
      <c r="AE84" s="52"/>
      <c r="AF84" s="57"/>
      <c r="AG84" s="58"/>
      <c r="AH84" s="52"/>
      <c r="AI84" s="220"/>
      <c r="AJ84" s="34"/>
    </row>
    <row r="85" spans="1:36" s="33" customFormat="1" hidden="1">
      <c r="A85" s="33" t="s">
        <v>62</v>
      </c>
      <c r="B85" s="39"/>
      <c r="C85" s="162"/>
      <c r="D85" s="177" t="s">
        <v>298</v>
      </c>
      <c r="E85" s="175"/>
      <c r="F85" s="176"/>
      <c r="G85" s="163" t="s">
        <v>299</v>
      </c>
      <c r="H85" s="164" t="s">
        <v>22</v>
      </c>
      <c r="I85" s="165"/>
      <c r="J85" s="178"/>
      <c r="K85" s="178"/>
      <c r="L85" s="178"/>
      <c r="M85" s="178"/>
      <c r="N85" s="178"/>
      <c r="O85" s="178"/>
      <c r="P85" s="178"/>
      <c r="Q85" s="178"/>
      <c r="R85" s="178"/>
      <c r="S85" s="178"/>
      <c r="T85" s="178"/>
      <c r="U85" s="178"/>
      <c r="V85" s="178"/>
      <c r="W85" s="166"/>
      <c r="X85" s="166"/>
      <c r="Y85" s="167"/>
      <c r="Z85" s="196"/>
      <c r="AA85" s="168"/>
      <c r="AB85" s="168"/>
      <c r="AC85" s="168"/>
      <c r="AD85" s="168"/>
      <c r="AE85" s="168"/>
      <c r="AF85" s="163"/>
      <c r="AG85" s="169"/>
      <c r="AH85" s="168"/>
      <c r="AI85" s="221"/>
      <c r="AJ85" s="34"/>
    </row>
    <row r="86" spans="1:36" s="33" customFormat="1" ht="34.5" customHeight="1">
      <c r="A86" s="33" t="s">
        <v>62</v>
      </c>
      <c r="B86" s="39" t="s">
        <v>88</v>
      </c>
      <c r="C86" s="49"/>
      <c r="D86" s="87" t="s">
        <v>300</v>
      </c>
      <c r="E86" s="49" t="s">
        <v>69</v>
      </c>
      <c r="F86" s="51"/>
      <c r="G86" s="52" t="s">
        <v>301</v>
      </c>
      <c r="H86" s="53"/>
      <c r="I86" s="54" t="s">
        <v>92</v>
      </c>
      <c r="J86" s="178"/>
      <c r="K86" s="178"/>
      <c r="L86" s="178"/>
      <c r="M86" s="178"/>
      <c r="N86" s="178"/>
      <c r="O86" s="178"/>
      <c r="P86" s="178"/>
      <c r="Q86" s="178"/>
      <c r="R86" s="178"/>
      <c r="S86" s="178"/>
      <c r="T86" s="178"/>
      <c r="U86" s="178"/>
      <c r="V86" s="178"/>
      <c r="W86" s="55"/>
      <c r="X86" s="55"/>
      <c r="Y86" s="56"/>
      <c r="Z86" s="198" t="s">
        <v>302</v>
      </c>
      <c r="AA86" s="52"/>
      <c r="AB86" s="52"/>
      <c r="AC86" s="52"/>
      <c r="AD86" s="52"/>
      <c r="AE86" s="52"/>
      <c r="AF86" s="57"/>
      <c r="AG86" s="58"/>
      <c r="AH86" s="52"/>
      <c r="AI86" s="220"/>
      <c r="AJ86" s="34"/>
    </row>
    <row r="87" spans="1:36" s="33" customFormat="1" ht="31.35" hidden="1" customHeight="1">
      <c r="A87" s="33" t="s">
        <v>62</v>
      </c>
      <c r="B87" s="39"/>
      <c r="C87" s="162"/>
      <c r="D87" s="177" t="s">
        <v>303</v>
      </c>
      <c r="E87" s="175"/>
      <c r="F87" s="176"/>
      <c r="G87" s="163" t="s">
        <v>304</v>
      </c>
      <c r="H87" s="164" t="s">
        <v>22</v>
      </c>
      <c r="I87" s="165"/>
      <c r="J87" s="178"/>
      <c r="K87" s="178"/>
      <c r="L87" s="178"/>
      <c r="M87" s="178"/>
      <c r="N87" s="178"/>
      <c r="O87" s="178"/>
      <c r="P87" s="178"/>
      <c r="Q87" s="178"/>
      <c r="R87" s="178"/>
      <c r="S87" s="178"/>
      <c r="T87" s="178"/>
      <c r="U87" s="178"/>
      <c r="V87" s="178"/>
      <c r="W87" s="166"/>
      <c r="X87" s="166"/>
      <c r="Y87" s="167"/>
      <c r="Z87" s="196"/>
      <c r="AA87" s="168"/>
      <c r="AB87" s="168"/>
      <c r="AC87" s="168"/>
      <c r="AD87" s="168"/>
      <c r="AE87" s="168"/>
      <c r="AF87" s="163"/>
      <c r="AG87" s="169"/>
      <c r="AH87" s="168"/>
      <c r="AI87" s="221"/>
      <c r="AJ87" s="34"/>
    </row>
    <row r="88" spans="1:36" s="33" customFormat="1" ht="39.6" hidden="1" customHeight="1">
      <c r="A88" s="33" t="s">
        <v>62</v>
      </c>
      <c r="B88" s="39" t="s">
        <v>66</v>
      </c>
      <c r="C88" s="49"/>
      <c r="D88" s="87" t="s">
        <v>305</v>
      </c>
      <c r="E88" s="49" t="s">
        <v>69</v>
      </c>
      <c r="F88" s="51"/>
      <c r="G88" s="52" t="s">
        <v>306</v>
      </c>
      <c r="H88" s="53" t="s">
        <v>22</v>
      </c>
      <c r="I88" s="54" t="s">
        <v>4</v>
      </c>
      <c r="J88" s="178"/>
      <c r="K88" s="178"/>
      <c r="L88" s="178"/>
      <c r="M88" s="178"/>
      <c r="N88" s="178"/>
      <c r="O88" s="178"/>
      <c r="P88" s="178"/>
      <c r="Q88" s="178"/>
      <c r="R88" s="178"/>
      <c r="S88" s="178"/>
      <c r="T88" s="178"/>
      <c r="U88" s="178"/>
      <c r="V88" s="178"/>
      <c r="W88" s="55"/>
      <c r="X88" s="55"/>
      <c r="Y88" s="56"/>
      <c r="Z88" s="197" t="s">
        <v>127</v>
      </c>
      <c r="AA88" s="52"/>
      <c r="AB88" s="52"/>
      <c r="AC88" s="52"/>
      <c r="AD88" s="52"/>
      <c r="AE88" s="52"/>
      <c r="AF88" s="57"/>
      <c r="AG88" s="58"/>
      <c r="AH88" s="52"/>
      <c r="AI88" s="159"/>
      <c r="AJ88" s="34"/>
    </row>
    <row r="89" spans="1:36" s="33" customFormat="1" ht="34.5" hidden="1" customHeight="1">
      <c r="A89" s="33" t="s">
        <v>62</v>
      </c>
      <c r="B89" s="39"/>
      <c r="C89" s="162"/>
      <c r="D89" s="177" t="s">
        <v>307</v>
      </c>
      <c r="E89" s="175"/>
      <c r="F89" s="176"/>
      <c r="G89" s="163" t="s">
        <v>308</v>
      </c>
      <c r="H89" s="164" t="s">
        <v>22</v>
      </c>
      <c r="I89" s="165"/>
      <c r="J89" s="178"/>
      <c r="K89" s="178"/>
      <c r="L89" s="178"/>
      <c r="M89" s="178"/>
      <c r="N89" s="178"/>
      <c r="O89" s="178"/>
      <c r="P89" s="178"/>
      <c r="Q89" s="178"/>
      <c r="R89" s="178"/>
      <c r="S89" s="178"/>
      <c r="T89" s="178"/>
      <c r="U89" s="178"/>
      <c r="V89" s="178"/>
      <c r="W89" s="166"/>
      <c r="X89" s="166"/>
      <c r="Y89" s="167"/>
      <c r="Z89" s="196"/>
      <c r="AA89" s="168"/>
      <c r="AB89" s="168"/>
      <c r="AC89" s="168"/>
      <c r="AD89" s="168"/>
      <c r="AE89" s="168"/>
      <c r="AF89" s="163"/>
      <c r="AG89" s="169"/>
      <c r="AH89" s="168"/>
      <c r="AI89" s="170"/>
      <c r="AJ89" s="34"/>
    </row>
    <row r="90" spans="1:36" s="33" customFormat="1" ht="18" hidden="1" customHeight="1">
      <c r="A90" s="33" t="s">
        <v>62</v>
      </c>
      <c r="B90" s="39" t="s">
        <v>66</v>
      </c>
      <c r="C90" s="49"/>
      <c r="D90" s="87" t="s">
        <v>309</v>
      </c>
      <c r="E90" s="49" t="s">
        <v>69</v>
      </c>
      <c r="F90" s="51"/>
      <c r="G90" s="52" t="s">
        <v>310</v>
      </c>
      <c r="H90" s="53" t="s">
        <v>22</v>
      </c>
      <c r="I90" s="54" t="s">
        <v>4</v>
      </c>
      <c r="J90" s="178"/>
      <c r="K90" s="178"/>
      <c r="L90" s="178"/>
      <c r="M90" s="178"/>
      <c r="N90" s="178"/>
      <c r="O90" s="178"/>
      <c r="P90" s="178"/>
      <c r="Q90" s="178"/>
      <c r="R90" s="178"/>
      <c r="S90" s="178"/>
      <c r="T90" s="178"/>
      <c r="U90" s="178"/>
      <c r="V90" s="178"/>
      <c r="W90" s="55"/>
      <c r="X90" s="55"/>
      <c r="Y90" s="56"/>
      <c r="Z90" s="197" t="s">
        <v>127</v>
      </c>
      <c r="AA90" s="52"/>
      <c r="AB90" s="52"/>
      <c r="AC90" s="52"/>
      <c r="AD90" s="52"/>
      <c r="AE90" s="52"/>
      <c r="AF90" s="57"/>
      <c r="AG90" s="58"/>
      <c r="AH90" s="52"/>
      <c r="AI90" s="159"/>
      <c r="AJ90" s="34"/>
    </row>
    <row r="91" spans="1:36" s="33" customFormat="1" ht="34.5" hidden="1" customHeight="1">
      <c r="A91" s="33" t="s">
        <v>62</v>
      </c>
      <c r="B91" s="39"/>
      <c r="C91" s="162"/>
      <c r="D91" s="177" t="s">
        <v>311</v>
      </c>
      <c r="E91" s="175"/>
      <c r="F91" s="176"/>
      <c r="G91" s="163" t="s">
        <v>312</v>
      </c>
      <c r="H91" s="164" t="s">
        <v>22</v>
      </c>
      <c r="I91" s="165"/>
      <c r="J91" s="178"/>
      <c r="K91" s="178"/>
      <c r="L91" s="178"/>
      <c r="M91" s="178"/>
      <c r="N91" s="178"/>
      <c r="O91" s="178"/>
      <c r="P91" s="178"/>
      <c r="Q91" s="178"/>
      <c r="R91" s="178"/>
      <c r="S91" s="178"/>
      <c r="T91" s="178"/>
      <c r="U91" s="178"/>
      <c r="V91" s="178"/>
      <c r="W91" s="166"/>
      <c r="X91" s="166"/>
      <c r="Y91" s="167"/>
      <c r="Z91" s="254"/>
      <c r="AA91" s="168"/>
      <c r="AB91" s="168"/>
      <c r="AC91" s="168"/>
      <c r="AD91" s="168"/>
      <c r="AE91" s="168"/>
      <c r="AF91" s="163"/>
      <c r="AG91" s="169"/>
      <c r="AH91" s="168"/>
      <c r="AI91" s="170"/>
      <c r="AJ91" s="34"/>
    </row>
    <row r="92" spans="1:36" s="33" customFormat="1" ht="39" hidden="1" customHeight="1">
      <c r="A92" s="33" t="s">
        <v>62</v>
      </c>
      <c r="B92" s="39" t="s">
        <v>66</v>
      </c>
      <c r="C92" s="49"/>
      <c r="D92" s="87" t="s">
        <v>313</v>
      </c>
      <c r="E92" s="49" t="s">
        <v>69</v>
      </c>
      <c r="F92" s="51"/>
      <c r="G92" s="70" t="s">
        <v>314</v>
      </c>
      <c r="H92" s="53" t="s">
        <v>22</v>
      </c>
      <c r="I92" s="54" t="s">
        <v>4</v>
      </c>
      <c r="J92" s="178"/>
      <c r="K92" s="178"/>
      <c r="L92" s="178"/>
      <c r="M92" s="178"/>
      <c r="N92" s="178"/>
      <c r="O92" s="178"/>
      <c r="P92" s="178"/>
      <c r="Q92" s="178"/>
      <c r="R92" s="178"/>
      <c r="S92" s="178"/>
      <c r="T92" s="178"/>
      <c r="U92" s="178"/>
      <c r="V92" s="178"/>
      <c r="W92" s="55"/>
      <c r="X92" s="55"/>
      <c r="Y92" s="56"/>
      <c r="Z92" s="197" t="s">
        <v>127</v>
      </c>
      <c r="AA92" s="52"/>
      <c r="AB92" s="52"/>
      <c r="AC92" s="52"/>
      <c r="AD92" s="52"/>
      <c r="AE92" s="52"/>
      <c r="AF92" s="57"/>
      <c r="AG92" s="58"/>
      <c r="AH92" s="52"/>
      <c r="AI92" s="159"/>
      <c r="AJ92" s="34"/>
    </row>
    <row r="93" spans="1:36" s="33" customFormat="1" ht="41.4" hidden="1">
      <c r="A93" s="33" t="s">
        <v>62</v>
      </c>
      <c r="B93" s="39"/>
      <c r="C93" s="162"/>
      <c r="D93" s="177" t="s">
        <v>315</v>
      </c>
      <c r="E93" s="175"/>
      <c r="F93" s="176"/>
      <c r="G93" s="163" t="s">
        <v>316</v>
      </c>
      <c r="H93" s="164" t="s">
        <v>22</v>
      </c>
      <c r="I93" s="165"/>
      <c r="J93" s="178"/>
      <c r="K93" s="178"/>
      <c r="L93" s="178"/>
      <c r="M93" s="178"/>
      <c r="N93" s="178"/>
      <c r="O93" s="178"/>
      <c r="P93" s="178"/>
      <c r="Q93" s="178"/>
      <c r="R93" s="178"/>
      <c r="S93" s="178"/>
      <c r="T93" s="178"/>
      <c r="U93" s="178"/>
      <c r="V93" s="178"/>
      <c r="W93" s="166"/>
      <c r="X93" s="166"/>
      <c r="Y93" s="167"/>
      <c r="Z93" s="196"/>
      <c r="AA93" s="168"/>
      <c r="AB93" s="168"/>
      <c r="AC93" s="168"/>
      <c r="AD93" s="168"/>
      <c r="AE93" s="168"/>
      <c r="AF93" s="163"/>
      <c r="AG93" s="169"/>
      <c r="AH93" s="168"/>
      <c r="AI93" s="221"/>
      <c r="AJ93" s="34"/>
    </row>
    <row r="94" spans="1:36" s="33" customFormat="1" ht="92.1" hidden="1" customHeight="1">
      <c r="A94" s="33" t="s">
        <v>62</v>
      </c>
      <c r="B94" s="39" t="s">
        <v>66</v>
      </c>
      <c r="C94" s="49"/>
      <c r="D94" s="87" t="s">
        <v>317</v>
      </c>
      <c r="E94" s="49" t="s">
        <v>69</v>
      </c>
      <c r="F94" s="51"/>
      <c r="G94" s="52" t="s">
        <v>318</v>
      </c>
      <c r="H94" s="53" t="s">
        <v>22</v>
      </c>
      <c r="I94" s="54" t="s">
        <v>4</v>
      </c>
      <c r="J94" s="178"/>
      <c r="K94" s="178"/>
      <c r="L94" s="178"/>
      <c r="M94" s="178"/>
      <c r="N94" s="178"/>
      <c r="O94" s="178"/>
      <c r="P94" s="178"/>
      <c r="Q94" s="178"/>
      <c r="R94" s="178"/>
      <c r="S94" s="178"/>
      <c r="T94" s="178"/>
      <c r="U94" s="178"/>
      <c r="V94" s="178"/>
      <c r="W94" s="55"/>
      <c r="X94" s="55"/>
      <c r="Y94" s="56"/>
      <c r="Z94" s="197" t="s">
        <v>127</v>
      </c>
      <c r="AA94" s="52"/>
      <c r="AB94" s="52"/>
      <c r="AC94" s="52"/>
      <c r="AD94" s="52"/>
      <c r="AE94" s="52"/>
      <c r="AF94" s="57"/>
      <c r="AG94" s="58"/>
      <c r="AH94" s="52"/>
      <c r="AI94" s="220"/>
      <c r="AJ94" s="34"/>
    </row>
    <row r="95" spans="1:36" s="33" customFormat="1" ht="55.2" hidden="1">
      <c r="A95" s="33" t="s">
        <v>62</v>
      </c>
      <c r="B95" s="39"/>
      <c r="C95" s="162"/>
      <c r="D95" s="177" t="s">
        <v>319</v>
      </c>
      <c r="E95" s="175"/>
      <c r="F95" s="176"/>
      <c r="G95" s="163" t="s">
        <v>320</v>
      </c>
      <c r="H95" s="164" t="s">
        <v>22</v>
      </c>
      <c r="I95" s="165"/>
      <c r="J95" s="178"/>
      <c r="K95" s="178"/>
      <c r="L95" s="178"/>
      <c r="M95" s="178"/>
      <c r="N95" s="178"/>
      <c r="O95" s="178"/>
      <c r="P95" s="178"/>
      <c r="Q95" s="178"/>
      <c r="R95" s="178"/>
      <c r="S95" s="178"/>
      <c r="T95" s="178"/>
      <c r="U95" s="178"/>
      <c r="V95" s="178"/>
      <c r="W95" s="166"/>
      <c r="X95" s="166"/>
      <c r="Y95" s="167"/>
      <c r="Z95" s="196"/>
      <c r="AA95" s="168"/>
      <c r="AB95" s="168"/>
      <c r="AC95" s="168"/>
      <c r="AD95" s="168"/>
      <c r="AE95" s="168"/>
      <c r="AF95" s="163"/>
      <c r="AG95" s="169"/>
      <c r="AH95" s="168"/>
      <c r="AI95" s="221"/>
      <c r="AJ95" s="34"/>
    </row>
    <row r="96" spans="1:36" s="33" customFormat="1" ht="41.4" hidden="1">
      <c r="A96" s="33" t="s">
        <v>62</v>
      </c>
      <c r="B96" s="39" t="s">
        <v>66</v>
      </c>
      <c r="C96" s="49"/>
      <c r="D96" s="87" t="s">
        <v>321</v>
      </c>
      <c r="E96" s="49" t="s">
        <v>69</v>
      </c>
      <c r="F96" s="51"/>
      <c r="G96" s="52" t="s">
        <v>322</v>
      </c>
      <c r="H96" s="53" t="s">
        <v>22</v>
      </c>
      <c r="I96" s="54" t="s">
        <v>71</v>
      </c>
      <c r="J96" s="178"/>
      <c r="K96" s="178"/>
      <c r="L96" s="178"/>
      <c r="M96" s="178"/>
      <c r="N96" s="178"/>
      <c r="O96" s="178"/>
      <c r="P96" s="178"/>
      <c r="Q96" s="178"/>
      <c r="R96" s="178"/>
      <c r="S96" s="178"/>
      <c r="T96" s="178"/>
      <c r="U96" s="178"/>
      <c r="V96" s="178"/>
      <c r="W96" s="55"/>
      <c r="X96" s="55"/>
      <c r="Y96" s="56"/>
      <c r="Z96" s="197" t="s">
        <v>323</v>
      </c>
      <c r="AA96" s="52"/>
      <c r="AB96" s="52"/>
      <c r="AC96" s="52"/>
      <c r="AD96" s="52"/>
      <c r="AE96" s="52"/>
      <c r="AF96" s="57"/>
      <c r="AG96" s="58"/>
      <c r="AH96" s="52"/>
      <c r="AI96" s="159"/>
      <c r="AJ96" s="34"/>
    </row>
    <row r="97" spans="1:36" s="33" customFormat="1" ht="55.2" hidden="1">
      <c r="A97" s="33" t="s">
        <v>62</v>
      </c>
      <c r="B97" s="39"/>
      <c r="C97" s="162"/>
      <c r="D97" s="177" t="s">
        <v>324</v>
      </c>
      <c r="E97" s="175"/>
      <c r="F97" s="176"/>
      <c r="G97" s="214" t="s">
        <v>325</v>
      </c>
      <c r="H97" s="164" t="s">
        <v>22</v>
      </c>
      <c r="I97" s="165"/>
      <c r="J97" s="178"/>
      <c r="K97" s="178"/>
      <c r="L97" s="178"/>
      <c r="M97" s="178"/>
      <c r="N97" s="178"/>
      <c r="O97" s="178"/>
      <c r="P97" s="178"/>
      <c r="Q97" s="178"/>
      <c r="R97" s="178"/>
      <c r="S97" s="178"/>
      <c r="T97" s="178"/>
      <c r="U97" s="178"/>
      <c r="V97" s="178"/>
      <c r="W97" s="166"/>
      <c r="X97" s="166"/>
      <c r="Y97" s="167"/>
      <c r="Z97" s="196"/>
      <c r="AA97" s="168"/>
      <c r="AB97" s="168"/>
      <c r="AC97" s="168"/>
      <c r="AD97" s="168"/>
      <c r="AE97" s="168"/>
      <c r="AF97" s="163"/>
      <c r="AG97" s="169"/>
      <c r="AH97" s="168"/>
      <c r="AI97" s="221"/>
      <c r="AJ97" s="34"/>
    </row>
    <row r="98" spans="1:36" s="33" customFormat="1" ht="27.6" hidden="1">
      <c r="A98" s="33" t="s">
        <v>75</v>
      </c>
      <c r="B98" s="39" t="s">
        <v>326</v>
      </c>
      <c r="C98" s="49"/>
      <c r="D98" s="87" t="s">
        <v>327</v>
      </c>
      <c r="E98" s="49" t="s">
        <v>96</v>
      </c>
      <c r="F98" s="51"/>
      <c r="G98" s="52" t="s">
        <v>328</v>
      </c>
      <c r="H98" s="184" t="s">
        <v>22</v>
      </c>
      <c r="I98" s="54" t="s">
        <v>4</v>
      </c>
      <c r="J98" s="178"/>
      <c r="K98" s="178"/>
      <c r="L98" s="178"/>
      <c r="M98" s="178"/>
      <c r="N98" s="178"/>
      <c r="O98" s="178"/>
      <c r="P98" s="178"/>
      <c r="Q98" s="178"/>
      <c r="R98" s="178"/>
      <c r="S98" s="178"/>
      <c r="T98" s="178"/>
      <c r="U98" s="178"/>
      <c r="V98" s="178"/>
      <c r="W98" s="55"/>
      <c r="X98" s="55"/>
      <c r="Y98" s="56"/>
      <c r="Z98" s="197" t="s">
        <v>127</v>
      </c>
      <c r="AA98" s="52"/>
      <c r="AB98" s="52"/>
      <c r="AC98" s="52"/>
      <c r="AD98" s="52"/>
      <c r="AE98" s="52"/>
      <c r="AF98" s="57"/>
      <c r="AG98" s="58"/>
      <c r="AH98" s="52"/>
      <c r="AI98" s="159"/>
      <c r="AJ98" s="34"/>
    </row>
    <row r="99" spans="1:36" s="33" customFormat="1" ht="34.5" hidden="1" customHeight="1">
      <c r="A99" s="33" t="s">
        <v>75</v>
      </c>
      <c r="B99" s="39" t="s">
        <v>329</v>
      </c>
      <c r="C99" s="49"/>
      <c r="D99" s="87" t="s">
        <v>330</v>
      </c>
      <c r="E99" s="49" t="s">
        <v>96</v>
      </c>
      <c r="F99" s="51"/>
      <c r="G99" s="70" t="s">
        <v>331</v>
      </c>
      <c r="H99" s="184" t="s">
        <v>22</v>
      </c>
      <c r="I99" s="54" t="s">
        <v>4</v>
      </c>
      <c r="J99" s="178"/>
      <c r="K99" s="178"/>
      <c r="L99" s="178"/>
      <c r="M99" s="178"/>
      <c r="N99" s="178"/>
      <c r="O99" s="178"/>
      <c r="P99" s="178"/>
      <c r="Q99" s="178"/>
      <c r="R99" s="178"/>
      <c r="S99" s="178"/>
      <c r="T99" s="178"/>
      <c r="U99" s="178"/>
      <c r="V99" s="178"/>
      <c r="W99" s="55"/>
      <c r="X99" s="55"/>
      <c r="Y99" s="56"/>
      <c r="Z99" s="197" t="s">
        <v>127</v>
      </c>
      <c r="AA99" s="52"/>
      <c r="AB99" s="52"/>
      <c r="AC99" s="52"/>
      <c r="AD99" s="52"/>
      <c r="AE99" s="52"/>
      <c r="AF99" s="57"/>
      <c r="AG99" s="58"/>
      <c r="AH99" s="52"/>
      <c r="AI99" s="159"/>
      <c r="AJ99" s="34"/>
    </row>
    <row r="100" spans="1:36" s="33" customFormat="1" hidden="1">
      <c r="A100" s="33" t="s">
        <v>62</v>
      </c>
      <c r="B100" s="39" t="s">
        <v>326</v>
      </c>
      <c r="C100" s="49"/>
      <c r="D100" s="87" t="s">
        <v>332</v>
      </c>
      <c r="E100" s="49" t="s">
        <v>96</v>
      </c>
      <c r="F100" s="51"/>
      <c r="G100" s="52" t="s">
        <v>333</v>
      </c>
      <c r="H100" s="184" t="s">
        <v>22</v>
      </c>
      <c r="I100" s="54" t="s">
        <v>4</v>
      </c>
      <c r="J100" s="178"/>
      <c r="K100" s="178"/>
      <c r="L100" s="178"/>
      <c r="M100" s="178"/>
      <c r="N100" s="178"/>
      <c r="O100" s="178"/>
      <c r="P100" s="178"/>
      <c r="Q100" s="178"/>
      <c r="R100" s="178"/>
      <c r="S100" s="178"/>
      <c r="T100" s="178"/>
      <c r="U100" s="178"/>
      <c r="V100" s="178"/>
      <c r="W100" s="55"/>
      <c r="X100" s="55"/>
      <c r="Y100" s="56"/>
      <c r="Z100" s="197" t="s">
        <v>127</v>
      </c>
      <c r="AA100" s="52"/>
      <c r="AB100" s="52"/>
      <c r="AC100" s="52"/>
      <c r="AD100" s="52"/>
      <c r="AE100" s="52"/>
      <c r="AF100" s="57"/>
      <c r="AG100" s="58"/>
      <c r="AH100" s="52"/>
      <c r="AI100" s="159"/>
      <c r="AJ100" s="34"/>
    </row>
    <row r="101" spans="1:36" s="33" customFormat="1" ht="42.6" hidden="1" customHeight="1">
      <c r="A101" s="33" t="s">
        <v>62</v>
      </c>
      <c r="B101" s="39" t="s">
        <v>326</v>
      </c>
      <c r="C101" s="49"/>
      <c r="D101" s="87" t="s">
        <v>334</v>
      </c>
      <c r="E101" s="49" t="s">
        <v>96</v>
      </c>
      <c r="F101" s="51"/>
      <c r="G101" s="52" t="s">
        <v>335</v>
      </c>
      <c r="H101" s="184" t="s">
        <v>22</v>
      </c>
      <c r="I101" s="54" t="s">
        <v>4</v>
      </c>
      <c r="J101" s="178"/>
      <c r="K101" s="178"/>
      <c r="L101" s="178"/>
      <c r="M101" s="178"/>
      <c r="N101" s="178"/>
      <c r="O101" s="178"/>
      <c r="P101" s="178"/>
      <c r="Q101" s="178"/>
      <c r="R101" s="178"/>
      <c r="S101" s="178"/>
      <c r="T101" s="178"/>
      <c r="U101" s="178"/>
      <c r="V101" s="178"/>
      <c r="W101" s="55"/>
      <c r="X101" s="55"/>
      <c r="Y101" s="56"/>
      <c r="Z101" s="197" t="s">
        <v>127</v>
      </c>
      <c r="AA101" s="52"/>
      <c r="AB101" s="52"/>
      <c r="AC101" s="52"/>
      <c r="AD101" s="52"/>
      <c r="AE101" s="52"/>
      <c r="AF101" s="57"/>
      <c r="AG101" s="58"/>
      <c r="AH101" s="52"/>
      <c r="AI101" s="159"/>
      <c r="AJ101" s="34"/>
    </row>
    <row r="102" spans="1:36" hidden="1">
      <c r="A102" s="33"/>
      <c r="C102" s="66"/>
      <c r="D102" s="87" t="s">
        <v>336</v>
      </c>
      <c r="E102" s="66"/>
      <c r="F102" s="51" t="s">
        <v>337</v>
      </c>
      <c r="G102" s="70" t="s">
        <v>338</v>
      </c>
      <c r="Y102" s="56"/>
      <c r="Z102" s="197"/>
      <c r="AF102" s="57"/>
      <c r="AI102" s="220"/>
    </row>
    <row r="103" spans="1:36" s="33" customFormat="1" ht="27.6" hidden="1">
      <c r="A103" s="33" t="s">
        <v>62</v>
      </c>
      <c r="B103" s="39"/>
      <c r="C103" s="162"/>
      <c r="D103" s="177" t="s">
        <v>339</v>
      </c>
      <c r="E103" s="175"/>
      <c r="F103" s="176"/>
      <c r="G103" s="214" t="s">
        <v>340</v>
      </c>
      <c r="H103" s="164" t="s">
        <v>22</v>
      </c>
      <c r="I103" s="165"/>
      <c r="J103" s="178"/>
      <c r="K103" s="178"/>
      <c r="L103" s="178"/>
      <c r="M103" s="178"/>
      <c r="N103" s="178"/>
      <c r="O103" s="178"/>
      <c r="P103" s="178"/>
      <c r="Q103" s="178"/>
      <c r="R103" s="178"/>
      <c r="S103" s="178"/>
      <c r="T103" s="178"/>
      <c r="U103" s="178"/>
      <c r="V103" s="178"/>
      <c r="W103" s="166"/>
      <c r="X103" s="166"/>
      <c r="Y103" s="167"/>
      <c r="Z103" s="196"/>
      <c r="AA103" s="168"/>
      <c r="AB103" s="168"/>
      <c r="AC103" s="168"/>
      <c r="AD103" s="168"/>
      <c r="AE103" s="168"/>
      <c r="AF103" s="163"/>
      <c r="AG103" s="169"/>
      <c r="AH103" s="168"/>
      <c r="AI103" s="221"/>
      <c r="AJ103" s="34"/>
    </row>
    <row r="104" spans="1:36" s="33" customFormat="1" ht="92.85" hidden="1" customHeight="1">
      <c r="A104" s="33" t="s">
        <v>62</v>
      </c>
      <c r="B104" s="39" t="s">
        <v>66</v>
      </c>
      <c r="C104" s="49"/>
      <c r="D104" s="151" t="s">
        <v>341</v>
      </c>
      <c r="E104" s="49" t="s">
        <v>69</v>
      </c>
      <c r="F104" s="51"/>
      <c r="G104" s="52" t="s">
        <v>342</v>
      </c>
      <c r="H104" s="53" t="s">
        <v>22</v>
      </c>
      <c r="I104" s="54" t="s">
        <v>4</v>
      </c>
      <c r="J104" s="178"/>
      <c r="K104" s="178"/>
      <c r="L104" s="178"/>
      <c r="M104" s="178"/>
      <c r="N104" s="178"/>
      <c r="O104" s="178"/>
      <c r="P104" s="178"/>
      <c r="Q104" s="178"/>
      <c r="R104" s="178"/>
      <c r="S104" s="178"/>
      <c r="T104" s="178"/>
      <c r="U104" s="178"/>
      <c r="V104" s="178"/>
      <c r="W104" s="55"/>
      <c r="X104" s="55"/>
      <c r="Y104" s="56"/>
      <c r="Z104" s="197" t="s">
        <v>127</v>
      </c>
      <c r="AA104" s="52"/>
      <c r="AB104" s="52"/>
      <c r="AC104" s="52"/>
      <c r="AD104" s="52"/>
      <c r="AE104" s="52"/>
      <c r="AF104" s="57"/>
      <c r="AG104" s="58"/>
      <c r="AH104" s="52"/>
      <c r="AI104" s="220"/>
      <c r="AJ104" s="34"/>
    </row>
    <row r="105" spans="1:36" s="33" customFormat="1" ht="55.2" hidden="1">
      <c r="A105" s="33" t="s">
        <v>62</v>
      </c>
      <c r="B105" s="39"/>
      <c r="C105" s="162"/>
      <c r="D105" s="177" t="s">
        <v>343</v>
      </c>
      <c r="E105" s="175"/>
      <c r="F105" s="176"/>
      <c r="G105" s="163" t="s">
        <v>344</v>
      </c>
      <c r="H105" s="164" t="s">
        <v>22</v>
      </c>
      <c r="I105" s="165"/>
      <c r="J105" s="178"/>
      <c r="K105" s="178"/>
      <c r="L105" s="178"/>
      <c r="M105" s="178"/>
      <c r="N105" s="178"/>
      <c r="O105" s="178"/>
      <c r="P105" s="178"/>
      <c r="Q105" s="178"/>
      <c r="R105" s="178"/>
      <c r="S105" s="178"/>
      <c r="T105" s="178"/>
      <c r="U105" s="178"/>
      <c r="V105" s="178"/>
      <c r="W105" s="166"/>
      <c r="X105" s="166"/>
      <c r="Y105" s="167"/>
      <c r="Z105" s="196"/>
      <c r="AA105" s="168"/>
      <c r="AB105" s="168"/>
      <c r="AC105" s="168"/>
      <c r="AD105" s="168"/>
      <c r="AE105" s="168"/>
      <c r="AF105" s="163"/>
      <c r="AG105" s="169"/>
      <c r="AH105" s="168"/>
      <c r="AI105" s="221"/>
      <c r="AJ105" s="34"/>
    </row>
    <row r="106" spans="1:36" s="33" customFormat="1" ht="90" hidden="1" customHeight="1">
      <c r="A106" s="33" t="s">
        <v>62</v>
      </c>
      <c r="B106" s="39" t="s">
        <v>66</v>
      </c>
      <c r="C106" s="49"/>
      <c r="D106" s="151" t="s">
        <v>345</v>
      </c>
      <c r="E106" s="49" t="s">
        <v>69</v>
      </c>
      <c r="F106" s="51"/>
      <c r="G106" s="52" t="s">
        <v>346</v>
      </c>
      <c r="H106" s="53" t="s">
        <v>22</v>
      </c>
      <c r="I106" s="54" t="s">
        <v>4</v>
      </c>
      <c r="J106" s="178"/>
      <c r="K106" s="178"/>
      <c r="L106" s="178"/>
      <c r="M106" s="178"/>
      <c r="N106" s="178"/>
      <c r="O106" s="178"/>
      <c r="P106" s="178"/>
      <c r="Q106" s="178"/>
      <c r="R106" s="178"/>
      <c r="S106" s="178"/>
      <c r="T106" s="178"/>
      <c r="U106" s="178"/>
      <c r="V106" s="178"/>
      <c r="W106" s="55"/>
      <c r="X106" s="55"/>
      <c r="Y106" s="56"/>
      <c r="Z106" s="197" t="s">
        <v>127</v>
      </c>
      <c r="AA106" s="52"/>
      <c r="AB106" s="52"/>
      <c r="AC106" s="52"/>
      <c r="AD106" s="52"/>
      <c r="AE106" s="52"/>
      <c r="AF106" s="57"/>
      <c r="AG106" s="58"/>
      <c r="AH106" s="52"/>
      <c r="AI106" s="220"/>
      <c r="AJ106" s="34"/>
    </row>
    <row r="107" spans="1:36" s="33" customFormat="1" hidden="1">
      <c r="A107" s="39"/>
      <c r="B107" s="39" t="s">
        <v>329</v>
      </c>
      <c r="C107" s="49"/>
      <c r="D107" s="151" t="s">
        <v>347</v>
      </c>
      <c r="E107" s="49" t="s">
        <v>69</v>
      </c>
      <c r="F107" s="51"/>
      <c r="G107" s="52" t="s">
        <v>348</v>
      </c>
      <c r="H107" s="53"/>
      <c r="I107" s="54" t="s">
        <v>71</v>
      </c>
      <c r="J107" s="178"/>
      <c r="K107" s="178"/>
      <c r="L107" s="178"/>
      <c r="M107" s="178"/>
      <c r="N107" s="178"/>
      <c r="O107" s="178"/>
      <c r="P107" s="178"/>
      <c r="Q107" s="178"/>
      <c r="R107" s="178"/>
      <c r="S107" s="178"/>
      <c r="T107" s="178"/>
      <c r="U107" s="178"/>
      <c r="V107" s="178"/>
      <c r="W107" s="55"/>
      <c r="X107" s="55"/>
      <c r="Y107" s="56"/>
      <c r="Z107" s="197" t="s">
        <v>349</v>
      </c>
      <c r="AA107" s="52"/>
      <c r="AB107" s="52"/>
      <c r="AC107" s="52"/>
      <c r="AD107" s="52"/>
      <c r="AE107" s="52"/>
      <c r="AF107" s="57"/>
      <c r="AG107" s="58"/>
      <c r="AH107" s="52"/>
      <c r="AI107" s="220"/>
      <c r="AJ107" s="34"/>
    </row>
    <row r="108" spans="1:36" s="33" customFormat="1" ht="27.6" hidden="1">
      <c r="A108" s="33" t="s">
        <v>62</v>
      </c>
      <c r="B108" s="39"/>
      <c r="C108" s="162"/>
      <c r="D108" s="177" t="s">
        <v>350</v>
      </c>
      <c r="E108" s="175"/>
      <c r="F108" s="176"/>
      <c r="G108" s="163" t="s">
        <v>351</v>
      </c>
      <c r="H108" s="164" t="s">
        <v>22</v>
      </c>
      <c r="I108" s="165"/>
      <c r="J108" s="178"/>
      <c r="K108" s="178"/>
      <c r="L108" s="178"/>
      <c r="M108" s="178"/>
      <c r="N108" s="178"/>
      <c r="O108" s="178"/>
      <c r="P108" s="178"/>
      <c r="Q108" s="178"/>
      <c r="R108" s="178"/>
      <c r="S108" s="178"/>
      <c r="T108" s="178"/>
      <c r="U108" s="178"/>
      <c r="V108" s="178"/>
      <c r="W108" s="166"/>
      <c r="X108" s="166"/>
      <c r="Y108" s="167"/>
      <c r="Z108" s="196"/>
      <c r="AA108" s="168"/>
      <c r="AB108" s="168"/>
      <c r="AC108" s="168"/>
      <c r="AD108" s="168"/>
      <c r="AE108" s="168"/>
      <c r="AF108" s="163"/>
      <c r="AG108" s="169"/>
      <c r="AH108" s="168"/>
      <c r="AI108" s="221"/>
      <c r="AJ108" s="34"/>
    </row>
    <row r="109" spans="1:36" s="33" customFormat="1" ht="34.5" hidden="1" customHeight="1">
      <c r="A109" s="33" t="s">
        <v>62</v>
      </c>
      <c r="B109" s="39" t="s">
        <v>66</v>
      </c>
      <c r="C109" s="49"/>
      <c r="D109" s="151" t="s">
        <v>352</v>
      </c>
      <c r="E109" s="49" t="s">
        <v>69</v>
      </c>
      <c r="F109" s="51"/>
      <c r="G109" s="52" t="s">
        <v>353</v>
      </c>
      <c r="H109" s="53" t="s">
        <v>22</v>
      </c>
      <c r="I109" s="54" t="s">
        <v>4</v>
      </c>
      <c r="J109" s="178"/>
      <c r="K109" s="178"/>
      <c r="L109" s="178"/>
      <c r="M109" s="178"/>
      <c r="N109" s="178"/>
      <c r="O109" s="178"/>
      <c r="P109" s="178"/>
      <c r="Q109" s="178"/>
      <c r="R109" s="178"/>
      <c r="S109" s="178"/>
      <c r="T109" s="178"/>
      <c r="U109" s="178"/>
      <c r="V109" s="178"/>
      <c r="W109" s="55"/>
      <c r="X109" s="55"/>
      <c r="Y109" s="56"/>
      <c r="Z109" s="197" t="s">
        <v>127</v>
      </c>
      <c r="AA109" s="52"/>
      <c r="AB109" s="52"/>
      <c r="AC109" s="52"/>
      <c r="AD109" s="52"/>
      <c r="AE109" s="52"/>
      <c r="AF109" s="57"/>
      <c r="AG109" s="58"/>
      <c r="AH109" s="52"/>
      <c r="AI109" s="220"/>
      <c r="AJ109" s="34"/>
    </row>
    <row r="110" spans="1:36" s="33" customFormat="1" ht="63" hidden="1" customHeight="1">
      <c r="A110" s="33" t="s">
        <v>62</v>
      </c>
      <c r="B110" s="39"/>
      <c r="C110" s="162"/>
      <c r="D110" s="177" t="s">
        <v>354</v>
      </c>
      <c r="E110" s="175"/>
      <c r="F110" s="176"/>
      <c r="G110" s="163" t="s">
        <v>355</v>
      </c>
      <c r="H110" s="164" t="s">
        <v>22</v>
      </c>
      <c r="I110" s="165"/>
      <c r="J110" s="178"/>
      <c r="K110" s="178"/>
      <c r="L110" s="178"/>
      <c r="M110" s="178"/>
      <c r="N110" s="178"/>
      <c r="O110" s="178"/>
      <c r="P110" s="178"/>
      <c r="Q110" s="178"/>
      <c r="R110" s="178"/>
      <c r="S110" s="178"/>
      <c r="T110" s="178"/>
      <c r="U110" s="178"/>
      <c r="V110" s="178"/>
      <c r="W110" s="166"/>
      <c r="X110" s="166"/>
      <c r="Y110" s="167"/>
      <c r="Z110" s="196"/>
      <c r="AA110" s="168"/>
      <c r="AB110" s="168"/>
      <c r="AC110" s="168"/>
      <c r="AD110" s="168"/>
      <c r="AE110" s="168"/>
      <c r="AF110" s="163"/>
      <c r="AG110" s="169"/>
      <c r="AH110" s="168"/>
      <c r="AI110" s="221"/>
      <c r="AJ110" s="34"/>
    </row>
    <row r="111" spans="1:36" s="33" customFormat="1" ht="34.5" hidden="1" customHeight="1">
      <c r="A111" s="33" t="s">
        <v>62</v>
      </c>
      <c r="B111" s="39" t="s">
        <v>329</v>
      </c>
      <c r="C111" s="49"/>
      <c r="D111" s="151" t="s">
        <v>356</v>
      </c>
      <c r="E111" s="49" t="s">
        <v>69</v>
      </c>
      <c r="F111" s="51"/>
      <c r="G111" s="52" t="s">
        <v>357</v>
      </c>
      <c r="H111" s="53"/>
      <c r="I111" s="54" t="s">
        <v>71</v>
      </c>
      <c r="J111" s="178"/>
      <c r="K111" s="178"/>
      <c r="L111" s="178"/>
      <c r="M111" s="178"/>
      <c r="N111" s="178"/>
      <c r="O111" s="178"/>
      <c r="P111" s="178"/>
      <c r="Q111" s="178"/>
      <c r="R111" s="178"/>
      <c r="S111" s="178"/>
      <c r="T111" s="178"/>
      <c r="U111" s="178"/>
      <c r="V111" s="178"/>
      <c r="W111" s="55"/>
      <c r="X111" s="55"/>
      <c r="Y111" s="56"/>
      <c r="Z111" s="197" t="s">
        <v>358</v>
      </c>
      <c r="AA111" s="52"/>
      <c r="AB111" s="52"/>
      <c r="AC111" s="52"/>
      <c r="AD111" s="52"/>
      <c r="AE111" s="52"/>
      <c r="AF111" s="57"/>
      <c r="AG111" s="58"/>
      <c r="AH111" s="52"/>
      <c r="AI111" s="220"/>
      <c r="AJ111" s="34"/>
    </row>
    <row r="112" spans="1:36" s="33" customFormat="1" ht="27.6" hidden="1">
      <c r="A112" s="33" t="s">
        <v>62</v>
      </c>
      <c r="B112" s="39"/>
      <c r="C112" s="162"/>
      <c r="D112" s="177" t="s">
        <v>359</v>
      </c>
      <c r="E112" s="175"/>
      <c r="F112" s="176"/>
      <c r="G112" s="163" t="s">
        <v>360</v>
      </c>
      <c r="H112" s="164" t="s">
        <v>22</v>
      </c>
      <c r="I112" s="165"/>
      <c r="J112" s="178"/>
      <c r="K112" s="178"/>
      <c r="L112" s="178"/>
      <c r="M112" s="178"/>
      <c r="N112" s="178"/>
      <c r="O112" s="178"/>
      <c r="P112" s="178"/>
      <c r="Q112" s="178"/>
      <c r="R112" s="178"/>
      <c r="S112" s="178"/>
      <c r="T112" s="178"/>
      <c r="U112" s="178"/>
      <c r="V112" s="178"/>
      <c r="W112" s="166"/>
      <c r="X112" s="166"/>
      <c r="Y112" s="167"/>
      <c r="Z112" s="196"/>
      <c r="AA112" s="168"/>
      <c r="AB112" s="168"/>
      <c r="AC112" s="168"/>
      <c r="AD112" s="168"/>
      <c r="AE112" s="168"/>
      <c r="AF112" s="163"/>
      <c r="AG112" s="169"/>
      <c r="AH112" s="168"/>
      <c r="AI112" s="221"/>
      <c r="AJ112" s="34"/>
    </row>
    <row r="113" spans="1:36" s="33" customFormat="1" ht="34.5" hidden="1" customHeight="1">
      <c r="A113" s="33" t="s">
        <v>62</v>
      </c>
      <c r="B113" s="39" t="s">
        <v>329</v>
      </c>
      <c r="C113" s="49"/>
      <c r="D113" s="151" t="s">
        <v>361</v>
      </c>
      <c r="E113" s="49" t="s">
        <v>69</v>
      </c>
      <c r="F113" s="51"/>
      <c r="G113" s="52" t="s">
        <v>362</v>
      </c>
      <c r="H113" s="53"/>
      <c r="I113" s="54" t="s">
        <v>71</v>
      </c>
      <c r="J113" s="178"/>
      <c r="K113" s="178"/>
      <c r="L113" s="178"/>
      <c r="M113" s="178"/>
      <c r="N113" s="178"/>
      <c r="O113" s="178"/>
      <c r="P113" s="178"/>
      <c r="Q113" s="178"/>
      <c r="R113" s="178"/>
      <c r="S113" s="178"/>
      <c r="T113" s="178"/>
      <c r="U113" s="178"/>
      <c r="V113" s="178"/>
      <c r="W113" s="55"/>
      <c r="X113" s="55"/>
      <c r="Y113" s="56"/>
      <c r="Z113" s="197" t="s">
        <v>358</v>
      </c>
      <c r="AA113" s="52"/>
      <c r="AB113" s="52"/>
      <c r="AC113" s="52"/>
      <c r="AD113" s="52"/>
      <c r="AE113" s="52"/>
      <c r="AF113" s="57"/>
      <c r="AG113" s="58"/>
      <c r="AH113" s="52"/>
      <c r="AI113" s="220"/>
      <c r="AJ113" s="34"/>
    </row>
    <row r="114" spans="1:36" s="33" customFormat="1" ht="55.2" hidden="1">
      <c r="A114" s="33" t="s">
        <v>62</v>
      </c>
      <c r="B114" s="39"/>
      <c r="C114" s="162"/>
      <c r="D114" s="177" t="s">
        <v>363</v>
      </c>
      <c r="E114" s="175"/>
      <c r="F114" s="176"/>
      <c r="G114" s="163" t="s">
        <v>364</v>
      </c>
      <c r="H114" s="164" t="s">
        <v>22</v>
      </c>
      <c r="I114" s="165"/>
      <c r="J114" s="178"/>
      <c r="K114" s="178"/>
      <c r="L114" s="178"/>
      <c r="M114" s="178"/>
      <c r="N114" s="178"/>
      <c r="O114" s="178"/>
      <c r="P114" s="178"/>
      <c r="Q114" s="178"/>
      <c r="R114" s="178"/>
      <c r="S114" s="178"/>
      <c r="T114" s="178"/>
      <c r="U114" s="178"/>
      <c r="V114" s="178"/>
      <c r="W114" s="166"/>
      <c r="X114" s="166"/>
      <c r="Y114" s="167"/>
      <c r="Z114" s="196"/>
      <c r="AA114" s="168"/>
      <c r="AB114" s="168"/>
      <c r="AC114" s="168"/>
      <c r="AD114" s="168"/>
      <c r="AE114" s="168"/>
      <c r="AF114" s="163"/>
      <c r="AG114" s="169"/>
      <c r="AH114" s="168"/>
      <c r="AI114" s="221"/>
      <c r="AJ114" s="34"/>
    </row>
    <row r="115" spans="1:36" s="33" customFormat="1" ht="69" hidden="1" customHeight="1">
      <c r="A115" s="33" t="s">
        <v>62</v>
      </c>
      <c r="B115" s="39" t="s">
        <v>326</v>
      </c>
      <c r="C115" s="49"/>
      <c r="D115" s="151" t="s">
        <v>365</v>
      </c>
      <c r="E115" s="49" t="s">
        <v>96</v>
      </c>
      <c r="F115" s="51"/>
      <c r="G115" s="52" t="s">
        <v>366</v>
      </c>
      <c r="H115" s="53" t="s">
        <v>22</v>
      </c>
      <c r="I115" s="54" t="s">
        <v>4</v>
      </c>
      <c r="J115" s="178"/>
      <c r="K115" s="178"/>
      <c r="L115" s="178"/>
      <c r="M115" s="178"/>
      <c r="N115" s="178"/>
      <c r="O115" s="178"/>
      <c r="P115" s="178"/>
      <c r="Q115" s="178"/>
      <c r="R115" s="178"/>
      <c r="S115" s="178"/>
      <c r="T115" s="178"/>
      <c r="U115" s="178"/>
      <c r="V115" s="178"/>
      <c r="W115" s="55"/>
      <c r="X115" s="55"/>
      <c r="Y115" s="56"/>
      <c r="Z115" s="197" t="s">
        <v>127</v>
      </c>
      <c r="AA115" s="52"/>
      <c r="AB115" s="52"/>
      <c r="AC115" s="52"/>
      <c r="AD115" s="52"/>
      <c r="AE115" s="52"/>
      <c r="AF115" s="57"/>
      <c r="AG115" s="58"/>
      <c r="AH115" s="52"/>
      <c r="AI115" s="220"/>
      <c r="AJ115" s="34"/>
    </row>
    <row r="116" spans="1:36" s="33" customFormat="1" hidden="1">
      <c r="A116" s="39" t="s">
        <v>62</v>
      </c>
      <c r="B116" s="39" t="s">
        <v>326</v>
      </c>
      <c r="C116" s="49"/>
      <c r="D116" s="151" t="s">
        <v>367</v>
      </c>
      <c r="E116" s="49" t="s">
        <v>96</v>
      </c>
      <c r="F116" s="51"/>
      <c r="G116" s="182" t="s">
        <v>368</v>
      </c>
      <c r="H116" s="53" t="s">
        <v>22</v>
      </c>
      <c r="I116" s="54" t="s">
        <v>4</v>
      </c>
      <c r="J116" s="178"/>
      <c r="K116" s="178"/>
      <c r="L116" s="178"/>
      <c r="M116" s="178"/>
      <c r="N116" s="178"/>
      <c r="O116" s="178"/>
      <c r="P116" s="178"/>
      <c r="Q116" s="178"/>
      <c r="R116" s="178"/>
      <c r="S116" s="178"/>
      <c r="T116" s="178"/>
      <c r="U116" s="178"/>
      <c r="V116" s="178"/>
      <c r="W116" s="55"/>
      <c r="X116" s="55"/>
      <c r="Y116" s="56"/>
      <c r="Z116" s="197" t="s">
        <v>127</v>
      </c>
      <c r="AA116" s="52"/>
      <c r="AB116" s="52"/>
      <c r="AC116" s="52"/>
      <c r="AD116" s="52"/>
      <c r="AE116" s="52"/>
      <c r="AF116" s="57"/>
      <c r="AG116" s="58"/>
      <c r="AH116" s="52"/>
      <c r="AI116" s="220"/>
      <c r="AJ116" s="34"/>
    </row>
    <row r="117" spans="1:36" s="33" customFormat="1" ht="48" hidden="1" customHeight="1">
      <c r="A117" s="33" t="s">
        <v>62</v>
      </c>
      <c r="B117" s="39"/>
      <c r="C117" s="162"/>
      <c r="D117" s="177" t="s">
        <v>369</v>
      </c>
      <c r="E117" s="175"/>
      <c r="F117" s="176"/>
      <c r="G117" s="163" t="s">
        <v>370</v>
      </c>
      <c r="H117" s="164" t="s">
        <v>22</v>
      </c>
      <c r="I117" s="165"/>
      <c r="J117" s="178"/>
      <c r="K117" s="178"/>
      <c r="L117" s="178"/>
      <c r="M117" s="178"/>
      <c r="N117" s="178"/>
      <c r="O117" s="178"/>
      <c r="P117" s="178"/>
      <c r="Q117" s="178"/>
      <c r="R117" s="178"/>
      <c r="S117" s="178"/>
      <c r="T117" s="178"/>
      <c r="U117" s="178"/>
      <c r="V117" s="178"/>
      <c r="W117" s="166"/>
      <c r="X117" s="166"/>
      <c r="Y117" s="167"/>
      <c r="Z117" s="196"/>
      <c r="AA117" s="168"/>
      <c r="AB117" s="168"/>
      <c r="AC117" s="168"/>
      <c r="AD117" s="168"/>
      <c r="AE117" s="168"/>
      <c r="AF117" s="163"/>
      <c r="AG117" s="169"/>
      <c r="AH117" s="168"/>
      <c r="AI117" s="170"/>
      <c r="AJ117" s="34"/>
    </row>
    <row r="118" spans="1:36" s="33" customFormat="1" hidden="1">
      <c r="A118" s="33" t="s">
        <v>62</v>
      </c>
      <c r="B118" s="39" t="s">
        <v>326</v>
      </c>
      <c r="C118" s="49"/>
      <c r="D118" s="151" t="s">
        <v>371</v>
      </c>
      <c r="E118" s="49" t="s">
        <v>96</v>
      </c>
      <c r="F118" s="51"/>
      <c r="G118" s="182" t="s">
        <v>372</v>
      </c>
      <c r="H118" s="53" t="s">
        <v>22</v>
      </c>
      <c r="I118" s="54" t="s">
        <v>4</v>
      </c>
      <c r="J118" s="178"/>
      <c r="K118" s="178"/>
      <c r="L118" s="178"/>
      <c r="M118" s="178"/>
      <c r="N118" s="178"/>
      <c r="O118" s="178"/>
      <c r="P118" s="178"/>
      <c r="Q118" s="178"/>
      <c r="R118" s="178"/>
      <c r="S118" s="178"/>
      <c r="T118" s="178"/>
      <c r="U118" s="178"/>
      <c r="V118" s="178"/>
      <c r="W118" s="55"/>
      <c r="X118" s="55"/>
      <c r="Y118" s="56"/>
      <c r="Z118" s="197" t="s">
        <v>127</v>
      </c>
      <c r="AA118" s="52"/>
      <c r="AB118" s="52"/>
      <c r="AC118" s="52"/>
      <c r="AD118" s="52"/>
      <c r="AE118" s="52"/>
      <c r="AF118" s="57"/>
      <c r="AG118" s="58"/>
      <c r="AH118" s="52"/>
      <c r="AI118" s="159"/>
      <c r="AJ118" s="34"/>
    </row>
    <row r="119" spans="1:36" s="33" customFormat="1" ht="67.349999999999994" hidden="1" customHeight="1">
      <c r="A119" s="33" t="s">
        <v>62</v>
      </c>
      <c r="B119" s="39" t="s">
        <v>162</v>
      </c>
      <c r="C119" s="49"/>
      <c r="D119" s="151" t="s">
        <v>373</v>
      </c>
      <c r="E119" s="49" t="s">
        <v>96</v>
      </c>
      <c r="F119" s="51"/>
      <c r="G119" s="182" t="s">
        <v>374</v>
      </c>
      <c r="H119" s="53"/>
      <c r="I119" s="54" t="s">
        <v>4</v>
      </c>
      <c r="J119" s="178"/>
      <c r="K119" s="178"/>
      <c r="L119" s="178"/>
      <c r="M119" s="178"/>
      <c r="N119" s="178"/>
      <c r="O119" s="178"/>
      <c r="P119" s="178"/>
      <c r="Q119" s="178"/>
      <c r="R119" s="178"/>
      <c r="S119" s="178"/>
      <c r="T119" s="178"/>
      <c r="U119" s="178"/>
      <c r="V119" s="178"/>
      <c r="W119" s="55"/>
      <c r="X119" s="55"/>
      <c r="Y119" s="56"/>
      <c r="Z119" s="197"/>
      <c r="AA119" s="52"/>
      <c r="AB119" s="52"/>
      <c r="AC119" s="52"/>
      <c r="AD119" s="52"/>
      <c r="AE119" s="52"/>
      <c r="AF119" s="57"/>
      <c r="AG119" s="58"/>
      <c r="AH119" s="52"/>
      <c r="AI119" s="159"/>
      <c r="AJ119" s="34"/>
    </row>
    <row r="120" spans="1:36" s="33" customFormat="1" ht="27.6" hidden="1">
      <c r="A120" s="33" t="s">
        <v>62</v>
      </c>
      <c r="B120" s="39"/>
      <c r="C120" s="162"/>
      <c r="D120" s="177" t="s">
        <v>375</v>
      </c>
      <c r="E120" s="175"/>
      <c r="F120" s="176"/>
      <c r="G120" s="163" t="s">
        <v>376</v>
      </c>
      <c r="H120" s="164" t="s">
        <v>22</v>
      </c>
      <c r="I120" s="165"/>
      <c r="J120" s="178"/>
      <c r="K120" s="178"/>
      <c r="L120" s="178"/>
      <c r="M120" s="178"/>
      <c r="N120" s="178"/>
      <c r="O120" s="178"/>
      <c r="P120" s="178"/>
      <c r="Q120" s="178"/>
      <c r="R120" s="178"/>
      <c r="S120" s="178"/>
      <c r="T120" s="178"/>
      <c r="U120" s="178"/>
      <c r="V120" s="178"/>
      <c r="W120" s="166"/>
      <c r="X120" s="166"/>
      <c r="Y120" s="167"/>
      <c r="Z120" s="196"/>
      <c r="AA120" s="168"/>
      <c r="AB120" s="168"/>
      <c r="AC120" s="168"/>
      <c r="AD120" s="168"/>
      <c r="AE120" s="168"/>
      <c r="AF120" s="163"/>
      <c r="AG120" s="169"/>
      <c r="AH120" s="168"/>
      <c r="AI120" s="221"/>
      <c r="AJ120" s="34"/>
    </row>
    <row r="121" spans="1:36" s="33" customFormat="1" ht="91.35" hidden="1" customHeight="1">
      <c r="A121" s="33" t="s">
        <v>62</v>
      </c>
      <c r="B121" s="39" t="s">
        <v>326</v>
      </c>
      <c r="C121" s="49"/>
      <c r="D121" s="151" t="s">
        <v>377</v>
      </c>
      <c r="E121" s="49" t="s">
        <v>96</v>
      </c>
      <c r="F121" s="51"/>
      <c r="G121" s="52" t="s">
        <v>378</v>
      </c>
      <c r="H121" s="53" t="s">
        <v>22</v>
      </c>
      <c r="I121" s="54" t="s">
        <v>71</v>
      </c>
      <c r="J121" s="178"/>
      <c r="K121" s="178"/>
      <c r="L121" s="178"/>
      <c r="M121" s="178"/>
      <c r="N121" s="178"/>
      <c r="O121" s="178"/>
      <c r="P121" s="178"/>
      <c r="Q121" s="178"/>
      <c r="R121" s="178"/>
      <c r="S121" s="178"/>
      <c r="T121" s="178"/>
      <c r="U121" s="178"/>
      <c r="V121" s="178"/>
      <c r="W121" s="55"/>
      <c r="X121" s="55"/>
      <c r="Y121" s="56"/>
      <c r="Z121" s="197" t="s">
        <v>379</v>
      </c>
      <c r="AA121" s="52"/>
      <c r="AB121" s="52"/>
      <c r="AC121" s="52"/>
      <c r="AD121" s="52"/>
      <c r="AE121" s="52"/>
      <c r="AF121" s="57"/>
      <c r="AG121" s="58"/>
      <c r="AH121" s="52"/>
      <c r="AI121" s="220"/>
      <c r="AJ121" s="34"/>
    </row>
    <row r="122" spans="1:36" s="33" customFormat="1" ht="69" hidden="1">
      <c r="A122" s="33" t="s">
        <v>62</v>
      </c>
      <c r="B122" s="39"/>
      <c r="C122" s="162"/>
      <c r="D122" s="177" t="s">
        <v>380</v>
      </c>
      <c r="E122" s="175"/>
      <c r="F122" s="176"/>
      <c r="G122" s="163" t="s">
        <v>381</v>
      </c>
      <c r="H122" s="164" t="s">
        <v>22</v>
      </c>
      <c r="I122" s="165"/>
      <c r="J122" s="178"/>
      <c r="K122" s="178"/>
      <c r="L122" s="178"/>
      <c r="M122" s="178"/>
      <c r="N122" s="178"/>
      <c r="O122" s="178"/>
      <c r="P122" s="178"/>
      <c r="Q122" s="178"/>
      <c r="R122" s="178"/>
      <c r="S122" s="178"/>
      <c r="T122" s="178"/>
      <c r="U122" s="178"/>
      <c r="V122" s="178"/>
      <c r="W122" s="166"/>
      <c r="X122" s="166"/>
      <c r="Y122" s="167"/>
      <c r="Z122" s="196"/>
      <c r="AA122" s="168"/>
      <c r="AB122" s="168"/>
      <c r="AC122" s="168"/>
      <c r="AD122" s="168"/>
      <c r="AE122" s="168"/>
      <c r="AF122" s="163"/>
      <c r="AG122" s="169"/>
      <c r="AH122" s="168"/>
      <c r="AI122" s="221"/>
      <c r="AJ122" s="34"/>
    </row>
    <row r="123" spans="1:36" s="161" customFormat="1" hidden="1">
      <c r="A123" s="161" t="s">
        <v>62</v>
      </c>
      <c r="B123" s="78" t="s">
        <v>66</v>
      </c>
      <c r="C123" s="71"/>
      <c r="D123" s="275" t="s">
        <v>382</v>
      </c>
      <c r="E123" s="71" t="s">
        <v>69</v>
      </c>
      <c r="F123" s="51"/>
      <c r="G123" s="70" t="s">
        <v>383</v>
      </c>
      <c r="H123" s="184" t="s">
        <v>22</v>
      </c>
      <c r="I123" s="73" t="s">
        <v>4</v>
      </c>
      <c r="J123" s="185"/>
      <c r="K123" s="185"/>
      <c r="L123" s="185"/>
      <c r="M123" s="185"/>
      <c r="N123" s="185"/>
      <c r="O123" s="185"/>
      <c r="P123" s="185"/>
      <c r="Q123" s="185"/>
      <c r="R123" s="185"/>
      <c r="S123" s="185"/>
      <c r="T123" s="185"/>
      <c r="U123" s="185"/>
      <c r="V123" s="185"/>
      <c r="W123" s="186"/>
      <c r="X123" s="186"/>
      <c r="Y123" s="187"/>
      <c r="Z123" s="197" t="s">
        <v>127</v>
      </c>
      <c r="AA123" s="70"/>
      <c r="AB123" s="70"/>
      <c r="AC123" s="70"/>
      <c r="AD123" s="70"/>
      <c r="AE123" s="70"/>
      <c r="AF123" s="188"/>
      <c r="AG123" s="65"/>
      <c r="AH123" s="70"/>
      <c r="AI123" s="189"/>
      <c r="AJ123" s="190"/>
    </row>
    <row r="124" spans="1:36" s="33" customFormat="1" hidden="1">
      <c r="A124" s="33" t="s">
        <v>62</v>
      </c>
      <c r="B124" s="39"/>
      <c r="C124" s="162"/>
      <c r="D124" s="177" t="s">
        <v>384</v>
      </c>
      <c r="E124" s="175"/>
      <c r="F124" s="176"/>
      <c r="G124" s="163" t="s">
        <v>385</v>
      </c>
      <c r="H124" s="164" t="s">
        <v>22</v>
      </c>
      <c r="I124" s="165"/>
      <c r="J124" s="178"/>
      <c r="K124" s="178"/>
      <c r="L124" s="178"/>
      <c r="M124" s="178"/>
      <c r="N124" s="178"/>
      <c r="O124" s="178"/>
      <c r="P124" s="178"/>
      <c r="Q124" s="178"/>
      <c r="R124" s="178"/>
      <c r="S124" s="178"/>
      <c r="T124" s="178"/>
      <c r="U124" s="178"/>
      <c r="V124" s="178"/>
      <c r="W124" s="166"/>
      <c r="X124" s="166"/>
      <c r="Y124" s="167"/>
      <c r="Z124" s="196"/>
      <c r="AA124" s="168"/>
      <c r="AB124" s="168"/>
      <c r="AC124" s="168"/>
      <c r="AD124" s="168"/>
      <c r="AE124" s="168"/>
      <c r="AF124" s="163"/>
      <c r="AG124" s="169"/>
      <c r="AH124" s="168"/>
      <c r="AI124" s="221"/>
      <c r="AJ124" s="34"/>
    </row>
    <row r="125" spans="1:36" s="33" customFormat="1" ht="27.6" hidden="1">
      <c r="A125" s="33" t="s">
        <v>62</v>
      </c>
      <c r="B125" s="39" t="s">
        <v>66</v>
      </c>
      <c r="C125" s="49"/>
      <c r="D125" s="151" t="s">
        <v>386</v>
      </c>
      <c r="E125" s="49" t="s">
        <v>69</v>
      </c>
      <c r="F125" s="51"/>
      <c r="G125" s="52" t="s">
        <v>387</v>
      </c>
      <c r="H125" s="53" t="s">
        <v>22</v>
      </c>
      <c r="I125" s="54" t="s">
        <v>71</v>
      </c>
      <c r="J125" s="178"/>
      <c r="K125" s="178"/>
      <c r="L125" s="178"/>
      <c r="M125" s="178"/>
      <c r="N125" s="178"/>
      <c r="O125" s="178"/>
      <c r="P125" s="178"/>
      <c r="Q125" s="178"/>
      <c r="R125" s="178"/>
      <c r="S125" s="178"/>
      <c r="T125" s="178"/>
      <c r="U125" s="178"/>
      <c r="V125" s="178"/>
      <c r="W125" s="55"/>
      <c r="X125" s="55"/>
      <c r="Y125" s="56"/>
      <c r="Z125" s="264" t="s">
        <v>388</v>
      </c>
      <c r="AA125" s="52"/>
      <c r="AB125" s="52"/>
      <c r="AC125" s="52"/>
      <c r="AD125" s="52"/>
      <c r="AE125" s="52"/>
      <c r="AF125" s="57"/>
      <c r="AG125" s="58"/>
      <c r="AH125" s="52"/>
      <c r="AI125" s="159"/>
      <c r="AJ125" s="34"/>
    </row>
    <row r="126" spans="1:36" s="33" customFormat="1" ht="27" hidden="1" customHeight="1">
      <c r="A126" s="33" t="s">
        <v>62</v>
      </c>
      <c r="B126" s="39"/>
      <c r="C126" s="162"/>
      <c r="D126" s="177" t="s">
        <v>389</v>
      </c>
      <c r="E126" s="175"/>
      <c r="F126" s="176"/>
      <c r="G126" s="163" t="s">
        <v>390</v>
      </c>
      <c r="H126" s="164" t="s">
        <v>22</v>
      </c>
      <c r="I126" s="165"/>
      <c r="J126" s="178"/>
      <c r="K126" s="178"/>
      <c r="L126" s="178"/>
      <c r="M126" s="178"/>
      <c r="N126" s="178"/>
      <c r="O126" s="178"/>
      <c r="P126" s="178"/>
      <c r="Q126" s="178"/>
      <c r="R126" s="178"/>
      <c r="S126" s="178"/>
      <c r="T126" s="178"/>
      <c r="U126" s="178"/>
      <c r="V126" s="178"/>
      <c r="W126" s="166"/>
      <c r="X126" s="166"/>
      <c r="Y126" s="167"/>
      <c r="Z126" s="196"/>
      <c r="AA126" s="168"/>
      <c r="AB126" s="168"/>
      <c r="AC126" s="168"/>
      <c r="AD126" s="168"/>
      <c r="AE126" s="168"/>
      <c r="AF126" s="163"/>
      <c r="AG126" s="169"/>
      <c r="AH126" s="168"/>
      <c r="AI126" s="221"/>
      <c r="AJ126" s="34"/>
    </row>
    <row r="127" spans="1:36" s="33" customFormat="1" ht="34.5" hidden="1" customHeight="1">
      <c r="A127" s="33" t="s">
        <v>62</v>
      </c>
      <c r="B127" s="39" t="s">
        <v>66</v>
      </c>
      <c r="C127" s="49"/>
      <c r="D127" s="151" t="s">
        <v>391</v>
      </c>
      <c r="E127" s="49" t="s">
        <v>69</v>
      </c>
      <c r="F127" s="51"/>
      <c r="G127" s="70" t="s">
        <v>392</v>
      </c>
      <c r="H127" s="164" t="s">
        <v>22</v>
      </c>
      <c r="I127" s="54" t="s">
        <v>71</v>
      </c>
      <c r="J127" s="178"/>
      <c r="K127" s="178"/>
      <c r="L127" s="178"/>
      <c r="M127" s="178"/>
      <c r="N127" s="178"/>
      <c r="O127" s="178"/>
      <c r="P127" s="178"/>
      <c r="Q127" s="178"/>
      <c r="R127" s="178"/>
      <c r="S127" s="178"/>
      <c r="T127" s="178"/>
      <c r="U127" s="178"/>
      <c r="V127" s="178"/>
      <c r="W127" s="55"/>
      <c r="X127" s="55"/>
      <c r="Y127" s="56"/>
      <c r="Z127" s="197" t="s">
        <v>393</v>
      </c>
      <c r="AA127" s="52"/>
      <c r="AB127" s="52"/>
      <c r="AC127" s="52"/>
      <c r="AD127" s="52"/>
      <c r="AE127" s="52"/>
      <c r="AF127" s="57"/>
      <c r="AG127" s="58"/>
      <c r="AH127" s="52"/>
      <c r="AI127" s="220"/>
      <c r="AJ127" s="34"/>
    </row>
    <row r="128" spans="1:36" s="33" customFormat="1" ht="69" hidden="1">
      <c r="A128" s="39" t="s">
        <v>62</v>
      </c>
      <c r="B128" s="39" t="s">
        <v>66</v>
      </c>
      <c r="C128" s="49"/>
      <c r="D128" s="151" t="s">
        <v>394</v>
      </c>
      <c r="E128" s="49" t="s">
        <v>69</v>
      </c>
      <c r="F128" s="51"/>
      <c r="G128" s="52" t="s">
        <v>395</v>
      </c>
      <c r="H128" s="53" t="s">
        <v>22</v>
      </c>
      <c r="I128" s="54" t="s">
        <v>71</v>
      </c>
      <c r="J128" s="178"/>
      <c r="K128" s="178"/>
      <c r="L128" s="178"/>
      <c r="M128" s="178"/>
      <c r="N128" s="178"/>
      <c r="O128" s="178"/>
      <c r="P128" s="178"/>
      <c r="Q128" s="178"/>
      <c r="R128" s="178"/>
      <c r="S128" s="178"/>
      <c r="T128" s="178"/>
      <c r="U128" s="178"/>
      <c r="V128" s="178"/>
      <c r="W128" s="55"/>
      <c r="X128" s="55"/>
      <c r="Y128" s="56"/>
      <c r="Z128" s="264" t="s">
        <v>396</v>
      </c>
      <c r="AA128" s="52"/>
      <c r="AB128" s="52"/>
      <c r="AC128" s="52"/>
      <c r="AD128" s="52"/>
      <c r="AE128" s="52"/>
      <c r="AF128" s="57"/>
      <c r="AG128" s="58"/>
      <c r="AH128" s="52"/>
      <c r="AI128" s="159"/>
      <c r="AJ128" s="34"/>
    </row>
    <row r="129" spans="1:36" s="33" customFormat="1" ht="60" hidden="1" customHeight="1">
      <c r="A129" s="33" t="s">
        <v>62</v>
      </c>
      <c r="B129" s="39"/>
      <c r="C129" s="162"/>
      <c r="D129" s="177" t="s">
        <v>397</v>
      </c>
      <c r="E129" s="175"/>
      <c r="F129" s="176"/>
      <c r="G129" s="163" t="s">
        <v>398</v>
      </c>
      <c r="H129" s="164" t="s">
        <v>16</v>
      </c>
      <c r="I129" s="165" t="s">
        <v>399</v>
      </c>
      <c r="J129" s="178"/>
      <c r="K129" s="178"/>
      <c r="L129" s="178"/>
      <c r="M129" s="178"/>
      <c r="N129" s="178"/>
      <c r="O129" s="178"/>
      <c r="P129" s="178"/>
      <c r="Q129" s="178"/>
      <c r="R129" s="178"/>
      <c r="S129" s="178"/>
      <c r="T129" s="178"/>
      <c r="U129" s="178"/>
      <c r="V129" s="178"/>
      <c r="W129" s="166"/>
      <c r="X129" s="166"/>
      <c r="Y129" s="167"/>
      <c r="Z129" s="196"/>
      <c r="AA129" s="168"/>
      <c r="AB129" s="168"/>
      <c r="AC129" s="168"/>
      <c r="AD129" s="168"/>
      <c r="AE129" s="168"/>
      <c r="AF129" s="163"/>
      <c r="AG129" s="169"/>
      <c r="AH129" s="168"/>
      <c r="AI129" s="170"/>
      <c r="AJ129" s="34"/>
    </row>
    <row r="130" spans="1:36" s="33" customFormat="1" hidden="1">
      <c r="A130" s="33" t="s">
        <v>62</v>
      </c>
      <c r="B130" s="39"/>
      <c r="C130" s="49"/>
      <c r="D130" s="151" t="s">
        <v>400</v>
      </c>
      <c r="E130" s="151"/>
      <c r="F130" s="51" t="s">
        <v>77</v>
      </c>
      <c r="G130" s="70" t="s">
        <v>401</v>
      </c>
      <c r="H130" s="53" t="s">
        <v>16</v>
      </c>
      <c r="I130" s="54" t="s">
        <v>399</v>
      </c>
      <c r="J130" s="178"/>
      <c r="K130" s="178"/>
      <c r="L130" s="178"/>
      <c r="M130" s="178"/>
      <c r="N130" s="178"/>
      <c r="O130" s="178"/>
      <c r="P130" s="178"/>
      <c r="Q130" s="178"/>
      <c r="R130" s="178"/>
      <c r="S130" s="178"/>
      <c r="T130" s="178"/>
      <c r="U130" s="178"/>
      <c r="V130" s="178"/>
      <c r="W130" s="55"/>
      <c r="X130" s="55"/>
      <c r="Y130" s="56"/>
      <c r="Z130" s="197"/>
      <c r="AA130" s="52"/>
      <c r="AB130" s="52"/>
      <c r="AC130" s="52"/>
      <c r="AD130" s="52"/>
      <c r="AE130" s="52"/>
      <c r="AF130" s="57"/>
      <c r="AG130" s="58"/>
      <c r="AH130" s="52"/>
      <c r="AI130" s="159"/>
      <c r="AJ130" s="34"/>
    </row>
    <row r="131" spans="1:36" s="33" customFormat="1" ht="27.6" hidden="1">
      <c r="A131" s="33" t="s">
        <v>62</v>
      </c>
      <c r="B131" s="39"/>
      <c r="C131" s="162"/>
      <c r="D131" s="177" t="s">
        <v>402</v>
      </c>
      <c r="E131" s="175"/>
      <c r="F131" s="176"/>
      <c r="G131" s="163" t="s">
        <v>403</v>
      </c>
      <c r="H131" s="164" t="s">
        <v>22</v>
      </c>
      <c r="I131" s="165"/>
      <c r="J131" s="178"/>
      <c r="K131" s="178"/>
      <c r="L131" s="178"/>
      <c r="M131" s="178"/>
      <c r="N131" s="178"/>
      <c r="O131" s="178"/>
      <c r="P131" s="178"/>
      <c r="Q131" s="178"/>
      <c r="R131" s="178"/>
      <c r="S131" s="178"/>
      <c r="T131" s="178"/>
      <c r="U131" s="178"/>
      <c r="V131" s="178"/>
      <c r="W131" s="166"/>
      <c r="X131" s="166"/>
      <c r="Y131" s="167"/>
      <c r="Z131" s="196"/>
      <c r="AA131" s="168"/>
      <c r="AB131" s="168"/>
      <c r="AC131" s="168"/>
      <c r="AD131" s="168"/>
      <c r="AE131" s="168"/>
      <c r="AF131" s="163"/>
      <c r="AG131" s="169"/>
      <c r="AH131" s="168"/>
      <c r="AI131" s="221"/>
      <c r="AJ131" s="34"/>
    </row>
    <row r="132" spans="1:36" s="33" customFormat="1" ht="34.5" hidden="1" customHeight="1">
      <c r="A132" s="33" t="s">
        <v>62</v>
      </c>
      <c r="B132" s="39" t="s">
        <v>66</v>
      </c>
      <c r="C132" s="49"/>
      <c r="D132" s="151" t="s">
        <v>404</v>
      </c>
      <c r="E132" s="49" t="s">
        <v>69</v>
      </c>
      <c r="F132" s="51"/>
      <c r="G132" s="70" t="s">
        <v>405</v>
      </c>
      <c r="H132" s="53" t="s">
        <v>22</v>
      </c>
      <c r="I132" s="54" t="s">
        <v>71</v>
      </c>
      <c r="J132" s="178"/>
      <c r="K132" s="178"/>
      <c r="L132" s="178"/>
      <c r="M132" s="178"/>
      <c r="N132" s="178"/>
      <c r="O132" s="178"/>
      <c r="P132" s="178"/>
      <c r="Q132" s="178"/>
      <c r="R132" s="178"/>
      <c r="S132" s="178"/>
      <c r="T132" s="178"/>
      <c r="U132" s="178"/>
      <c r="V132" s="178"/>
      <c r="W132" s="55"/>
      <c r="X132" s="55"/>
      <c r="Y132" s="56"/>
      <c r="Z132" s="197" t="s">
        <v>406</v>
      </c>
      <c r="AA132" s="52"/>
      <c r="AB132" s="52"/>
      <c r="AC132" s="52"/>
      <c r="AD132" s="52"/>
      <c r="AE132" s="52"/>
      <c r="AF132" s="57"/>
      <c r="AG132" s="58"/>
      <c r="AH132" s="52"/>
      <c r="AI132" s="220"/>
      <c r="AJ132" s="34"/>
    </row>
    <row r="133" spans="1:36" s="33" customFormat="1" hidden="1">
      <c r="A133" s="39" t="s">
        <v>62</v>
      </c>
      <c r="B133" s="39" t="s">
        <v>66</v>
      </c>
      <c r="C133" s="49"/>
      <c r="D133" s="151" t="s">
        <v>407</v>
      </c>
      <c r="E133" s="49" t="s">
        <v>69</v>
      </c>
      <c r="F133" s="51"/>
      <c r="G133" s="70" t="s">
        <v>408</v>
      </c>
      <c r="H133" s="53" t="s">
        <v>22</v>
      </c>
      <c r="I133" s="54" t="s">
        <v>71</v>
      </c>
      <c r="J133" s="178"/>
      <c r="K133" s="178"/>
      <c r="L133" s="178"/>
      <c r="M133" s="178"/>
      <c r="N133" s="178"/>
      <c r="O133" s="178"/>
      <c r="P133" s="178"/>
      <c r="Q133" s="178"/>
      <c r="R133" s="178"/>
      <c r="S133" s="178"/>
      <c r="T133" s="178"/>
      <c r="U133" s="178"/>
      <c r="V133" s="178"/>
      <c r="W133" s="55"/>
      <c r="X133" s="55"/>
      <c r="Y133" s="56"/>
      <c r="Z133" s="197"/>
      <c r="AA133" s="52"/>
      <c r="AB133" s="52"/>
      <c r="AC133" s="52"/>
      <c r="AD133" s="52"/>
      <c r="AE133" s="52"/>
      <c r="AF133" s="57"/>
      <c r="AG133" s="58"/>
      <c r="AH133" s="52"/>
      <c r="AI133" s="159"/>
      <c r="AJ133" s="34"/>
    </row>
    <row r="134" spans="1:36" s="33" customFormat="1" ht="34.5" hidden="1" customHeight="1">
      <c r="A134" s="33" t="s">
        <v>62</v>
      </c>
      <c r="B134" s="39"/>
      <c r="C134" s="162"/>
      <c r="D134" s="177" t="s">
        <v>409</v>
      </c>
      <c r="E134" s="175"/>
      <c r="F134" s="176"/>
      <c r="G134" s="163" t="s">
        <v>410</v>
      </c>
      <c r="H134" s="164" t="s">
        <v>22</v>
      </c>
      <c r="I134" s="165"/>
      <c r="J134" s="178"/>
      <c r="K134" s="178"/>
      <c r="L134" s="178"/>
      <c r="M134" s="178"/>
      <c r="N134" s="178"/>
      <c r="O134" s="178"/>
      <c r="P134" s="178"/>
      <c r="Q134" s="178"/>
      <c r="R134" s="178"/>
      <c r="S134" s="178"/>
      <c r="T134" s="178"/>
      <c r="U134" s="178"/>
      <c r="V134" s="178"/>
      <c r="W134" s="166"/>
      <c r="X134" s="166"/>
      <c r="Y134" s="167"/>
      <c r="Z134" s="196"/>
      <c r="AA134" s="168"/>
      <c r="AB134" s="168"/>
      <c r="AC134" s="168"/>
      <c r="AD134" s="168"/>
      <c r="AE134" s="168"/>
      <c r="AF134" s="163"/>
      <c r="AG134" s="169"/>
      <c r="AH134" s="168"/>
      <c r="AI134" s="170"/>
      <c r="AJ134" s="34"/>
    </row>
    <row r="135" spans="1:36" s="33" customFormat="1" ht="27.6" hidden="1">
      <c r="A135" s="33" t="s">
        <v>62</v>
      </c>
      <c r="B135" s="39" t="s">
        <v>66</v>
      </c>
      <c r="C135" s="49"/>
      <c r="D135" s="151" t="s">
        <v>411</v>
      </c>
      <c r="E135" s="49" t="s">
        <v>69</v>
      </c>
      <c r="F135" s="51"/>
      <c r="G135" s="52" t="s">
        <v>412</v>
      </c>
      <c r="H135" s="53" t="s">
        <v>22</v>
      </c>
      <c r="I135" s="54" t="s">
        <v>4</v>
      </c>
      <c r="J135" s="178"/>
      <c r="K135" s="178"/>
      <c r="L135" s="178"/>
      <c r="M135" s="178"/>
      <c r="N135" s="178"/>
      <c r="O135" s="178"/>
      <c r="P135" s="178"/>
      <c r="Q135" s="178"/>
      <c r="R135" s="178"/>
      <c r="S135" s="178"/>
      <c r="T135" s="178"/>
      <c r="U135" s="178"/>
      <c r="V135" s="178"/>
      <c r="W135" s="55"/>
      <c r="X135" s="55"/>
      <c r="Y135" s="56"/>
      <c r="Z135" s="197" t="s">
        <v>127</v>
      </c>
      <c r="AA135" s="52"/>
      <c r="AB135" s="52"/>
      <c r="AC135" s="52"/>
      <c r="AD135" s="52"/>
      <c r="AE135" s="52"/>
      <c r="AF135" s="57"/>
      <c r="AG135" s="58"/>
      <c r="AH135" s="52"/>
      <c r="AI135" s="159"/>
      <c r="AJ135" s="34"/>
    </row>
    <row r="136" spans="1:36" s="33" customFormat="1" ht="34.5" hidden="1" customHeight="1">
      <c r="A136" s="33" t="s">
        <v>75</v>
      </c>
      <c r="C136" s="162"/>
      <c r="D136" s="177" t="s">
        <v>413</v>
      </c>
      <c r="E136" s="175"/>
      <c r="F136" s="176"/>
      <c r="G136" s="163" t="s">
        <v>414</v>
      </c>
      <c r="H136" s="164" t="s">
        <v>22</v>
      </c>
      <c r="I136" s="165"/>
      <c r="J136" s="178"/>
      <c r="K136" s="178"/>
      <c r="L136" s="178"/>
      <c r="M136" s="178"/>
      <c r="N136" s="178"/>
      <c r="O136" s="178"/>
      <c r="P136" s="178"/>
      <c r="Q136" s="178"/>
      <c r="R136" s="178"/>
      <c r="S136" s="178"/>
      <c r="T136" s="178"/>
      <c r="U136" s="178"/>
      <c r="V136" s="178"/>
      <c r="W136" s="166"/>
      <c r="X136" s="166"/>
      <c r="Y136" s="167"/>
      <c r="Z136" s="196"/>
      <c r="AA136" s="168"/>
      <c r="AB136" s="168"/>
      <c r="AC136" s="168"/>
      <c r="AD136" s="168"/>
      <c r="AE136" s="168"/>
      <c r="AF136" s="163"/>
      <c r="AG136" s="169"/>
      <c r="AH136" s="168"/>
      <c r="AI136" s="170"/>
      <c r="AJ136" s="34"/>
    </row>
    <row r="137" spans="1:36" s="33" customFormat="1" ht="27.6" hidden="1">
      <c r="A137" s="33" t="s">
        <v>62</v>
      </c>
      <c r="B137" s="39" t="s">
        <v>66</v>
      </c>
      <c r="C137" s="49"/>
      <c r="D137" s="151" t="s">
        <v>415</v>
      </c>
      <c r="E137" s="49" t="s">
        <v>69</v>
      </c>
      <c r="F137" s="51"/>
      <c r="G137" s="52" t="s">
        <v>416</v>
      </c>
      <c r="H137" s="53" t="s">
        <v>22</v>
      </c>
      <c r="I137" s="54" t="s">
        <v>71</v>
      </c>
      <c r="J137" s="178"/>
      <c r="K137" s="178"/>
      <c r="L137" s="178"/>
      <c r="M137" s="178"/>
      <c r="N137" s="178"/>
      <c r="O137" s="178"/>
      <c r="P137" s="178"/>
      <c r="Q137" s="178"/>
      <c r="R137" s="178"/>
      <c r="S137" s="178"/>
      <c r="T137" s="178"/>
      <c r="U137" s="178"/>
      <c r="V137" s="178"/>
      <c r="W137" s="55"/>
      <c r="X137" s="55"/>
      <c r="Y137" s="56"/>
      <c r="Z137" s="197" t="s">
        <v>127</v>
      </c>
      <c r="AA137" s="52"/>
      <c r="AB137" s="52"/>
      <c r="AC137" s="52"/>
      <c r="AD137" s="52"/>
      <c r="AE137" s="52"/>
      <c r="AF137" s="57"/>
      <c r="AG137" s="58"/>
      <c r="AH137" s="52"/>
      <c r="AI137" s="159"/>
      <c r="AJ137" s="34"/>
    </row>
    <row r="138" spans="1:36" s="33" customFormat="1" ht="65.849999999999994" hidden="1" customHeight="1">
      <c r="A138" s="33" t="s">
        <v>62</v>
      </c>
      <c r="C138" s="162"/>
      <c r="D138" s="177" t="s">
        <v>417</v>
      </c>
      <c r="E138" s="175"/>
      <c r="F138" s="176"/>
      <c r="G138" s="163" t="s">
        <v>418</v>
      </c>
      <c r="H138" s="164" t="s">
        <v>22</v>
      </c>
      <c r="I138" s="165"/>
      <c r="J138" s="178"/>
      <c r="K138" s="178"/>
      <c r="L138" s="178"/>
      <c r="M138" s="178"/>
      <c r="N138" s="178"/>
      <c r="O138" s="178"/>
      <c r="P138" s="178"/>
      <c r="Q138" s="178"/>
      <c r="R138" s="178"/>
      <c r="S138" s="178"/>
      <c r="T138" s="178"/>
      <c r="U138" s="178"/>
      <c r="V138" s="178"/>
      <c r="W138" s="166"/>
      <c r="X138" s="166"/>
      <c r="Y138" s="167"/>
      <c r="Z138" s="196"/>
      <c r="AA138" s="168"/>
      <c r="AB138" s="168"/>
      <c r="AC138" s="168"/>
      <c r="AD138" s="168"/>
      <c r="AE138" s="168"/>
      <c r="AF138" s="163"/>
      <c r="AG138" s="169"/>
      <c r="AH138" s="168"/>
      <c r="AI138" s="170"/>
      <c r="AJ138" s="34"/>
    </row>
    <row r="139" spans="1:36" s="33" customFormat="1" hidden="1">
      <c r="A139" s="33" t="s">
        <v>250</v>
      </c>
      <c r="B139" s="39"/>
      <c r="C139" s="49"/>
      <c r="D139" s="151" t="s">
        <v>419</v>
      </c>
      <c r="E139" s="151"/>
      <c r="F139" s="208" t="s">
        <v>77</v>
      </c>
      <c r="G139" s="209" t="s">
        <v>420</v>
      </c>
      <c r="H139" s="53"/>
      <c r="I139" s="54"/>
      <c r="J139" s="178"/>
      <c r="K139" s="178"/>
      <c r="L139" s="178"/>
      <c r="M139" s="178"/>
      <c r="N139" s="178"/>
      <c r="O139" s="178"/>
      <c r="P139" s="178"/>
      <c r="Q139" s="178"/>
      <c r="R139" s="178"/>
      <c r="S139" s="178"/>
      <c r="T139" s="178"/>
      <c r="U139" s="178"/>
      <c r="V139" s="178"/>
      <c r="W139" s="55"/>
      <c r="X139" s="55"/>
      <c r="Y139" s="56"/>
      <c r="Z139" s="197"/>
      <c r="AA139" s="52"/>
      <c r="AB139" s="52"/>
      <c r="AC139" s="52"/>
      <c r="AD139" s="52"/>
      <c r="AE139" s="52"/>
      <c r="AF139" s="57"/>
      <c r="AG139" s="58"/>
      <c r="AH139" s="52"/>
      <c r="AI139" s="159"/>
      <c r="AJ139" s="34"/>
    </row>
    <row r="140" spans="1:36" s="33" customFormat="1" hidden="1">
      <c r="A140" s="33" t="s">
        <v>250</v>
      </c>
      <c r="B140" s="39" t="s">
        <v>421</v>
      </c>
      <c r="C140" s="49"/>
      <c r="D140" s="151" t="s">
        <v>422</v>
      </c>
      <c r="E140" s="151"/>
      <c r="F140" s="51"/>
      <c r="G140" s="70" t="s">
        <v>423</v>
      </c>
      <c r="H140" s="53"/>
      <c r="I140" s="54" t="s">
        <v>92</v>
      </c>
      <c r="J140" s="178"/>
      <c r="K140" s="178"/>
      <c r="L140" s="178"/>
      <c r="M140" s="178"/>
      <c r="N140" s="178"/>
      <c r="O140" s="178"/>
      <c r="P140" s="178"/>
      <c r="Q140" s="178"/>
      <c r="R140" s="178"/>
      <c r="S140" s="178"/>
      <c r="T140" s="178"/>
      <c r="U140" s="178"/>
      <c r="V140" s="178"/>
      <c r="W140" s="55"/>
      <c r="X140" s="55"/>
      <c r="Y140" s="56"/>
      <c r="Z140" s="276"/>
      <c r="AA140" s="52"/>
      <c r="AB140" s="52"/>
      <c r="AC140" s="52"/>
      <c r="AD140" s="52"/>
      <c r="AE140" s="52"/>
      <c r="AF140" s="57"/>
      <c r="AG140" s="58"/>
      <c r="AH140" s="52"/>
      <c r="AI140" s="159"/>
      <c r="AJ140" s="34"/>
    </row>
    <row r="141" spans="1:36" s="33" customFormat="1" ht="18.600000000000001" hidden="1" customHeight="1">
      <c r="A141" s="33" t="s">
        <v>62</v>
      </c>
      <c r="B141" s="39"/>
      <c r="C141" s="162"/>
      <c r="D141" s="177" t="s">
        <v>424</v>
      </c>
      <c r="E141" s="175"/>
      <c r="F141" s="176" t="s">
        <v>425</v>
      </c>
      <c r="G141" s="163" t="s">
        <v>426</v>
      </c>
      <c r="H141" s="164" t="s">
        <v>22</v>
      </c>
      <c r="I141" s="165"/>
      <c r="J141" s="178"/>
      <c r="K141" s="178"/>
      <c r="L141" s="178"/>
      <c r="M141" s="178"/>
      <c r="N141" s="178"/>
      <c r="O141" s="178"/>
      <c r="P141" s="178"/>
      <c r="Q141" s="178"/>
      <c r="R141" s="178"/>
      <c r="S141" s="178"/>
      <c r="T141" s="178"/>
      <c r="U141" s="178"/>
      <c r="V141" s="178"/>
      <c r="W141" s="166"/>
      <c r="X141" s="166"/>
      <c r="Y141" s="167"/>
      <c r="Z141" s="254"/>
      <c r="AA141" s="168"/>
      <c r="AB141" s="168"/>
      <c r="AC141" s="168"/>
      <c r="AD141" s="168"/>
      <c r="AE141" s="168"/>
      <c r="AF141" s="163"/>
      <c r="AG141" s="169"/>
      <c r="AH141" s="168"/>
      <c r="AI141" s="221"/>
      <c r="AJ141" s="34"/>
    </row>
    <row r="142" spans="1:36" s="33" customFormat="1" ht="34.5" hidden="1" customHeight="1">
      <c r="A142" s="33" t="s">
        <v>62</v>
      </c>
      <c r="B142" s="39" t="s">
        <v>66</v>
      </c>
      <c r="C142" s="49"/>
      <c r="D142" s="87" t="s">
        <v>427</v>
      </c>
      <c r="E142" s="49" t="s">
        <v>69</v>
      </c>
      <c r="F142" s="51"/>
      <c r="G142" s="52" t="s">
        <v>428</v>
      </c>
      <c r="H142" s="164" t="s">
        <v>22</v>
      </c>
      <c r="I142" s="54" t="s">
        <v>4</v>
      </c>
      <c r="J142" s="178"/>
      <c r="K142" s="178"/>
      <c r="L142" s="178"/>
      <c r="M142" s="178"/>
      <c r="N142" s="178"/>
      <c r="O142" s="178"/>
      <c r="P142" s="178"/>
      <c r="Q142" s="178"/>
      <c r="R142" s="178"/>
      <c r="S142" s="178"/>
      <c r="T142" s="178"/>
      <c r="U142" s="178"/>
      <c r="V142" s="178"/>
      <c r="W142" s="55"/>
      <c r="X142" s="55"/>
      <c r="Y142" s="56"/>
      <c r="Z142" s="197" t="s">
        <v>127</v>
      </c>
      <c r="AA142" s="52"/>
      <c r="AB142" s="52"/>
      <c r="AC142" s="52"/>
      <c r="AD142" s="52"/>
      <c r="AE142" s="52"/>
      <c r="AF142" s="57"/>
      <c r="AG142" s="58"/>
      <c r="AH142" s="52"/>
      <c r="AI142" s="220"/>
      <c r="AJ142" s="34"/>
    </row>
    <row r="143" spans="1:36" s="33" customFormat="1" hidden="1">
      <c r="A143" s="33" t="s">
        <v>62</v>
      </c>
      <c r="B143" s="39" t="s">
        <v>66</v>
      </c>
      <c r="C143" s="49"/>
      <c r="D143" s="87" t="s">
        <v>429</v>
      </c>
      <c r="E143" s="49" t="s">
        <v>69</v>
      </c>
      <c r="F143" s="51"/>
      <c r="G143" s="52" t="s">
        <v>430</v>
      </c>
      <c r="H143" s="164" t="s">
        <v>22</v>
      </c>
      <c r="I143" s="54" t="s">
        <v>71</v>
      </c>
      <c r="J143" s="178"/>
      <c r="K143" s="178"/>
      <c r="L143" s="178"/>
      <c r="M143" s="178"/>
      <c r="N143" s="178"/>
      <c r="O143" s="178"/>
      <c r="P143" s="178"/>
      <c r="Q143" s="178"/>
      <c r="R143" s="178"/>
      <c r="S143" s="178"/>
      <c r="T143" s="178"/>
      <c r="U143" s="178"/>
      <c r="V143" s="178"/>
      <c r="W143" s="55"/>
      <c r="X143" s="55"/>
      <c r="Y143" s="56"/>
      <c r="Z143" s="197" t="s">
        <v>127</v>
      </c>
      <c r="AA143" s="52"/>
      <c r="AB143" s="52"/>
      <c r="AC143" s="52"/>
      <c r="AD143" s="52"/>
      <c r="AE143" s="52"/>
      <c r="AF143" s="57"/>
      <c r="AG143" s="58"/>
      <c r="AH143" s="52"/>
      <c r="AI143" s="159"/>
      <c r="AJ143" s="34"/>
    </row>
    <row r="144" spans="1:36" s="33" customFormat="1" ht="34.5" hidden="1" customHeight="1">
      <c r="A144" s="33" t="s">
        <v>62</v>
      </c>
      <c r="B144" s="39"/>
      <c r="C144" s="162"/>
      <c r="D144" s="177" t="s">
        <v>431</v>
      </c>
      <c r="E144" s="175"/>
      <c r="F144" s="176"/>
      <c r="G144" s="163" t="s">
        <v>432</v>
      </c>
      <c r="H144" s="164" t="s">
        <v>22</v>
      </c>
      <c r="I144" s="165"/>
      <c r="J144" s="178"/>
      <c r="K144" s="178"/>
      <c r="L144" s="178"/>
      <c r="M144" s="178"/>
      <c r="N144" s="178"/>
      <c r="O144" s="178"/>
      <c r="P144" s="178"/>
      <c r="Q144" s="178"/>
      <c r="R144" s="178"/>
      <c r="S144" s="178"/>
      <c r="T144" s="178"/>
      <c r="U144" s="178"/>
      <c r="V144" s="178"/>
      <c r="W144" s="166"/>
      <c r="X144" s="166"/>
      <c r="Y144" s="167"/>
      <c r="Z144" s="196"/>
      <c r="AA144" s="168"/>
      <c r="AB144" s="168"/>
      <c r="AC144" s="168"/>
      <c r="AD144" s="168"/>
      <c r="AE144" s="168"/>
      <c r="AF144" s="163"/>
      <c r="AG144" s="169"/>
      <c r="AH144" s="168"/>
      <c r="AI144" s="170"/>
      <c r="AJ144" s="34"/>
    </row>
    <row r="145" spans="1:36" s="33" customFormat="1" hidden="1">
      <c r="A145" s="33" t="s">
        <v>62</v>
      </c>
      <c r="B145" s="39" t="s">
        <v>66</v>
      </c>
      <c r="C145" s="49"/>
      <c r="D145" s="87" t="s">
        <v>433</v>
      </c>
      <c r="E145" s="49" t="s">
        <v>69</v>
      </c>
      <c r="F145" s="51"/>
      <c r="G145" s="52" t="s">
        <v>434</v>
      </c>
      <c r="H145" s="53" t="s">
        <v>22</v>
      </c>
      <c r="I145" s="54" t="s">
        <v>4</v>
      </c>
      <c r="J145" s="178"/>
      <c r="K145" s="178"/>
      <c r="L145" s="178"/>
      <c r="M145" s="178"/>
      <c r="N145" s="178"/>
      <c r="O145" s="178"/>
      <c r="P145" s="178"/>
      <c r="Q145" s="178"/>
      <c r="R145" s="178"/>
      <c r="S145" s="178"/>
      <c r="T145" s="178"/>
      <c r="U145" s="178"/>
      <c r="V145" s="178"/>
      <c r="W145" s="55"/>
      <c r="X145" s="55"/>
      <c r="Y145" s="56"/>
      <c r="Z145" s="197" t="s">
        <v>127</v>
      </c>
      <c r="AA145" s="52"/>
      <c r="AB145" s="52"/>
      <c r="AC145" s="52"/>
      <c r="AD145" s="52"/>
      <c r="AE145" s="52"/>
      <c r="AF145" s="57"/>
      <c r="AG145" s="58"/>
      <c r="AH145" s="52"/>
      <c r="AI145" s="159"/>
      <c r="AJ145" s="34"/>
    </row>
    <row r="146" spans="1:36" s="33" customFormat="1" ht="62.1" hidden="1" customHeight="1">
      <c r="A146" s="33" t="s">
        <v>62</v>
      </c>
      <c r="B146" s="39"/>
      <c r="C146" s="162"/>
      <c r="D146" s="177" t="s">
        <v>435</v>
      </c>
      <c r="E146" s="175"/>
      <c r="F146" s="176"/>
      <c r="G146" s="163" t="s">
        <v>436</v>
      </c>
      <c r="H146" s="164" t="s">
        <v>22</v>
      </c>
      <c r="I146" s="165"/>
      <c r="J146" s="178"/>
      <c r="K146" s="178"/>
      <c r="L146" s="178"/>
      <c r="M146" s="178"/>
      <c r="N146" s="178"/>
      <c r="O146" s="178"/>
      <c r="P146" s="178"/>
      <c r="Q146" s="178"/>
      <c r="R146" s="178"/>
      <c r="S146" s="178"/>
      <c r="T146" s="178"/>
      <c r="U146" s="178"/>
      <c r="V146" s="178"/>
      <c r="W146" s="166"/>
      <c r="X146" s="166"/>
      <c r="Y146" s="167"/>
      <c r="Z146" s="196"/>
      <c r="AA146" s="168"/>
      <c r="AB146" s="168"/>
      <c r="AC146" s="168"/>
      <c r="AD146" s="168"/>
      <c r="AE146" s="168"/>
      <c r="AF146" s="163"/>
      <c r="AG146" s="169"/>
      <c r="AH146" s="168"/>
      <c r="AI146" s="170"/>
      <c r="AJ146" s="34"/>
    </row>
    <row r="147" spans="1:36" s="33" customFormat="1" ht="20.85" hidden="1" customHeight="1">
      <c r="A147" s="53" t="s">
        <v>62</v>
      </c>
      <c r="B147" s="39" t="s">
        <v>66</v>
      </c>
      <c r="C147" s="49"/>
      <c r="D147" s="87" t="s">
        <v>437</v>
      </c>
      <c r="E147" s="49" t="s">
        <v>69</v>
      </c>
      <c r="F147" s="152"/>
      <c r="G147" s="182" t="s">
        <v>438</v>
      </c>
      <c r="H147" s="53" t="s">
        <v>22</v>
      </c>
      <c r="I147" s="54" t="s">
        <v>71</v>
      </c>
      <c r="J147" s="178"/>
      <c r="K147" s="178"/>
      <c r="L147" s="178"/>
      <c r="M147" s="178"/>
      <c r="N147" s="178"/>
      <c r="O147" s="178"/>
      <c r="P147" s="178"/>
      <c r="Q147" s="178"/>
      <c r="R147" s="178"/>
      <c r="S147" s="178"/>
      <c r="T147" s="178"/>
      <c r="U147" s="178"/>
      <c r="V147" s="178"/>
      <c r="W147" s="55"/>
      <c r="X147" s="55"/>
      <c r="Y147" s="56"/>
      <c r="Z147" s="197" t="s">
        <v>439</v>
      </c>
      <c r="AA147" s="52"/>
      <c r="AB147" s="52"/>
      <c r="AC147" s="52"/>
      <c r="AD147" s="52"/>
      <c r="AE147" s="52"/>
      <c r="AF147" s="57"/>
      <c r="AG147" s="58"/>
      <c r="AH147" s="52"/>
      <c r="AI147" s="159"/>
      <c r="AJ147" s="34"/>
    </row>
    <row r="148" spans="1:36" s="33" customFormat="1" ht="34.5" hidden="1" customHeight="1">
      <c r="A148" s="53" t="s">
        <v>62</v>
      </c>
      <c r="B148" s="39" t="s">
        <v>66</v>
      </c>
      <c r="C148" s="49"/>
      <c r="D148" s="87" t="s">
        <v>440</v>
      </c>
      <c r="E148" s="49" t="s">
        <v>69</v>
      </c>
      <c r="F148" s="152"/>
      <c r="G148" s="182" t="s">
        <v>441</v>
      </c>
      <c r="H148" s="53" t="s">
        <v>22</v>
      </c>
      <c r="I148" s="54" t="s">
        <v>71</v>
      </c>
      <c r="J148" s="178"/>
      <c r="K148" s="178"/>
      <c r="L148" s="178"/>
      <c r="M148" s="178"/>
      <c r="N148" s="178"/>
      <c r="O148" s="178"/>
      <c r="P148" s="178"/>
      <c r="Q148" s="178"/>
      <c r="R148" s="178"/>
      <c r="S148" s="178"/>
      <c r="T148" s="178"/>
      <c r="U148" s="178"/>
      <c r="V148" s="178"/>
      <c r="W148" s="55"/>
      <c r="X148" s="55"/>
      <c r="Y148" s="56"/>
      <c r="Z148" s="197" t="s">
        <v>442</v>
      </c>
      <c r="AA148" s="52"/>
      <c r="AB148" s="52"/>
      <c r="AC148" s="52"/>
      <c r="AD148" s="52"/>
      <c r="AE148" s="52"/>
      <c r="AF148" s="57"/>
      <c r="AG148" s="58"/>
      <c r="AH148" s="52"/>
      <c r="AI148" s="220"/>
      <c r="AJ148" s="34"/>
    </row>
    <row r="149" spans="1:36" s="33" customFormat="1" ht="69" hidden="1">
      <c r="A149" s="53" t="s">
        <v>62</v>
      </c>
      <c r="B149" s="39" t="s">
        <v>66</v>
      </c>
      <c r="C149" s="49"/>
      <c r="D149" s="87" t="s">
        <v>443</v>
      </c>
      <c r="E149" s="49" t="s">
        <v>69</v>
      </c>
      <c r="F149" s="152"/>
      <c r="G149" s="182" t="s">
        <v>444</v>
      </c>
      <c r="H149" s="53"/>
      <c r="I149" s="54" t="s">
        <v>92</v>
      </c>
      <c r="J149" s="178"/>
      <c r="K149" s="178"/>
      <c r="L149" s="178"/>
      <c r="M149" s="178"/>
      <c r="N149" s="178"/>
      <c r="O149" s="178"/>
      <c r="P149" s="178"/>
      <c r="Q149" s="178"/>
      <c r="R149" s="178"/>
      <c r="S149" s="178"/>
      <c r="T149" s="178"/>
      <c r="U149" s="178"/>
      <c r="V149" s="178"/>
      <c r="W149" s="55"/>
      <c r="X149" s="55"/>
      <c r="Y149" s="56"/>
      <c r="Z149" s="197" t="s">
        <v>445</v>
      </c>
      <c r="AA149" s="52"/>
      <c r="AB149" s="52"/>
      <c r="AC149" s="52"/>
      <c r="AD149" s="52"/>
      <c r="AE149" s="52"/>
      <c r="AF149" s="57"/>
      <c r="AG149" s="58"/>
      <c r="AH149" s="52"/>
      <c r="AI149" s="159"/>
      <c r="AJ149" s="34"/>
    </row>
    <row r="150" spans="1:36" s="33" customFormat="1" ht="27.6" hidden="1">
      <c r="A150" s="53" t="s">
        <v>62</v>
      </c>
      <c r="B150" s="53"/>
      <c r="C150" s="162"/>
      <c r="D150" s="177" t="s">
        <v>446</v>
      </c>
      <c r="E150" s="175"/>
      <c r="F150" s="176"/>
      <c r="G150" s="163" t="s">
        <v>447</v>
      </c>
      <c r="H150" s="164" t="s">
        <v>22</v>
      </c>
      <c r="I150" s="165"/>
      <c r="J150" s="178"/>
      <c r="K150" s="178"/>
      <c r="L150" s="178"/>
      <c r="M150" s="178"/>
      <c r="N150" s="178"/>
      <c r="O150" s="178"/>
      <c r="P150" s="178"/>
      <c r="Q150" s="178"/>
      <c r="R150" s="178"/>
      <c r="S150" s="178"/>
      <c r="T150" s="178"/>
      <c r="U150" s="178"/>
      <c r="V150" s="178"/>
      <c r="W150" s="166"/>
      <c r="X150" s="166"/>
      <c r="Y150" s="167"/>
      <c r="Z150" s="196"/>
      <c r="AA150" s="168"/>
      <c r="AB150" s="168"/>
      <c r="AC150" s="168"/>
      <c r="AD150" s="168"/>
      <c r="AE150" s="168"/>
      <c r="AF150" s="163"/>
      <c r="AG150" s="169"/>
      <c r="AH150" s="168"/>
      <c r="AI150" s="221"/>
      <c r="AJ150" s="34"/>
    </row>
    <row r="151" spans="1:36" s="33" customFormat="1" ht="34.5" hidden="1" customHeight="1">
      <c r="A151" s="53" t="s">
        <v>62</v>
      </c>
      <c r="B151" s="39" t="s">
        <v>66</v>
      </c>
      <c r="C151" s="49"/>
      <c r="D151" s="87" t="s">
        <v>448</v>
      </c>
      <c r="E151" s="49" t="s">
        <v>69</v>
      </c>
      <c r="F151" s="51"/>
      <c r="G151" s="52" t="s">
        <v>449</v>
      </c>
      <c r="H151" s="53" t="s">
        <v>22</v>
      </c>
      <c r="I151" s="54" t="s">
        <v>71</v>
      </c>
      <c r="J151" s="178"/>
      <c r="K151" s="178"/>
      <c r="L151" s="178"/>
      <c r="M151" s="178"/>
      <c r="N151" s="178"/>
      <c r="O151" s="178"/>
      <c r="P151" s="178"/>
      <c r="Q151" s="178"/>
      <c r="R151" s="178"/>
      <c r="S151" s="178"/>
      <c r="T151" s="178"/>
      <c r="U151" s="178"/>
      <c r="V151" s="178"/>
      <c r="W151" s="55"/>
      <c r="X151" s="55"/>
      <c r="Y151" s="56"/>
      <c r="Z151" s="197" t="s">
        <v>450</v>
      </c>
      <c r="AA151" s="52"/>
      <c r="AB151" s="52"/>
      <c r="AC151" s="52"/>
      <c r="AD151" s="52"/>
      <c r="AE151" s="52"/>
      <c r="AF151" s="57"/>
      <c r="AG151" s="58"/>
      <c r="AH151" s="52"/>
      <c r="AI151" s="220"/>
      <c r="AJ151" s="34"/>
    </row>
    <row r="152" spans="1:36" s="33" customFormat="1" ht="14.85" hidden="1" customHeight="1">
      <c r="A152" s="53" t="s">
        <v>62</v>
      </c>
      <c r="B152" s="53"/>
      <c r="C152" s="162"/>
      <c r="D152" s="177" t="s">
        <v>451</v>
      </c>
      <c r="E152" s="175"/>
      <c r="F152" s="176"/>
      <c r="G152" s="163" t="s">
        <v>452</v>
      </c>
      <c r="H152" s="164" t="s">
        <v>22</v>
      </c>
      <c r="I152" s="165"/>
      <c r="J152" s="178"/>
      <c r="K152" s="178"/>
      <c r="L152" s="178"/>
      <c r="M152" s="178"/>
      <c r="N152" s="178"/>
      <c r="O152" s="178"/>
      <c r="P152" s="178"/>
      <c r="Q152" s="178"/>
      <c r="R152" s="178"/>
      <c r="S152" s="178"/>
      <c r="T152" s="178"/>
      <c r="U152" s="178"/>
      <c r="V152" s="178"/>
      <c r="W152" s="166"/>
      <c r="X152" s="166"/>
      <c r="Y152" s="167"/>
      <c r="Z152" s="196"/>
      <c r="AA152" s="168"/>
      <c r="AB152" s="168"/>
      <c r="AC152" s="168"/>
      <c r="AD152" s="168"/>
      <c r="AE152" s="168"/>
      <c r="AF152" s="163"/>
      <c r="AG152" s="169"/>
      <c r="AH152" s="168"/>
      <c r="AI152" s="221"/>
      <c r="AJ152" s="34"/>
    </row>
    <row r="153" spans="1:36" s="33" customFormat="1" ht="34.5" hidden="1" customHeight="1">
      <c r="A153" s="53" t="s">
        <v>62</v>
      </c>
      <c r="B153" s="39" t="s">
        <v>66</v>
      </c>
      <c r="C153" s="49"/>
      <c r="D153" s="87" t="s">
        <v>453</v>
      </c>
      <c r="E153" s="49" t="s">
        <v>69</v>
      </c>
      <c r="F153" s="51"/>
      <c r="G153" s="52" t="s">
        <v>454</v>
      </c>
      <c r="H153" s="53" t="s">
        <v>22</v>
      </c>
      <c r="I153" s="54" t="s">
        <v>71</v>
      </c>
      <c r="J153" s="178"/>
      <c r="K153" s="178"/>
      <c r="L153" s="178"/>
      <c r="M153" s="178"/>
      <c r="N153" s="178"/>
      <c r="O153" s="178"/>
      <c r="P153" s="178"/>
      <c r="Q153" s="178"/>
      <c r="R153" s="178"/>
      <c r="S153" s="178"/>
      <c r="T153" s="178"/>
      <c r="U153" s="178"/>
      <c r="V153" s="178"/>
      <c r="W153" s="55"/>
      <c r="X153" s="55"/>
      <c r="Y153" s="56"/>
      <c r="Z153" s="197" t="s">
        <v>450</v>
      </c>
      <c r="AA153" s="52"/>
      <c r="AB153" s="52"/>
      <c r="AC153" s="52"/>
      <c r="AD153" s="52"/>
      <c r="AE153" s="52"/>
      <c r="AF153" s="57"/>
      <c r="AG153" s="58"/>
      <c r="AH153" s="52"/>
      <c r="AI153" s="220"/>
      <c r="AJ153" s="34"/>
    </row>
    <row r="154" spans="1:36" s="33" customFormat="1" ht="55.2" hidden="1">
      <c r="A154" s="53" t="s">
        <v>62</v>
      </c>
      <c r="B154" s="53"/>
      <c r="C154" s="162"/>
      <c r="D154" s="177" t="s">
        <v>455</v>
      </c>
      <c r="E154" s="175"/>
      <c r="F154" s="176"/>
      <c r="G154" s="163" t="s">
        <v>456</v>
      </c>
      <c r="H154" s="164" t="s">
        <v>22</v>
      </c>
      <c r="I154" s="165"/>
      <c r="J154" s="178"/>
      <c r="K154" s="178"/>
      <c r="L154" s="178"/>
      <c r="M154" s="178"/>
      <c r="N154" s="178"/>
      <c r="O154" s="178"/>
      <c r="P154" s="178"/>
      <c r="Q154" s="178"/>
      <c r="R154" s="178"/>
      <c r="S154" s="178"/>
      <c r="T154" s="178"/>
      <c r="U154" s="178"/>
      <c r="V154" s="178"/>
      <c r="W154" s="166"/>
      <c r="X154" s="166"/>
      <c r="Y154" s="167"/>
      <c r="Z154" s="196"/>
      <c r="AA154" s="168"/>
      <c r="AB154" s="168"/>
      <c r="AC154" s="168"/>
      <c r="AD154" s="168"/>
      <c r="AE154" s="168"/>
      <c r="AF154" s="163"/>
      <c r="AG154" s="169"/>
      <c r="AH154" s="168"/>
      <c r="AI154" s="221"/>
      <c r="AJ154" s="34"/>
    </row>
    <row r="155" spans="1:36" s="291" customFormat="1" ht="27.6" hidden="1">
      <c r="A155" s="212" t="s">
        <v>62</v>
      </c>
      <c r="B155" s="286" t="s">
        <v>66</v>
      </c>
      <c r="C155" s="287"/>
      <c r="D155" s="288" t="s">
        <v>457</v>
      </c>
      <c r="E155" s="287" t="s">
        <v>96</v>
      </c>
      <c r="F155" s="191"/>
      <c r="G155" s="192" t="s">
        <v>458</v>
      </c>
      <c r="H155" s="212" t="s">
        <v>22</v>
      </c>
      <c r="I155" s="289" t="s">
        <v>71</v>
      </c>
      <c r="J155" s="269"/>
      <c r="K155" s="269"/>
      <c r="L155" s="269"/>
      <c r="M155" s="269"/>
      <c r="N155" s="269"/>
      <c r="O155" s="269"/>
      <c r="P155" s="269"/>
      <c r="Q155" s="269"/>
      <c r="R155" s="269"/>
      <c r="S155" s="269"/>
      <c r="T155" s="269"/>
      <c r="U155" s="269"/>
      <c r="V155" s="269"/>
      <c r="W155" s="270"/>
      <c r="X155" s="270"/>
      <c r="Y155" s="271"/>
      <c r="Z155" s="272" t="s">
        <v>459</v>
      </c>
      <c r="AA155" s="268"/>
      <c r="AB155" s="268"/>
      <c r="AC155" s="268"/>
      <c r="AD155" s="268"/>
      <c r="AE155" s="268"/>
      <c r="AF155" s="273"/>
      <c r="AG155" s="274"/>
      <c r="AH155" s="268"/>
      <c r="AI155" s="290"/>
      <c r="AJ155" s="292"/>
    </row>
    <row r="156" spans="1:36" s="33" customFormat="1" hidden="1">
      <c r="A156" s="53" t="s">
        <v>62</v>
      </c>
      <c r="B156" s="39" t="s">
        <v>66</v>
      </c>
      <c r="C156" s="49"/>
      <c r="D156" s="87" t="s">
        <v>460</v>
      </c>
      <c r="E156" s="49" t="s">
        <v>69</v>
      </c>
      <c r="F156" s="51"/>
      <c r="G156" s="52" t="s">
        <v>461</v>
      </c>
      <c r="H156" s="53" t="s">
        <v>22</v>
      </c>
      <c r="I156" s="54" t="s">
        <v>4</v>
      </c>
      <c r="J156" s="178"/>
      <c r="K156" s="178"/>
      <c r="L156" s="178"/>
      <c r="M156" s="178"/>
      <c r="N156" s="178"/>
      <c r="O156" s="178"/>
      <c r="P156" s="178"/>
      <c r="Q156" s="178"/>
      <c r="R156" s="178"/>
      <c r="S156" s="178"/>
      <c r="T156" s="178"/>
      <c r="U156" s="178"/>
      <c r="V156" s="178"/>
      <c r="W156" s="55"/>
      <c r="X156" s="55"/>
      <c r="Y156" s="56"/>
      <c r="Z156" s="197" t="s">
        <v>127</v>
      </c>
      <c r="AA156" s="52"/>
      <c r="AB156" s="52"/>
      <c r="AC156" s="52"/>
      <c r="AD156" s="52"/>
      <c r="AE156" s="52"/>
      <c r="AF156" s="57"/>
      <c r="AG156" s="58"/>
      <c r="AH156" s="52"/>
      <c r="AI156" s="159"/>
      <c r="AJ156" s="34"/>
    </row>
    <row r="157" spans="1:36" s="33" customFormat="1" ht="74.400000000000006" hidden="1" customHeight="1">
      <c r="A157" s="53" t="s">
        <v>75</v>
      </c>
      <c r="B157" s="53"/>
      <c r="C157" s="162"/>
      <c r="D157" s="177" t="s">
        <v>462</v>
      </c>
      <c r="E157" s="175"/>
      <c r="F157" s="176"/>
      <c r="G157" s="163" t="s">
        <v>463</v>
      </c>
      <c r="H157" s="164" t="s">
        <v>22</v>
      </c>
      <c r="I157" s="165"/>
      <c r="J157" s="178"/>
      <c r="K157" s="178"/>
      <c r="L157" s="178"/>
      <c r="M157" s="178"/>
      <c r="N157" s="178"/>
      <c r="O157" s="178"/>
      <c r="P157" s="178"/>
      <c r="Q157" s="178"/>
      <c r="R157" s="178"/>
      <c r="S157" s="178"/>
      <c r="T157" s="178"/>
      <c r="U157" s="178"/>
      <c r="V157" s="178"/>
      <c r="W157" s="166"/>
      <c r="X157" s="166"/>
      <c r="Y157" s="167"/>
      <c r="Z157" s="196"/>
      <c r="AA157" s="168"/>
      <c r="AB157" s="168"/>
      <c r="AC157" s="168"/>
      <c r="AD157" s="168"/>
      <c r="AE157" s="168"/>
      <c r="AF157" s="163"/>
      <c r="AG157" s="169"/>
      <c r="AH157" s="168"/>
      <c r="AI157" s="170"/>
      <c r="AJ157" s="34"/>
    </row>
    <row r="158" spans="1:36" s="33" customFormat="1" ht="27.6" hidden="1">
      <c r="A158" s="53" t="s">
        <v>62</v>
      </c>
      <c r="B158" s="39" t="s">
        <v>66</v>
      </c>
      <c r="C158" s="49"/>
      <c r="D158" s="87" t="s">
        <v>464</v>
      </c>
      <c r="E158" s="49" t="s">
        <v>69</v>
      </c>
      <c r="F158" s="51"/>
      <c r="G158" s="52" t="s">
        <v>465</v>
      </c>
      <c r="H158" s="53" t="s">
        <v>22</v>
      </c>
      <c r="I158" s="54" t="s">
        <v>71</v>
      </c>
      <c r="J158" s="178"/>
      <c r="K158" s="178"/>
      <c r="L158" s="178"/>
      <c r="M158" s="178"/>
      <c r="N158" s="178"/>
      <c r="O158" s="178"/>
      <c r="P158" s="178"/>
      <c r="Q158" s="178"/>
      <c r="R158" s="178"/>
      <c r="S158" s="178"/>
      <c r="T158" s="178"/>
      <c r="U158" s="178"/>
      <c r="V158" s="178"/>
      <c r="W158" s="55"/>
      <c r="X158" s="55"/>
      <c r="Y158" s="56"/>
      <c r="Z158" s="253" t="s">
        <v>466</v>
      </c>
      <c r="AA158" s="52"/>
      <c r="AB158" s="52"/>
      <c r="AC158" s="52"/>
      <c r="AD158" s="52"/>
      <c r="AE158" s="52"/>
      <c r="AF158" s="57"/>
      <c r="AG158" s="58"/>
      <c r="AH158" s="52"/>
      <c r="AI158" s="159"/>
      <c r="AJ158" s="34"/>
    </row>
    <row r="159" spans="1:36" s="33" customFormat="1" ht="34.5" hidden="1" customHeight="1">
      <c r="A159" s="53" t="s">
        <v>62</v>
      </c>
      <c r="B159" s="53"/>
      <c r="C159" s="162"/>
      <c r="D159" s="177" t="s">
        <v>467</v>
      </c>
      <c r="E159" s="175"/>
      <c r="F159" s="176"/>
      <c r="G159" s="163" t="s">
        <v>468</v>
      </c>
      <c r="H159" s="164" t="s">
        <v>22</v>
      </c>
      <c r="I159" s="165"/>
      <c r="J159" s="178"/>
      <c r="K159" s="178"/>
      <c r="L159" s="178"/>
      <c r="M159" s="178"/>
      <c r="N159" s="178"/>
      <c r="O159" s="178"/>
      <c r="P159" s="178"/>
      <c r="Q159" s="178"/>
      <c r="R159" s="178"/>
      <c r="S159" s="178"/>
      <c r="T159" s="178"/>
      <c r="U159" s="178"/>
      <c r="V159" s="178"/>
      <c r="W159" s="166"/>
      <c r="X159" s="166"/>
      <c r="Y159" s="167"/>
      <c r="Z159" s="197"/>
      <c r="AA159" s="168"/>
      <c r="AB159" s="168"/>
      <c r="AC159" s="168"/>
      <c r="AD159" s="168"/>
      <c r="AE159" s="168"/>
      <c r="AF159" s="163"/>
      <c r="AG159" s="169"/>
      <c r="AH159" s="168"/>
      <c r="AI159" s="170"/>
      <c r="AJ159" s="34"/>
    </row>
    <row r="160" spans="1:36" s="33" customFormat="1" ht="20.100000000000001" hidden="1" customHeight="1">
      <c r="A160" s="53" t="s">
        <v>62</v>
      </c>
      <c r="B160" s="39" t="s">
        <v>66</v>
      </c>
      <c r="C160" s="49"/>
      <c r="D160" s="87" t="s">
        <v>469</v>
      </c>
      <c r="E160" s="49" t="s">
        <v>69</v>
      </c>
      <c r="F160" s="51"/>
      <c r="G160" s="182" t="s">
        <v>470</v>
      </c>
      <c r="H160" s="53" t="s">
        <v>22</v>
      </c>
      <c r="I160" s="54" t="s">
        <v>71</v>
      </c>
      <c r="J160" s="178"/>
      <c r="K160" s="178"/>
      <c r="L160" s="178"/>
      <c r="M160" s="178"/>
      <c r="N160" s="178"/>
      <c r="O160" s="178"/>
      <c r="P160" s="178"/>
      <c r="Q160" s="178"/>
      <c r="R160" s="178"/>
      <c r="S160" s="178"/>
      <c r="T160" s="178"/>
      <c r="U160" s="178"/>
      <c r="V160" s="178"/>
      <c r="W160" s="55"/>
      <c r="X160" s="55"/>
      <c r="Y160" s="56"/>
      <c r="Z160" s="253" t="s">
        <v>471</v>
      </c>
      <c r="AA160" s="52"/>
      <c r="AB160" s="52"/>
      <c r="AC160" s="52"/>
      <c r="AD160" s="52"/>
      <c r="AE160" s="52"/>
      <c r="AF160" s="57"/>
      <c r="AG160" s="58"/>
      <c r="AH160" s="52"/>
      <c r="AI160" s="159"/>
      <c r="AJ160" s="34"/>
    </row>
    <row r="161" spans="1:36" s="33" customFormat="1" ht="72.599999999999994" hidden="1" customHeight="1">
      <c r="A161" s="53" t="s">
        <v>62</v>
      </c>
      <c r="B161" s="53"/>
      <c r="C161" s="162"/>
      <c r="D161" s="177" t="s">
        <v>472</v>
      </c>
      <c r="E161" s="175"/>
      <c r="F161" s="176"/>
      <c r="G161" s="163" t="s">
        <v>473</v>
      </c>
      <c r="H161" s="164" t="s">
        <v>22</v>
      </c>
      <c r="I161" s="165"/>
      <c r="J161" s="178"/>
      <c r="K161" s="178"/>
      <c r="L161" s="178"/>
      <c r="M161" s="178"/>
      <c r="N161" s="178"/>
      <c r="O161" s="178"/>
      <c r="P161" s="178"/>
      <c r="Q161" s="178"/>
      <c r="R161" s="178"/>
      <c r="S161" s="178"/>
      <c r="T161" s="178"/>
      <c r="U161" s="178"/>
      <c r="V161" s="178"/>
      <c r="W161" s="166"/>
      <c r="X161" s="166"/>
      <c r="Y161" s="167"/>
      <c r="Z161" s="196"/>
      <c r="AA161" s="168"/>
      <c r="AB161" s="168"/>
      <c r="AC161" s="168"/>
      <c r="AD161" s="168"/>
      <c r="AE161" s="168"/>
      <c r="AF161" s="163"/>
      <c r="AG161" s="169"/>
      <c r="AH161" s="168"/>
      <c r="AI161" s="170"/>
      <c r="AJ161" s="34"/>
    </row>
    <row r="162" spans="1:36" s="33" customFormat="1" ht="27.6" hidden="1">
      <c r="A162" s="53" t="s">
        <v>62</v>
      </c>
      <c r="B162" s="39" t="s">
        <v>66</v>
      </c>
      <c r="C162" s="49"/>
      <c r="D162" s="87" t="s">
        <v>474</v>
      </c>
      <c r="E162" s="49" t="s">
        <v>69</v>
      </c>
      <c r="F162" s="51"/>
      <c r="G162" s="52" t="s">
        <v>475</v>
      </c>
      <c r="H162" s="53" t="s">
        <v>22</v>
      </c>
      <c r="I162" s="54" t="s">
        <v>71</v>
      </c>
      <c r="J162" s="178"/>
      <c r="K162" s="178"/>
      <c r="L162" s="178"/>
      <c r="M162" s="178"/>
      <c r="N162" s="178"/>
      <c r="O162" s="178"/>
      <c r="P162" s="178"/>
      <c r="Q162" s="178"/>
      <c r="R162" s="178"/>
      <c r="S162" s="178"/>
      <c r="T162" s="178"/>
      <c r="U162" s="178"/>
      <c r="V162" s="178"/>
      <c r="W162" s="55"/>
      <c r="X162" s="55"/>
      <c r="Y162" s="56"/>
      <c r="Z162" s="197" t="s">
        <v>476</v>
      </c>
      <c r="AA162" s="52"/>
      <c r="AB162" s="52"/>
      <c r="AC162" s="52"/>
      <c r="AD162" s="52"/>
      <c r="AE162" s="52"/>
      <c r="AF162" s="57"/>
      <c r="AG162" s="58"/>
      <c r="AH162" s="52"/>
      <c r="AI162" s="159"/>
      <c r="AJ162" s="34"/>
    </row>
    <row r="163" spans="1:36" s="33" customFormat="1" ht="27.6" hidden="1">
      <c r="A163" s="53" t="s">
        <v>62</v>
      </c>
      <c r="B163" s="53"/>
      <c r="C163" s="162"/>
      <c r="D163" s="177" t="s">
        <v>477</v>
      </c>
      <c r="E163" s="175"/>
      <c r="F163" s="176" t="s">
        <v>478</v>
      </c>
      <c r="G163" s="163" t="s">
        <v>479</v>
      </c>
      <c r="H163" s="164" t="s">
        <v>22</v>
      </c>
      <c r="I163" s="165"/>
      <c r="J163" s="178"/>
      <c r="K163" s="178"/>
      <c r="L163" s="178"/>
      <c r="M163" s="178"/>
      <c r="N163" s="178"/>
      <c r="O163" s="178"/>
      <c r="P163" s="178"/>
      <c r="Q163" s="178"/>
      <c r="R163" s="178"/>
      <c r="S163" s="178"/>
      <c r="T163" s="178"/>
      <c r="U163" s="178"/>
      <c r="V163" s="178"/>
      <c r="W163" s="166"/>
      <c r="X163" s="166"/>
      <c r="Y163" s="167"/>
      <c r="Z163" s="196"/>
      <c r="AA163" s="168"/>
      <c r="AB163" s="168"/>
      <c r="AC163" s="168"/>
      <c r="AD163" s="168"/>
      <c r="AE163" s="168"/>
      <c r="AF163" s="163"/>
      <c r="AG163" s="169"/>
      <c r="AH163" s="168"/>
      <c r="AI163" s="221"/>
      <c r="AJ163" s="34"/>
    </row>
    <row r="164" spans="1:36" s="33" customFormat="1" ht="62.1" hidden="1" customHeight="1">
      <c r="A164" s="53" t="s">
        <v>62</v>
      </c>
      <c r="B164" s="39" t="s">
        <v>243</v>
      </c>
      <c r="C164" s="49"/>
      <c r="D164" s="87" t="s">
        <v>480</v>
      </c>
      <c r="E164" s="49" t="s">
        <v>69</v>
      </c>
      <c r="F164" s="51"/>
      <c r="G164" s="182" t="s">
        <v>481</v>
      </c>
      <c r="H164" s="53" t="s">
        <v>22</v>
      </c>
      <c r="I164" s="54" t="s">
        <v>4</v>
      </c>
      <c r="J164" s="178"/>
      <c r="K164" s="178"/>
      <c r="L164" s="178"/>
      <c r="M164" s="178"/>
      <c r="N164" s="178"/>
      <c r="O164" s="178"/>
      <c r="P164" s="178"/>
      <c r="Q164" s="178"/>
      <c r="R164" s="178"/>
      <c r="S164" s="178"/>
      <c r="T164" s="178"/>
      <c r="U164" s="178"/>
      <c r="V164" s="178"/>
      <c r="W164" s="55"/>
      <c r="X164" s="55"/>
      <c r="Y164" s="56"/>
      <c r="Z164" s="197" t="s">
        <v>127</v>
      </c>
      <c r="AA164" s="52"/>
      <c r="AB164" s="52"/>
      <c r="AC164" s="52"/>
      <c r="AD164" s="52"/>
      <c r="AE164" s="52"/>
      <c r="AF164" s="57"/>
      <c r="AG164" s="58"/>
      <c r="AH164" s="52"/>
      <c r="AI164" s="220"/>
      <c r="AJ164" s="34"/>
    </row>
    <row r="165" spans="1:36" s="33" customFormat="1" ht="27.6" hidden="1">
      <c r="A165" s="53" t="s">
        <v>62</v>
      </c>
      <c r="B165" s="53"/>
      <c r="C165" s="162"/>
      <c r="D165" s="177" t="s">
        <v>482</v>
      </c>
      <c r="E165" s="175"/>
      <c r="F165" s="176"/>
      <c r="G165" s="163" t="s">
        <v>483</v>
      </c>
      <c r="H165" s="164" t="s">
        <v>22</v>
      </c>
      <c r="I165" s="165"/>
      <c r="J165" s="178"/>
      <c r="K165" s="178"/>
      <c r="L165" s="178"/>
      <c r="M165" s="178"/>
      <c r="N165" s="178"/>
      <c r="O165" s="178"/>
      <c r="P165" s="178"/>
      <c r="Q165" s="178"/>
      <c r="R165" s="178"/>
      <c r="S165" s="178"/>
      <c r="T165" s="178"/>
      <c r="U165" s="178"/>
      <c r="V165" s="178"/>
      <c r="W165" s="166"/>
      <c r="X165" s="166"/>
      <c r="Y165" s="167"/>
      <c r="Z165" s="196"/>
      <c r="AA165" s="168"/>
      <c r="AB165" s="168"/>
      <c r="AC165" s="168"/>
      <c r="AD165" s="168"/>
      <c r="AE165" s="168"/>
      <c r="AF165" s="163"/>
      <c r="AG165" s="169"/>
      <c r="AH165" s="168"/>
      <c r="AI165" s="221"/>
      <c r="AJ165" s="34"/>
    </row>
    <row r="166" spans="1:36" s="33" customFormat="1" ht="34.5" hidden="1" customHeight="1">
      <c r="A166" s="53" t="s">
        <v>75</v>
      </c>
      <c r="B166" s="39" t="s">
        <v>243</v>
      </c>
      <c r="C166" s="49"/>
      <c r="D166" s="87" t="s">
        <v>484</v>
      </c>
      <c r="E166" s="49" t="s">
        <v>69</v>
      </c>
      <c r="F166" s="51"/>
      <c r="G166" s="52" t="s">
        <v>485</v>
      </c>
      <c r="H166" s="53" t="s">
        <v>22</v>
      </c>
      <c r="I166" s="54" t="s">
        <v>71</v>
      </c>
      <c r="J166" s="178"/>
      <c r="K166" s="178"/>
      <c r="L166" s="178"/>
      <c r="M166" s="178"/>
      <c r="N166" s="178"/>
      <c r="O166" s="178"/>
      <c r="P166" s="178"/>
      <c r="Q166" s="178"/>
      <c r="R166" s="178"/>
      <c r="S166" s="178"/>
      <c r="T166" s="178"/>
      <c r="U166" s="178"/>
      <c r="V166" s="178"/>
      <c r="W166" s="55"/>
      <c r="X166" s="55"/>
      <c r="Y166" s="56"/>
      <c r="Z166" s="197" t="s">
        <v>486</v>
      </c>
      <c r="AA166" s="52"/>
      <c r="AB166" s="52"/>
      <c r="AC166" s="52"/>
      <c r="AD166" s="52"/>
      <c r="AE166" s="52"/>
      <c r="AF166" s="57"/>
      <c r="AG166" s="58"/>
      <c r="AH166" s="52"/>
      <c r="AI166" s="220"/>
      <c r="AJ166" s="34"/>
    </row>
    <row r="167" spans="1:36" s="33" customFormat="1" hidden="1">
      <c r="A167" s="49" t="s">
        <v>62</v>
      </c>
      <c r="B167" s="49"/>
      <c r="C167" s="49"/>
      <c r="D167" s="87" t="s">
        <v>487</v>
      </c>
      <c r="E167" s="87"/>
      <c r="F167" s="208" t="s">
        <v>77</v>
      </c>
      <c r="G167" s="209" t="s">
        <v>488</v>
      </c>
      <c r="H167" s="53"/>
      <c r="I167" s="54"/>
      <c r="J167" s="178"/>
      <c r="K167" s="178"/>
      <c r="L167" s="178"/>
      <c r="M167" s="178"/>
      <c r="N167" s="178"/>
      <c r="O167" s="178"/>
      <c r="P167" s="178"/>
      <c r="Q167" s="178"/>
      <c r="R167" s="178"/>
      <c r="S167" s="178"/>
      <c r="T167" s="178"/>
      <c r="U167" s="178"/>
      <c r="V167" s="178"/>
      <c r="W167" s="55"/>
      <c r="X167" s="55"/>
      <c r="Y167" s="56"/>
      <c r="Z167" s="197"/>
      <c r="AA167" s="52"/>
      <c r="AB167" s="52"/>
      <c r="AC167" s="52"/>
      <c r="AD167" s="52"/>
      <c r="AE167" s="52"/>
      <c r="AF167" s="57"/>
      <c r="AG167" s="58"/>
      <c r="AH167" s="52"/>
      <c r="AI167" s="159"/>
      <c r="AJ167" s="34"/>
    </row>
    <row r="168" spans="1:36" s="33" customFormat="1" ht="34.5" hidden="1" customHeight="1">
      <c r="A168" s="49" t="s">
        <v>62</v>
      </c>
      <c r="B168" s="49"/>
      <c r="C168" s="162"/>
      <c r="D168" s="177" t="s">
        <v>489</v>
      </c>
      <c r="E168" s="175"/>
      <c r="F168" s="176"/>
      <c r="G168" s="163" t="s">
        <v>490</v>
      </c>
      <c r="H168" s="164" t="s">
        <v>22</v>
      </c>
      <c r="I168" s="165"/>
      <c r="J168" s="178"/>
      <c r="K168" s="178"/>
      <c r="L168" s="178"/>
      <c r="M168" s="178"/>
      <c r="N168" s="178"/>
      <c r="O168" s="178"/>
      <c r="P168" s="178"/>
      <c r="Q168" s="178"/>
      <c r="R168" s="178"/>
      <c r="S168" s="178"/>
      <c r="T168" s="178"/>
      <c r="U168" s="178"/>
      <c r="V168" s="178"/>
      <c r="W168" s="166"/>
      <c r="X168" s="166"/>
      <c r="Y168" s="167"/>
      <c r="Z168" s="196"/>
      <c r="AA168" s="168"/>
      <c r="AB168" s="168"/>
      <c r="AC168" s="168"/>
      <c r="AD168" s="168"/>
      <c r="AE168" s="168"/>
      <c r="AF168" s="163"/>
      <c r="AG168" s="169"/>
      <c r="AH168" s="168"/>
      <c r="AI168" s="170"/>
      <c r="AJ168" s="34"/>
    </row>
    <row r="169" spans="1:36" s="33" customFormat="1" ht="27.6" hidden="1">
      <c r="A169" s="49"/>
      <c r="B169" s="39" t="s">
        <v>243</v>
      </c>
      <c r="C169" s="49"/>
      <c r="D169" s="87" t="s">
        <v>491</v>
      </c>
      <c r="E169" s="49" t="s">
        <v>69</v>
      </c>
      <c r="F169" s="51"/>
      <c r="G169" s="52" t="s">
        <v>492</v>
      </c>
      <c r="H169" s="53" t="s">
        <v>22</v>
      </c>
      <c r="I169" s="54" t="s">
        <v>4</v>
      </c>
      <c r="J169" s="178"/>
      <c r="K169" s="178"/>
      <c r="L169" s="178"/>
      <c r="M169" s="178"/>
      <c r="N169" s="178"/>
      <c r="O169" s="178"/>
      <c r="P169" s="178"/>
      <c r="Q169" s="178"/>
      <c r="R169" s="178"/>
      <c r="S169" s="178"/>
      <c r="T169" s="178"/>
      <c r="U169" s="178"/>
      <c r="V169" s="178"/>
      <c r="W169" s="55"/>
      <c r="X169" s="55"/>
      <c r="Y169" s="56"/>
      <c r="Z169" s="197" t="s">
        <v>127</v>
      </c>
      <c r="AA169" s="52"/>
      <c r="AB169" s="52"/>
      <c r="AC169" s="52"/>
      <c r="AD169" s="52"/>
      <c r="AE169" s="52"/>
      <c r="AF169" s="57"/>
      <c r="AG169" s="58"/>
      <c r="AH169" s="52"/>
      <c r="AI169" s="220"/>
      <c r="AJ169" s="34"/>
    </row>
    <row r="170" spans="1:36" s="33" customFormat="1" ht="34.5" hidden="1" customHeight="1">
      <c r="A170" s="49" t="s">
        <v>62</v>
      </c>
      <c r="B170" s="49"/>
      <c r="C170" s="162"/>
      <c r="D170" s="177" t="s">
        <v>493</v>
      </c>
      <c r="E170" s="175"/>
      <c r="F170" s="176"/>
      <c r="G170" s="163" t="s">
        <v>494</v>
      </c>
      <c r="H170" s="164" t="s">
        <v>22</v>
      </c>
      <c r="I170" s="165"/>
      <c r="J170" s="178"/>
      <c r="K170" s="178"/>
      <c r="L170" s="178"/>
      <c r="M170" s="178"/>
      <c r="N170" s="178"/>
      <c r="O170" s="178"/>
      <c r="P170" s="178"/>
      <c r="Q170" s="178"/>
      <c r="R170" s="178"/>
      <c r="S170" s="178"/>
      <c r="T170" s="178"/>
      <c r="U170" s="178"/>
      <c r="V170" s="178"/>
      <c r="W170" s="166"/>
      <c r="X170" s="166"/>
      <c r="Y170" s="167"/>
      <c r="Z170" s="196"/>
      <c r="AA170" s="168"/>
      <c r="AB170" s="168"/>
      <c r="AC170" s="168"/>
      <c r="AD170" s="168"/>
      <c r="AE170" s="168"/>
      <c r="AF170" s="163"/>
      <c r="AG170" s="169"/>
      <c r="AH170" s="168"/>
      <c r="AI170" s="170"/>
      <c r="AJ170" s="34"/>
    </row>
    <row r="171" spans="1:36" s="33" customFormat="1" ht="27.6" hidden="1">
      <c r="A171" s="49" t="s">
        <v>62</v>
      </c>
      <c r="B171" s="39" t="s">
        <v>243</v>
      </c>
      <c r="C171" s="49"/>
      <c r="D171" s="87" t="s">
        <v>495</v>
      </c>
      <c r="E171" s="49" t="s">
        <v>69</v>
      </c>
      <c r="F171" s="51"/>
      <c r="G171" s="52" t="s">
        <v>496</v>
      </c>
      <c r="H171" s="53" t="s">
        <v>22</v>
      </c>
      <c r="I171" s="54" t="s">
        <v>4</v>
      </c>
      <c r="J171" s="178"/>
      <c r="K171" s="178"/>
      <c r="L171" s="178"/>
      <c r="M171" s="178"/>
      <c r="N171" s="178"/>
      <c r="O171" s="178"/>
      <c r="P171" s="178"/>
      <c r="Q171" s="178"/>
      <c r="R171" s="178"/>
      <c r="S171" s="178"/>
      <c r="T171" s="178"/>
      <c r="U171" s="178"/>
      <c r="V171" s="178"/>
      <c r="W171" s="55"/>
      <c r="X171" s="55"/>
      <c r="Y171" s="56"/>
      <c r="Z171" s="197" t="s">
        <v>127</v>
      </c>
      <c r="AA171" s="52"/>
      <c r="AB171" s="52"/>
      <c r="AC171" s="52"/>
      <c r="AD171" s="52"/>
      <c r="AE171" s="52"/>
      <c r="AF171" s="57"/>
      <c r="AG171" s="58"/>
      <c r="AH171" s="52"/>
      <c r="AI171" s="220"/>
      <c r="AJ171" s="34"/>
    </row>
    <row r="172" spans="1:36" s="33" customFormat="1" ht="34.5" hidden="1" customHeight="1">
      <c r="A172" s="49" t="s">
        <v>62</v>
      </c>
      <c r="B172" s="49"/>
      <c r="C172" s="162"/>
      <c r="D172" s="177" t="s">
        <v>497</v>
      </c>
      <c r="E172" s="175"/>
      <c r="F172" s="176"/>
      <c r="G172" s="163" t="s">
        <v>498</v>
      </c>
      <c r="H172" s="164" t="s">
        <v>22</v>
      </c>
      <c r="I172" s="165"/>
      <c r="J172" s="178"/>
      <c r="K172" s="178"/>
      <c r="L172" s="178"/>
      <c r="M172" s="178"/>
      <c r="N172" s="178"/>
      <c r="O172" s="178"/>
      <c r="P172" s="178"/>
      <c r="Q172" s="178"/>
      <c r="R172" s="178"/>
      <c r="S172" s="178"/>
      <c r="T172" s="178"/>
      <c r="U172" s="178"/>
      <c r="V172" s="178"/>
      <c r="W172" s="166"/>
      <c r="X172" s="166"/>
      <c r="Y172" s="167"/>
      <c r="Z172" s="196"/>
      <c r="AA172" s="168"/>
      <c r="AB172" s="168"/>
      <c r="AC172" s="168"/>
      <c r="AD172" s="168"/>
      <c r="AE172" s="168"/>
      <c r="AF172" s="163"/>
      <c r="AG172" s="169"/>
      <c r="AH172" s="168"/>
      <c r="AI172" s="170"/>
      <c r="AJ172" s="34"/>
    </row>
    <row r="173" spans="1:36" s="33" customFormat="1" hidden="1">
      <c r="A173" s="49" t="s">
        <v>62</v>
      </c>
      <c r="B173" s="39" t="s">
        <v>243</v>
      </c>
      <c r="C173" s="49"/>
      <c r="D173" s="87" t="s">
        <v>499</v>
      </c>
      <c r="E173" s="49" t="s">
        <v>69</v>
      </c>
      <c r="F173" s="51"/>
      <c r="G173" s="52" t="s">
        <v>500</v>
      </c>
      <c r="H173" s="53" t="s">
        <v>22</v>
      </c>
      <c r="I173" s="54" t="s">
        <v>4</v>
      </c>
      <c r="J173" s="178"/>
      <c r="K173" s="178"/>
      <c r="L173" s="178"/>
      <c r="M173" s="178"/>
      <c r="N173" s="178"/>
      <c r="O173" s="178"/>
      <c r="P173" s="178"/>
      <c r="Q173" s="178"/>
      <c r="R173" s="178"/>
      <c r="S173" s="178"/>
      <c r="T173" s="178"/>
      <c r="U173" s="178"/>
      <c r="V173" s="178"/>
      <c r="W173" s="55"/>
      <c r="X173" s="55"/>
      <c r="Y173" s="56"/>
      <c r="Z173" s="197" t="s">
        <v>127</v>
      </c>
      <c r="AA173" s="52"/>
      <c r="AB173" s="52"/>
      <c r="AC173" s="52"/>
      <c r="AD173" s="52"/>
      <c r="AE173" s="52"/>
      <c r="AF173" s="57"/>
      <c r="AG173" s="58"/>
      <c r="AH173" s="52"/>
      <c r="AI173" s="220"/>
      <c r="AJ173" s="34"/>
    </row>
    <row r="174" spans="1:36" s="33" customFormat="1" ht="34.5" hidden="1" customHeight="1">
      <c r="A174" s="49" t="s">
        <v>62</v>
      </c>
      <c r="B174" s="39" t="s">
        <v>243</v>
      </c>
      <c r="C174" s="49"/>
      <c r="D174" s="87" t="s">
        <v>501</v>
      </c>
      <c r="E174" s="49" t="s">
        <v>69</v>
      </c>
      <c r="F174" s="51"/>
      <c r="G174" s="52" t="s">
        <v>502</v>
      </c>
      <c r="H174" s="53"/>
      <c r="I174" s="54" t="s">
        <v>92</v>
      </c>
      <c r="J174" s="178"/>
      <c r="K174" s="178"/>
      <c r="L174" s="178"/>
      <c r="M174" s="178"/>
      <c r="N174" s="178"/>
      <c r="O174" s="178"/>
      <c r="P174" s="178"/>
      <c r="Q174" s="178"/>
      <c r="R174" s="178"/>
      <c r="S174" s="178"/>
      <c r="T174" s="178"/>
      <c r="U174" s="178"/>
      <c r="V174" s="178"/>
      <c r="W174" s="55"/>
      <c r="X174" s="55"/>
      <c r="Y174" s="56"/>
      <c r="Z174" s="197"/>
      <c r="AA174" s="52"/>
      <c r="AB174" s="52"/>
      <c r="AC174" s="52"/>
      <c r="AD174" s="52"/>
      <c r="AE174" s="52"/>
      <c r="AF174" s="57"/>
      <c r="AG174" s="58"/>
      <c r="AH174" s="52"/>
      <c r="AI174" s="220"/>
      <c r="AJ174" s="34"/>
    </row>
    <row r="175" spans="1:36" s="33" customFormat="1" ht="27.6" hidden="1">
      <c r="A175" s="49" t="s">
        <v>62</v>
      </c>
      <c r="B175" s="49"/>
      <c r="C175" s="162"/>
      <c r="D175" s="177" t="s">
        <v>503</v>
      </c>
      <c r="E175" s="175"/>
      <c r="F175" s="176"/>
      <c r="G175" s="163" t="s">
        <v>504</v>
      </c>
      <c r="H175" s="164" t="s">
        <v>22</v>
      </c>
      <c r="I175" s="165"/>
      <c r="J175" s="178"/>
      <c r="K175" s="178"/>
      <c r="L175" s="178"/>
      <c r="M175" s="178"/>
      <c r="N175" s="178"/>
      <c r="O175" s="178"/>
      <c r="P175" s="178"/>
      <c r="Q175" s="178"/>
      <c r="R175" s="178"/>
      <c r="S175" s="178"/>
      <c r="T175" s="178"/>
      <c r="U175" s="178"/>
      <c r="V175" s="178"/>
      <c r="W175" s="166"/>
      <c r="X175" s="166"/>
      <c r="Y175" s="167"/>
      <c r="Z175" s="196"/>
      <c r="AA175" s="168"/>
      <c r="AB175" s="168"/>
      <c r="AC175" s="168"/>
      <c r="AD175" s="168"/>
      <c r="AE175" s="168"/>
      <c r="AF175" s="163"/>
      <c r="AG175" s="169"/>
      <c r="AH175" s="168"/>
      <c r="AI175" s="221"/>
      <c r="AJ175" s="34"/>
    </row>
    <row r="176" spans="1:36" s="33" customFormat="1" ht="34.5" hidden="1" customHeight="1">
      <c r="A176" s="49" t="s">
        <v>62</v>
      </c>
      <c r="B176" s="39" t="s">
        <v>66</v>
      </c>
      <c r="C176" s="49"/>
      <c r="D176" s="87" t="s">
        <v>505</v>
      </c>
      <c r="E176" s="49" t="s">
        <v>96</v>
      </c>
      <c r="F176" s="51"/>
      <c r="G176" s="52" t="s">
        <v>506</v>
      </c>
      <c r="H176" s="53" t="s">
        <v>22</v>
      </c>
      <c r="I176" s="54" t="s">
        <v>71</v>
      </c>
      <c r="J176" s="178"/>
      <c r="K176" s="178"/>
      <c r="L176" s="178"/>
      <c r="M176" s="178"/>
      <c r="N176" s="178"/>
      <c r="O176" s="178"/>
      <c r="P176" s="178"/>
      <c r="Q176" s="178"/>
      <c r="R176" s="178"/>
      <c r="S176" s="178"/>
      <c r="T176" s="178"/>
      <c r="U176" s="178"/>
      <c r="V176" s="178"/>
      <c r="W176" s="55"/>
      <c r="X176" s="55"/>
      <c r="Y176" s="56"/>
      <c r="Z176" s="197" t="s">
        <v>507</v>
      </c>
      <c r="AA176" s="52"/>
      <c r="AB176" s="52"/>
      <c r="AC176" s="52"/>
      <c r="AD176" s="52"/>
      <c r="AE176" s="52"/>
      <c r="AF176" s="57"/>
      <c r="AG176" s="58"/>
      <c r="AH176" s="52"/>
      <c r="AI176" s="220"/>
      <c r="AJ176" s="34"/>
    </row>
    <row r="177" spans="1:36" s="33" customFormat="1" ht="96.6" hidden="1">
      <c r="A177" s="49" t="s">
        <v>62</v>
      </c>
      <c r="B177" s="49"/>
      <c r="C177" s="162"/>
      <c r="D177" s="177" t="s">
        <v>508</v>
      </c>
      <c r="E177" s="175"/>
      <c r="F177" s="176"/>
      <c r="G177" s="163" t="s">
        <v>509</v>
      </c>
      <c r="H177" s="164" t="s">
        <v>22</v>
      </c>
      <c r="I177" s="165"/>
      <c r="J177" s="178"/>
      <c r="K177" s="178"/>
      <c r="L177" s="178"/>
      <c r="M177" s="178"/>
      <c r="N177" s="178"/>
      <c r="O177" s="178"/>
      <c r="P177" s="178"/>
      <c r="Q177" s="178"/>
      <c r="R177" s="178"/>
      <c r="S177" s="178"/>
      <c r="T177" s="178"/>
      <c r="U177" s="178"/>
      <c r="V177" s="178"/>
      <c r="W177" s="166"/>
      <c r="X177" s="166"/>
      <c r="Y177" s="167"/>
      <c r="Z177" s="196"/>
      <c r="AA177" s="168"/>
      <c r="AB177" s="168"/>
      <c r="AC177" s="168"/>
      <c r="AD177" s="168"/>
      <c r="AE177" s="168"/>
      <c r="AF177" s="163"/>
      <c r="AG177" s="169"/>
      <c r="AH177" s="168"/>
      <c r="AI177" s="221"/>
      <c r="AJ177" s="34"/>
    </row>
    <row r="178" spans="1:36" s="33" customFormat="1" ht="34.5" hidden="1" customHeight="1">
      <c r="A178" s="49" t="s">
        <v>62</v>
      </c>
      <c r="B178" s="39" t="s">
        <v>243</v>
      </c>
      <c r="C178" s="49"/>
      <c r="D178" s="87" t="s">
        <v>510</v>
      </c>
      <c r="E178" s="49" t="s">
        <v>69</v>
      </c>
      <c r="F178" s="51"/>
      <c r="G178" s="52" t="s">
        <v>511</v>
      </c>
      <c r="H178" s="53" t="s">
        <v>22</v>
      </c>
      <c r="I178" s="54" t="s">
        <v>4</v>
      </c>
      <c r="J178" s="178"/>
      <c r="K178" s="178"/>
      <c r="L178" s="178"/>
      <c r="M178" s="178"/>
      <c r="N178" s="178"/>
      <c r="O178" s="178"/>
      <c r="P178" s="178"/>
      <c r="Q178" s="178"/>
      <c r="R178" s="178"/>
      <c r="S178" s="178"/>
      <c r="T178" s="178"/>
      <c r="U178" s="178"/>
      <c r="V178" s="178"/>
      <c r="W178" s="55"/>
      <c r="X178" s="55"/>
      <c r="Y178" s="56"/>
      <c r="Z178" s="197" t="s">
        <v>127</v>
      </c>
      <c r="AA178" s="52"/>
      <c r="AB178" s="52"/>
      <c r="AC178" s="52"/>
      <c r="AD178" s="52"/>
      <c r="AE178" s="52"/>
      <c r="AF178" s="57"/>
      <c r="AG178" s="58"/>
      <c r="AH178" s="52"/>
      <c r="AI178" s="220"/>
      <c r="AJ178" s="34"/>
    </row>
    <row r="179" spans="1:36" s="33" customFormat="1" hidden="1">
      <c r="A179" s="49" t="s">
        <v>62</v>
      </c>
      <c r="B179" s="39" t="s">
        <v>243</v>
      </c>
      <c r="C179" s="49"/>
      <c r="D179" s="87" t="s">
        <v>512</v>
      </c>
      <c r="E179" s="49" t="s">
        <v>69</v>
      </c>
      <c r="F179" s="51"/>
      <c r="G179" s="52" t="s">
        <v>513</v>
      </c>
      <c r="H179" s="53" t="s">
        <v>22</v>
      </c>
      <c r="I179" s="54" t="s">
        <v>4</v>
      </c>
      <c r="J179" s="178"/>
      <c r="K179" s="178"/>
      <c r="L179" s="178"/>
      <c r="M179" s="178"/>
      <c r="N179" s="178"/>
      <c r="O179" s="178"/>
      <c r="P179" s="178"/>
      <c r="Q179" s="178"/>
      <c r="R179" s="178"/>
      <c r="S179" s="178"/>
      <c r="T179" s="178"/>
      <c r="U179" s="178"/>
      <c r="V179" s="178"/>
      <c r="W179" s="55"/>
      <c r="X179" s="55"/>
      <c r="Y179" s="56"/>
      <c r="Z179" s="197" t="s">
        <v>127</v>
      </c>
      <c r="AA179" s="52"/>
      <c r="AB179" s="52"/>
      <c r="AC179" s="52"/>
      <c r="AD179" s="52"/>
      <c r="AE179" s="52"/>
      <c r="AF179" s="57"/>
      <c r="AG179" s="58"/>
      <c r="AH179" s="52"/>
      <c r="AI179" s="220"/>
      <c r="AJ179" s="34"/>
    </row>
    <row r="180" spans="1:36" s="33" customFormat="1" hidden="1">
      <c r="A180" s="49" t="s">
        <v>62</v>
      </c>
      <c r="B180" s="39" t="s">
        <v>243</v>
      </c>
      <c r="C180" s="49"/>
      <c r="D180" s="87" t="s">
        <v>514</v>
      </c>
      <c r="E180" s="49" t="s">
        <v>69</v>
      </c>
      <c r="F180" s="51"/>
      <c r="G180" s="52" t="s">
        <v>515</v>
      </c>
      <c r="H180" s="53" t="s">
        <v>22</v>
      </c>
      <c r="I180" s="54" t="s">
        <v>4</v>
      </c>
      <c r="J180" s="178"/>
      <c r="K180" s="178"/>
      <c r="L180" s="178"/>
      <c r="M180" s="178"/>
      <c r="N180" s="178"/>
      <c r="O180" s="178"/>
      <c r="P180" s="178"/>
      <c r="Q180" s="178"/>
      <c r="R180" s="178"/>
      <c r="S180" s="178"/>
      <c r="T180" s="178"/>
      <c r="U180" s="178"/>
      <c r="V180" s="178"/>
      <c r="W180" s="55"/>
      <c r="X180" s="55"/>
      <c r="Y180" s="56"/>
      <c r="Z180" s="197" t="s">
        <v>127</v>
      </c>
      <c r="AA180" s="52"/>
      <c r="AB180" s="52"/>
      <c r="AC180" s="52"/>
      <c r="AD180" s="52"/>
      <c r="AE180" s="52"/>
      <c r="AF180" s="57"/>
      <c r="AG180" s="58"/>
      <c r="AH180" s="52"/>
      <c r="AI180" s="220"/>
      <c r="AJ180" s="34"/>
    </row>
    <row r="181" spans="1:36" s="33" customFormat="1" ht="50.25" hidden="1" customHeight="1">
      <c r="A181" s="49" t="s">
        <v>62</v>
      </c>
      <c r="B181" s="39" t="s">
        <v>516</v>
      </c>
      <c r="C181" s="49"/>
      <c r="D181" s="87" t="s">
        <v>517</v>
      </c>
      <c r="E181" s="49" t="s">
        <v>96</v>
      </c>
      <c r="F181" s="51"/>
      <c r="G181" s="70" t="s">
        <v>518</v>
      </c>
      <c r="H181" s="53"/>
      <c r="I181" s="54" t="s">
        <v>92</v>
      </c>
      <c r="J181" s="178"/>
      <c r="K181" s="178"/>
      <c r="L181" s="178"/>
      <c r="M181" s="178"/>
      <c r="N181" s="178"/>
      <c r="O181" s="178"/>
      <c r="P181" s="178"/>
      <c r="Q181" s="178"/>
      <c r="R181" s="178"/>
      <c r="S181" s="178"/>
      <c r="T181" s="178"/>
      <c r="U181" s="178"/>
      <c r="V181" s="178"/>
      <c r="W181" s="55"/>
      <c r="X181" s="55"/>
      <c r="Y181" s="56"/>
      <c r="Z181" s="197" t="s">
        <v>519</v>
      </c>
      <c r="AA181" s="52"/>
      <c r="AB181" s="52"/>
      <c r="AC181" s="52"/>
      <c r="AD181" s="52"/>
      <c r="AE181" s="52"/>
      <c r="AF181" s="57"/>
      <c r="AG181" s="58"/>
      <c r="AH181" s="52"/>
      <c r="AI181" s="220"/>
      <c r="AJ181" s="34"/>
    </row>
    <row r="182" spans="1:36" s="33" customFormat="1" ht="36.75" hidden="1" customHeight="1">
      <c r="A182" s="49" t="s">
        <v>62</v>
      </c>
      <c r="B182" s="49"/>
      <c r="C182" s="162"/>
      <c r="D182" s="177" t="s">
        <v>520</v>
      </c>
      <c r="E182" s="175"/>
      <c r="F182" s="176"/>
      <c r="G182" s="163" t="s">
        <v>521</v>
      </c>
      <c r="H182" s="164" t="s">
        <v>22</v>
      </c>
      <c r="I182" s="165"/>
      <c r="J182" s="178"/>
      <c r="K182" s="178"/>
      <c r="L182" s="178"/>
      <c r="M182" s="178"/>
      <c r="N182" s="178"/>
      <c r="O182" s="178"/>
      <c r="P182" s="178"/>
      <c r="Q182" s="178"/>
      <c r="R182" s="178"/>
      <c r="S182" s="178"/>
      <c r="T182" s="178"/>
      <c r="U182" s="178"/>
      <c r="V182" s="178"/>
      <c r="W182" s="166"/>
      <c r="X182" s="166"/>
      <c r="Y182" s="167"/>
      <c r="Z182" s="196"/>
      <c r="AA182" s="168"/>
      <c r="AB182" s="168"/>
      <c r="AC182" s="168"/>
      <c r="AD182" s="168"/>
      <c r="AE182" s="168"/>
      <c r="AF182" s="163"/>
      <c r="AG182" s="169"/>
      <c r="AH182" s="168"/>
      <c r="AI182" s="221"/>
      <c r="AJ182" s="34"/>
    </row>
    <row r="183" spans="1:36" s="33" customFormat="1" ht="34.5" hidden="1" customHeight="1">
      <c r="A183" s="49" t="s">
        <v>62</v>
      </c>
      <c r="B183" s="39" t="s">
        <v>243</v>
      </c>
      <c r="C183" s="49"/>
      <c r="D183" s="87" t="s">
        <v>522</v>
      </c>
      <c r="E183" s="49" t="s">
        <v>69</v>
      </c>
      <c r="F183" s="51"/>
      <c r="G183" s="52" t="s">
        <v>523</v>
      </c>
      <c r="H183" s="53" t="s">
        <v>22</v>
      </c>
      <c r="I183" s="54" t="s">
        <v>4</v>
      </c>
      <c r="J183" s="178"/>
      <c r="K183" s="178"/>
      <c r="L183" s="178"/>
      <c r="M183" s="178"/>
      <c r="N183" s="178"/>
      <c r="O183" s="178"/>
      <c r="P183" s="178"/>
      <c r="Q183" s="178"/>
      <c r="R183" s="178"/>
      <c r="S183" s="178"/>
      <c r="T183" s="178"/>
      <c r="U183" s="178"/>
      <c r="V183" s="178"/>
      <c r="W183" s="55"/>
      <c r="X183" s="55"/>
      <c r="Y183" s="56"/>
      <c r="Z183" s="197" t="s">
        <v>127</v>
      </c>
      <c r="AA183" s="52"/>
      <c r="AB183" s="52"/>
      <c r="AC183" s="52"/>
      <c r="AD183" s="52"/>
      <c r="AE183" s="52"/>
      <c r="AF183" s="57"/>
      <c r="AG183" s="58"/>
      <c r="AH183" s="52"/>
      <c r="AI183" s="220"/>
      <c r="AJ183" s="34"/>
    </row>
    <row r="184" spans="1:36" s="33" customFormat="1" ht="27.6" hidden="1">
      <c r="A184" s="49" t="s">
        <v>62</v>
      </c>
      <c r="B184" s="49"/>
      <c r="C184" s="162"/>
      <c r="D184" s="177" t="s">
        <v>524</v>
      </c>
      <c r="E184" s="175"/>
      <c r="F184" s="176"/>
      <c r="G184" s="163" t="s">
        <v>525</v>
      </c>
      <c r="H184" s="164" t="s">
        <v>22</v>
      </c>
      <c r="I184" s="165"/>
      <c r="J184" s="178"/>
      <c r="K184" s="178"/>
      <c r="L184" s="178"/>
      <c r="M184" s="178"/>
      <c r="N184" s="178"/>
      <c r="O184" s="178"/>
      <c r="P184" s="178"/>
      <c r="Q184" s="178"/>
      <c r="R184" s="178"/>
      <c r="S184" s="178"/>
      <c r="T184" s="178"/>
      <c r="U184" s="178"/>
      <c r="V184" s="178"/>
      <c r="W184" s="166"/>
      <c r="X184" s="166"/>
      <c r="Y184" s="167"/>
      <c r="Z184" s="196"/>
      <c r="AA184" s="168"/>
      <c r="AB184" s="168"/>
      <c r="AC184" s="168"/>
      <c r="AD184" s="168"/>
      <c r="AE184" s="168"/>
      <c r="AF184" s="163"/>
      <c r="AG184" s="169"/>
      <c r="AH184" s="168"/>
      <c r="AI184" s="221"/>
      <c r="AJ184" s="34"/>
    </row>
    <row r="185" spans="1:36" s="33" customFormat="1" ht="58.35" hidden="1" customHeight="1">
      <c r="A185" s="49" t="s">
        <v>62</v>
      </c>
      <c r="B185" s="39" t="s">
        <v>243</v>
      </c>
      <c r="C185" s="49"/>
      <c r="D185" s="87" t="s">
        <v>526</v>
      </c>
      <c r="E185" s="49" t="s">
        <v>69</v>
      </c>
      <c r="F185" s="51"/>
      <c r="G185" s="52" t="s">
        <v>527</v>
      </c>
      <c r="H185" s="53" t="s">
        <v>22</v>
      </c>
      <c r="I185" s="54" t="s">
        <v>71</v>
      </c>
      <c r="J185" s="178"/>
      <c r="K185" s="178"/>
      <c r="L185" s="178"/>
      <c r="M185" s="178"/>
      <c r="N185" s="178"/>
      <c r="O185" s="178"/>
      <c r="P185" s="178"/>
      <c r="Q185" s="178"/>
      <c r="R185" s="178"/>
      <c r="S185" s="178"/>
      <c r="T185" s="178"/>
      <c r="U185" s="178"/>
      <c r="V185" s="178"/>
      <c r="W185" s="55"/>
      <c r="X185" s="55"/>
      <c r="Y185" s="56"/>
      <c r="Z185" s="197" t="s">
        <v>528</v>
      </c>
      <c r="AA185" s="52"/>
      <c r="AB185" s="52"/>
      <c r="AC185" s="52"/>
      <c r="AD185" s="52"/>
      <c r="AE185" s="52"/>
      <c r="AF185" s="57"/>
      <c r="AG185" s="58"/>
      <c r="AH185" s="52"/>
      <c r="AI185" s="220"/>
      <c r="AJ185" s="34"/>
    </row>
    <row r="186" spans="1:36" s="33" customFormat="1" hidden="1">
      <c r="A186" s="49" t="s">
        <v>62</v>
      </c>
      <c r="B186" s="49"/>
      <c r="C186" s="162"/>
      <c r="D186" s="177" t="s">
        <v>529</v>
      </c>
      <c r="E186" s="175"/>
      <c r="F186" s="176"/>
      <c r="G186" s="163" t="s">
        <v>530</v>
      </c>
      <c r="H186" s="164" t="s">
        <v>22</v>
      </c>
      <c r="I186" s="165"/>
      <c r="J186" s="178"/>
      <c r="K186" s="178"/>
      <c r="L186" s="178"/>
      <c r="M186" s="178"/>
      <c r="N186" s="178"/>
      <c r="O186" s="178"/>
      <c r="P186" s="178"/>
      <c r="Q186" s="178"/>
      <c r="R186" s="178"/>
      <c r="S186" s="178"/>
      <c r="T186" s="178"/>
      <c r="U186" s="178"/>
      <c r="V186" s="178"/>
      <c r="W186" s="166"/>
      <c r="X186" s="166"/>
      <c r="Y186" s="167"/>
      <c r="Z186" s="196"/>
      <c r="AA186" s="168"/>
      <c r="AB186" s="168"/>
      <c r="AC186" s="168"/>
      <c r="AD186" s="168"/>
      <c r="AE186" s="168"/>
      <c r="AF186" s="163"/>
      <c r="AG186" s="169"/>
      <c r="AH186" s="168"/>
      <c r="AI186" s="221"/>
      <c r="AJ186" s="34"/>
    </row>
    <row r="187" spans="1:36" s="33" customFormat="1" ht="34.5" hidden="1" customHeight="1">
      <c r="A187" s="49" t="s">
        <v>62</v>
      </c>
      <c r="B187" s="39" t="s">
        <v>243</v>
      </c>
      <c r="C187" s="49"/>
      <c r="D187" s="87" t="s">
        <v>531</v>
      </c>
      <c r="E187" s="49" t="s">
        <v>69</v>
      </c>
      <c r="F187" s="51"/>
      <c r="G187" s="52" t="s">
        <v>532</v>
      </c>
      <c r="H187" s="53" t="s">
        <v>22</v>
      </c>
      <c r="I187" s="54" t="s">
        <v>71</v>
      </c>
      <c r="J187" s="178"/>
      <c r="K187" s="178"/>
      <c r="L187" s="178"/>
      <c r="M187" s="178"/>
      <c r="N187" s="178"/>
      <c r="O187" s="178"/>
      <c r="P187" s="178"/>
      <c r="Q187" s="178"/>
      <c r="R187" s="178"/>
      <c r="S187" s="178"/>
      <c r="T187" s="178"/>
      <c r="U187" s="178"/>
      <c r="V187" s="178"/>
      <c r="W187" s="55"/>
      <c r="X187" s="55"/>
      <c r="Y187" s="56"/>
      <c r="Z187" s="197" t="s">
        <v>528</v>
      </c>
      <c r="AA187" s="52"/>
      <c r="AB187" s="52"/>
      <c r="AC187" s="52"/>
      <c r="AD187" s="52"/>
      <c r="AE187" s="52"/>
      <c r="AF187" s="57"/>
      <c r="AG187" s="58"/>
      <c r="AH187" s="52"/>
      <c r="AI187" s="220"/>
      <c r="AJ187" s="34"/>
    </row>
    <row r="188" spans="1:36" s="33" customFormat="1" ht="27.6" hidden="1">
      <c r="A188" s="49" t="s">
        <v>62</v>
      </c>
      <c r="B188" s="49"/>
      <c r="C188" s="162"/>
      <c r="D188" s="177" t="s">
        <v>533</v>
      </c>
      <c r="E188" s="175"/>
      <c r="F188" s="176"/>
      <c r="G188" s="163" t="s">
        <v>534</v>
      </c>
      <c r="H188" s="164" t="s">
        <v>22</v>
      </c>
      <c r="I188" s="165"/>
      <c r="J188" s="178"/>
      <c r="K188" s="178"/>
      <c r="L188" s="178"/>
      <c r="M188" s="178"/>
      <c r="N188" s="178"/>
      <c r="O188" s="178"/>
      <c r="P188" s="178"/>
      <c r="Q188" s="178"/>
      <c r="R188" s="178"/>
      <c r="S188" s="178"/>
      <c r="T188" s="178"/>
      <c r="U188" s="178"/>
      <c r="V188" s="178"/>
      <c r="W188" s="166"/>
      <c r="X188" s="166"/>
      <c r="Y188" s="167"/>
      <c r="Z188" s="196"/>
      <c r="AA188" s="168"/>
      <c r="AB188" s="168"/>
      <c r="AC188" s="168"/>
      <c r="AD188" s="168"/>
      <c r="AE188" s="168"/>
      <c r="AF188" s="163"/>
      <c r="AG188" s="169"/>
      <c r="AH188" s="168"/>
      <c r="AI188" s="221"/>
      <c r="AJ188" s="34"/>
    </row>
    <row r="189" spans="1:36" s="33" customFormat="1" ht="27.6" hidden="1">
      <c r="A189" s="49" t="s">
        <v>62</v>
      </c>
      <c r="B189" s="39" t="s">
        <v>243</v>
      </c>
      <c r="C189" s="49"/>
      <c r="D189" s="87" t="s">
        <v>535</v>
      </c>
      <c r="E189" s="49" t="s">
        <v>69</v>
      </c>
      <c r="F189" s="51"/>
      <c r="G189" s="52" t="s">
        <v>536</v>
      </c>
      <c r="H189" s="53" t="s">
        <v>22</v>
      </c>
      <c r="I189" s="54" t="s">
        <v>4</v>
      </c>
      <c r="J189" s="178"/>
      <c r="K189" s="178"/>
      <c r="L189" s="178"/>
      <c r="M189" s="178"/>
      <c r="N189" s="178"/>
      <c r="O189" s="178"/>
      <c r="P189" s="178"/>
      <c r="Q189" s="178"/>
      <c r="R189" s="178"/>
      <c r="S189" s="178"/>
      <c r="T189" s="178"/>
      <c r="U189" s="178"/>
      <c r="V189" s="178"/>
      <c r="W189" s="55"/>
      <c r="X189" s="55"/>
      <c r="Y189" s="56"/>
      <c r="Z189" s="197" t="s">
        <v>127</v>
      </c>
      <c r="AA189" s="52"/>
      <c r="AB189" s="52"/>
      <c r="AC189" s="52"/>
      <c r="AD189" s="52"/>
      <c r="AE189" s="52"/>
      <c r="AF189" s="57"/>
      <c r="AG189" s="58"/>
      <c r="AH189" s="52"/>
      <c r="AI189" s="220"/>
      <c r="AJ189" s="34"/>
    </row>
    <row r="190" spans="1:36" s="33" customFormat="1" ht="34.5" hidden="1" customHeight="1">
      <c r="A190" s="49" t="s">
        <v>62</v>
      </c>
      <c r="B190" s="39"/>
      <c r="C190" s="49"/>
      <c r="D190" s="87" t="s">
        <v>537</v>
      </c>
      <c r="E190" s="87"/>
      <c r="F190" s="191"/>
      <c r="G190" s="192" t="s">
        <v>538</v>
      </c>
      <c r="H190" s="53" t="s">
        <v>16</v>
      </c>
      <c r="I190" s="54" t="s">
        <v>399</v>
      </c>
      <c r="J190" s="178"/>
      <c r="K190" s="178"/>
      <c r="L190" s="178"/>
      <c r="M190" s="178"/>
      <c r="N190" s="178"/>
      <c r="O190" s="178"/>
      <c r="P190" s="178"/>
      <c r="Q190" s="178"/>
      <c r="R190" s="178"/>
      <c r="S190" s="178"/>
      <c r="T190" s="178"/>
      <c r="U190" s="178"/>
      <c r="V190" s="178"/>
      <c r="W190" s="55"/>
      <c r="X190" s="55"/>
      <c r="Y190" s="56"/>
      <c r="Z190" s="197"/>
      <c r="AA190" s="52"/>
      <c r="AB190" s="52"/>
      <c r="AC190" s="52"/>
      <c r="AD190" s="52"/>
      <c r="AE190" s="52"/>
      <c r="AF190" s="57"/>
      <c r="AG190" s="58"/>
      <c r="AH190" s="52"/>
      <c r="AI190" s="220"/>
      <c r="AJ190" s="34"/>
    </row>
    <row r="191" spans="1:36" s="33" customFormat="1" ht="14.1" hidden="1" customHeight="1">
      <c r="A191" s="49" t="s">
        <v>62</v>
      </c>
      <c r="B191" s="49"/>
      <c r="C191" s="162"/>
      <c r="D191" s="177" t="s">
        <v>539</v>
      </c>
      <c r="E191" s="175"/>
      <c r="F191" s="176"/>
      <c r="G191" s="163" t="s">
        <v>540</v>
      </c>
      <c r="H191" s="164" t="s">
        <v>22</v>
      </c>
      <c r="I191" s="165"/>
      <c r="J191" s="178"/>
      <c r="K191" s="178"/>
      <c r="L191" s="178"/>
      <c r="M191" s="178"/>
      <c r="N191" s="178"/>
      <c r="O191" s="178"/>
      <c r="P191" s="178"/>
      <c r="Q191" s="178"/>
      <c r="R191" s="178"/>
      <c r="S191" s="178"/>
      <c r="T191" s="178"/>
      <c r="U191" s="178"/>
      <c r="V191" s="178"/>
      <c r="W191" s="166"/>
      <c r="X191" s="166"/>
      <c r="Y191" s="167"/>
      <c r="Z191" s="196"/>
      <c r="AA191" s="168"/>
      <c r="AB191" s="168"/>
      <c r="AC191" s="168"/>
      <c r="AD191" s="168"/>
      <c r="AE191" s="168"/>
      <c r="AF191" s="163"/>
      <c r="AG191" s="169"/>
      <c r="AH191" s="168"/>
      <c r="AI191" s="221"/>
      <c r="AJ191" s="34"/>
    </row>
    <row r="192" spans="1:36" s="33" customFormat="1" ht="44.1" hidden="1" customHeight="1">
      <c r="A192" s="49" t="s">
        <v>62</v>
      </c>
      <c r="B192" s="39" t="s">
        <v>66</v>
      </c>
      <c r="C192" s="49"/>
      <c r="D192" s="87" t="s">
        <v>541</v>
      </c>
      <c r="E192" s="49" t="s">
        <v>69</v>
      </c>
      <c r="F192" s="51"/>
      <c r="G192" s="52" t="s">
        <v>542</v>
      </c>
      <c r="H192" s="53"/>
      <c r="I192" s="54" t="s">
        <v>71</v>
      </c>
      <c r="J192" s="178"/>
      <c r="K192" s="178"/>
      <c r="L192" s="178"/>
      <c r="M192" s="178"/>
      <c r="N192" s="178"/>
      <c r="O192" s="178"/>
      <c r="P192" s="178"/>
      <c r="Q192" s="178"/>
      <c r="R192" s="178"/>
      <c r="S192" s="178"/>
      <c r="T192" s="178"/>
      <c r="U192" s="178"/>
      <c r="V192" s="178"/>
      <c r="W192" s="55"/>
      <c r="X192" s="55"/>
      <c r="Y192" s="56"/>
      <c r="Z192" s="197" t="s">
        <v>543</v>
      </c>
      <c r="AA192" s="52"/>
      <c r="AB192" s="52"/>
      <c r="AC192" s="52"/>
      <c r="AD192" s="52"/>
      <c r="AE192" s="52"/>
      <c r="AF192" s="57"/>
      <c r="AG192" s="58"/>
      <c r="AH192" s="52"/>
      <c r="AI192" s="159"/>
      <c r="AJ192" s="34"/>
    </row>
    <row r="193" spans="1:36" s="33" customFormat="1" ht="60.75" hidden="1" customHeight="1">
      <c r="A193" s="49" t="s">
        <v>62</v>
      </c>
      <c r="B193" s="49"/>
      <c r="C193" s="162"/>
      <c r="D193" s="177" t="s">
        <v>544</v>
      </c>
      <c r="E193" s="175"/>
      <c r="F193" s="176"/>
      <c r="G193" s="163" t="s">
        <v>545</v>
      </c>
      <c r="H193" s="164" t="s">
        <v>22</v>
      </c>
      <c r="I193" s="165"/>
      <c r="J193" s="178"/>
      <c r="K193" s="178"/>
      <c r="L193" s="178"/>
      <c r="M193" s="178"/>
      <c r="N193" s="178"/>
      <c r="O193" s="178"/>
      <c r="P193" s="178"/>
      <c r="Q193" s="178"/>
      <c r="R193" s="178"/>
      <c r="S193" s="178"/>
      <c r="T193" s="178"/>
      <c r="U193" s="178"/>
      <c r="V193" s="178"/>
      <c r="W193" s="166"/>
      <c r="X193" s="166"/>
      <c r="Y193" s="167"/>
      <c r="Z193" s="196"/>
      <c r="AA193" s="168"/>
      <c r="AB193" s="168"/>
      <c r="AC193" s="168"/>
      <c r="AD193" s="168"/>
      <c r="AE193" s="168"/>
      <c r="AF193" s="163"/>
      <c r="AG193" s="169"/>
      <c r="AH193" s="168"/>
      <c r="AI193" s="170"/>
      <c r="AJ193" s="34"/>
    </row>
    <row r="194" spans="1:36" s="33" customFormat="1" ht="14.1" hidden="1" customHeight="1">
      <c r="A194" s="49" t="s">
        <v>62</v>
      </c>
      <c r="B194" s="39" t="s">
        <v>243</v>
      </c>
      <c r="C194" s="49"/>
      <c r="D194" s="87" t="s">
        <v>546</v>
      </c>
      <c r="E194" s="49" t="s">
        <v>69</v>
      </c>
      <c r="F194" s="51"/>
      <c r="G194" s="52" t="s">
        <v>547</v>
      </c>
      <c r="H194" s="53" t="s">
        <v>22</v>
      </c>
      <c r="I194" s="54" t="s">
        <v>71</v>
      </c>
      <c r="J194" s="178"/>
      <c r="K194" s="178"/>
      <c r="L194" s="178"/>
      <c r="M194" s="178"/>
      <c r="N194" s="178"/>
      <c r="O194" s="178"/>
      <c r="P194" s="178"/>
      <c r="Q194" s="178"/>
      <c r="R194" s="178"/>
      <c r="S194" s="178"/>
      <c r="T194" s="178"/>
      <c r="U194" s="178"/>
      <c r="V194" s="178"/>
      <c r="W194" s="55"/>
      <c r="X194" s="55"/>
      <c r="Y194" s="56"/>
      <c r="Z194" s="197" t="s">
        <v>548</v>
      </c>
      <c r="AA194" s="52"/>
      <c r="AB194" s="52"/>
      <c r="AC194" s="52"/>
      <c r="AD194" s="52"/>
      <c r="AE194" s="52"/>
      <c r="AF194" s="57"/>
      <c r="AG194" s="58"/>
      <c r="AH194" s="52"/>
      <c r="AI194" s="159"/>
      <c r="AJ194" s="34"/>
    </row>
    <row r="195" spans="1:36" s="33" customFormat="1" ht="34.5" hidden="1" customHeight="1">
      <c r="A195" s="49" t="s">
        <v>62</v>
      </c>
      <c r="B195" s="49"/>
      <c r="C195" s="162"/>
      <c r="D195" s="177" t="s">
        <v>549</v>
      </c>
      <c r="E195" s="175"/>
      <c r="F195" s="176"/>
      <c r="G195" s="163" t="s">
        <v>550</v>
      </c>
      <c r="H195" s="164" t="s">
        <v>22</v>
      </c>
      <c r="I195" s="165"/>
      <c r="J195" s="178"/>
      <c r="K195" s="178"/>
      <c r="L195" s="178"/>
      <c r="M195" s="178"/>
      <c r="N195" s="178"/>
      <c r="O195" s="178"/>
      <c r="P195" s="178"/>
      <c r="Q195" s="178"/>
      <c r="R195" s="178"/>
      <c r="S195" s="178"/>
      <c r="T195" s="178"/>
      <c r="U195" s="178"/>
      <c r="V195" s="178"/>
      <c r="W195" s="166"/>
      <c r="X195" s="166"/>
      <c r="Y195" s="167"/>
      <c r="Z195" s="196"/>
      <c r="AA195" s="168"/>
      <c r="AB195" s="168"/>
      <c r="AC195" s="168"/>
      <c r="AD195" s="168"/>
      <c r="AE195" s="168"/>
      <c r="AF195" s="163"/>
      <c r="AG195" s="169"/>
      <c r="AH195" s="168"/>
      <c r="AI195" s="170"/>
      <c r="AJ195" s="34"/>
    </row>
    <row r="196" spans="1:36" s="33" customFormat="1" ht="45.6" hidden="1" customHeight="1">
      <c r="A196" s="49" t="s">
        <v>62</v>
      </c>
      <c r="B196" s="39" t="s">
        <v>243</v>
      </c>
      <c r="C196" s="49"/>
      <c r="D196" s="87" t="s">
        <v>551</v>
      </c>
      <c r="E196" s="49" t="s">
        <v>69</v>
      </c>
      <c r="F196" s="51"/>
      <c r="G196" s="52" t="s">
        <v>552</v>
      </c>
      <c r="H196" s="53" t="s">
        <v>22</v>
      </c>
      <c r="I196" s="54" t="s">
        <v>71</v>
      </c>
      <c r="J196" s="178"/>
      <c r="K196" s="178"/>
      <c r="L196" s="178"/>
      <c r="M196" s="178"/>
      <c r="N196" s="178"/>
      <c r="O196" s="178"/>
      <c r="P196" s="178"/>
      <c r="Q196" s="178"/>
      <c r="R196" s="178"/>
      <c r="S196" s="178"/>
      <c r="T196" s="178"/>
      <c r="U196" s="178"/>
      <c r="V196" s="178"/>
      <c r="W196" s="55"/>
      <c r="X196" s="55"/>
      <c r="Y196" s="56"/>
      <c r="Z196" s="197" t="s">
        <v>486</v>
      </c>
      <c r="AA196" s="52"/>
      <c r="AB196" s="52"/>
      <c r="AC196" s="52"/>
      <c r="AD196" s="52"/>
      <c r="AE196" s="52"/>
      <c r="AF196" s="57"/>
      <c r="AG196" s="58"/>
      <c r="AH196" s="52"/>
      <c r="AI196" s="159"/>
      <c r="AJ196" s="34"/>
    </row>
    <row r="197" spans="1:36" s="33" customFormat="1" ht="34.5" hidden="1" customHeight="1">
      <c r="A197" s="49" t="s">
        <v>62</v>
      </c>
      <c r="B197" s="49"/>
      <c r="C197" s="162"/>
      <c r="D197" s="177" t="s">
        <v>553</v>
      </c>
      <c r="E197" s="175"/>
      <c r="F197" s="176"/>
      <c r="G197" s="163" t="s">
        <v>554</v>
      </c>
      <c r="H197" s="164" t="s">
        <v>22</v>
      </c>
      <c r="I197" s="165"/>
      <c r="J197" s="178"/>
      <c r="K197" s="178"/>
      <c r="L197" s="178"/>
      <c r="M197" s="178"/>
      <c r="N197" s="178"/>
      <c r="O197" s="178"/>
      <c r="P197" s="178"/>
      <c r="Q197" s="178"/>
      <c r="R197" s="178"/>
      <c r="S197" s="178"/>
      <c r="T197" s="178"/>
      <c r="U197" s="178"/>
      <c r="V197" s="178"/>
      <c r="W197" s="166"/>
      <c r="X197" s="166"/>
      <c r="Y197" s="167"/>
      <c r="Z197" s="196"/>
      <c r="AA197" s="168"/>
      <c r="AB197" s="168"/>
      <c r="AC197" s="168"/>
      <c r="AD197" s="168"/>
      <c r="AE197" s="168"/>
      <c r="AF197" s="163"/>
      <c r="AG197" s="169"/>
      <c r="AH197" s="168"/>
      <c r="AI197" s="170"/>
      <c r="AJ197" s="34"/>
    </row>
    <row r="198" spans="1:36" s="33" customFormat="1" ht="27.6" hidden="1" customHeight="1">
      <c r="A198" s="49" t="s">
        <v>62</v>
      </c>
      <c r="B198" s="39" t="s">
        <v>243</v>
      </c>
      <c r="C198" s="49"/>
      <c r="D198" s="87" t="s">
        <v>555</v>
      </c>
      <c r="E198" s="49" t="s">
        <v>69</v>
      </c>
      <c r="F198" s="51"/>
      <c r="G198" s="52" t="s">
        <v>556</v>
      </c>
      <c r="H198" s="53" t="s">
        <v>22</v>
      </c>
      <c r="I198" s="54" t="s">
        <v>71</v>
      </c>
      <c r="J198" s="178"/>
      <c r="K198" s="178"/>
      <c r="L198" s="178"/>
      <c r="M198" s="178"/>
      <c r="N198" s="178"/>
      <c r="O198" s="178"/>
      <c r="P198" s="178"/>
      <c r="Q198" s="178"/>
      <c r="R198" s="178"/>
      <c r="S198" s="178"/>
      <c r="T198" s="178"/>
      <c r="U198" s="178"/>
      <c r="V198" s="178"/>
      <c r="W198" s="55"/>
      <c r="X198" s="55"/>
      <c r="Y198" s="56"/>
      <c r="Z198" s="197" t="s">
        <v>486</v>
      </c>
      <c r="AA198" s="52"/>
      <c r="AB198" s="52"/>
      <c r="AC198" s="52"/>
      <c r="AD198" s="52"/>
      <c r="AE198" s="52"/>
      <c r="AF198" s="57"/>
      <c r="AG198" s="58"/>
      <c r="AH198" s="52"/>
      <c r="AI198" s="159"/>
      <c r="AJ198" s="34"/>
    </row>
    <row r="199" spans="1:36" s="33" customFormat="1" ht="27.6" hidden="1" customHeight="1">
      <c r="A199" s="49" t="s">
        <v>62</v>
      </c>
      <c r="B199" s="39" t="s">
        <v>243</v>
      </c>
      <c r="C199" s="49"/>
      <c r="D199" s="87" t="s">
        <v>557</v>
      </c>
      <c r="E199" s="49" t="s">
        <v>69</v>
      </c>
      <c r="F199" s="51"/>
      <c r="G199" s="52" t="s">
        <v>558</v>
      </c>
      <c r="H199" s="53" t="s">
        <v>22</v>
      </c>
      <c r="I199" s="54" t="s">
        <v>4</v>
      </c>
      <c r="J199" s="178"/>
      <c r="K199" s="178"/>
      <c r="L199" s="178"/>
      <c r="M199" s="178"/>
      <c r="N199" s="178"/>
      <c r="O199" s="178"/>
      <c r="P199" s="178"/>
      <c r="Q199" s="178"/>
      <c r="R199" s="178"/>
      <c r="S199" s="178"/>
      <c r="T199" s="178"/>
      <c r="U199" s="178"/>
      <c r="V199" s="178"/>
      <c r="W199" s="55"/>
      <c r="X199" s="55"/>
      <c r="Y199" s="56"/>
      <c r="Z199" s="197"/>
      <c r="AA199" s="52"/>
      <c r="AB199" s="52"/>
      <c r="AC199" s="52"/>
      <c r="AD199" s="52"/>
      <c r="AE199" s="52"/>
      <c r="AF199" s="57"/>
      <c r="AG199" s="58"/>
      <c r="AH199" s="52"/>
      <c r="AI199" s="159"/>
      <c r="AJ199" s="34"/>
    </row>
    <row r="200" spans="1:36" s="33" customFormat="1" ht="86.1" hidden="1" customHeight="1">
      <c r="A200" s="49" t="s">
        <v>62</v>
      </c>
      <c r="B200" s="49"/>
      <c r="C200" s="162"/>
      <c r="D200" s="177" t="s">
        <v>559</v>
      </c>
      <c r="E200" s="175"/>
      <c r="F200" s="176" t="s">
        <v>560</v>
      </c>
      <c r="G200" s="163" t="s">
        <v>561</v>
      </c>
      <c r="H200" s="164" t="s">
        <v>22</v>
      </c>
      <c r="I200" s="165"/>
      <c r="J200" s="178"/>
      <c r="K200" s="178"/>
      <c r="L200" s="178"/>
      <c r="M200" s="178"/>
      <c r="N200" s="178"/>
      <c r="O200" s="178"/>
      <c r="P200" s="178"/>
      <c r="Q200" s="178"/>
      <c r="R200" s="178"/>
      <c r="S200" s="178"/>
      <c r="T200" s="178"/>
      <c r="U200" s="178"/>
      <c r="V200" s="178"/>
      <c r="W200" s="166"/>
      <c r="X200" s="166"/>
      <c r="Y200" s="167"/>
      <c r="Z200" s="196"/>
      <c r="AA200" s="168"/>
      <c r="AB200" s="168"/>
      <c r="AC200" s="168"/>
      <c r="AD200" s="168"/>
      <c r="AE200" s="168"/>
      <c r="AF200" s="163"/>
      <c r="AG200" s="169"/>
      <c r="AH200" s="168"/>
      <c r="AI200" s="170"/>
      <c r="AJ200" s="34"/>
    </row>
    <row r="201" spans="1:36" s="33" customFormat="1" ht="20.100000000000001" hidden="1" customHeight="1">
      <c r="A201" s="49" t="s">
        <v>62</v>
      </c>
      <c r="B201" s="39" t="s">
        <v>66</v>
      </c>
      <c r="C201" s="49"/>
      <c r="D201" s="87" t="s">
        <v>562</v>
      </c>
      <c r="E201" s="49" t="s">
        <v>69</v>
      </c>
      <c r="F201" s="51"/>
      <c r="G201" s="70" t="s">
        <v>563</v>
      </c>
      <c r="H201" s="53"/>
      <c r="I201" s="54" t="s">
        <v>71</v>
      </c>
      <c r="J201" s="178"/>
      <c r="K201" s="178"/>
      <c r="L201" s="178"/>
      <c r="M201" s="178"/>
      <c r="N201" s="178"/>
      <c r="O201" s="178"/>
      <c r="P201" s="178"/>
      <c r="Q201" s="178"/>
      <c r="R201" s="178"/>
      <c r="S201" s="178"/>
      <c r="T201" s="178"/>
      <c r="U201" s="178"/>
      <c r="V201" s="178"/>
      <c r="W201" s="55"/>
      <c r="X201" s="55"/>
      <c r="Y201" s="56"/>
      <c r="Z201" s="197" t="s">
        <v>564</v>
      </c>
      <c r="AA201" s="52"/>
      <c r="AB201" s="52"/>
      <c r="AC201" s="52"/>
      <c r="AD201" s="52"/>
      <c r="AE201" s="52"/>
      <c r="AF201" s="57"/>
      <c r="AG201" s="58"/>
      <c r="AH201" s="52"/>
      <c r="AI201" s="159"/>
      <c r="AJ201" s="34"/>
    </row>
    <row r="202" spans="1:36" s="33" customFormat="1" ht="27.6" hidden="1" customHeight="1">
      <c r="A202" s="49" t="s">
        <v>62</v>
      </c>
      <c r="B202" s="39" t="s">
        <v>66</v>
      </c>
      <c r="C202" s="49"/>
      <c r="D202" s="87" t="s">
        <v>565</v>
      </c>
      <c r="E202" s="49" t="s">
        <v>69</v>
      </c>
      <c r="F202" s="51"/>
      <c r="G202" s="70" t="s">
        <v>566</v>
      </c>
      <c r="H202" s="53"/>
      <c r="I202" s="54" t="s">
        <v>71</v>
      </c>
      <c r="J202" s="178"/>
      <c r="K202" s="178"/>
      <c r="L202" s="178"/>
      <c r="M202" s="178"/>
      <c r="N202" s="178"/>
      <c r="O202" s="178"/>
      <c r="P202" s="178"/>
      <c r="Q202" s="178"/>
      <c r="R202" s="178"/>
      <c r="S202" s="178"/>
      <c r="T202" s="178"/>
      <c r="U202" s="178"/>
      <c r="V202" s="178"/>
      <c r="W202" s="55"/>
      <c r="X202" s="55"/>
      <c r="Y202" s="56"/>
      <c r="Z202" s="197" t="s">
        <v>567</v>
      </c>
      <c r="AA202" s="52"/>
      <c r="AB202" s="52"/>
      <c r="AC202" s="52"/>
      <c r="AD202" s="52"/>
      <c r="AE202" s="52"/>
      <c r="AF202" s="57"/>
      <c r="AG202" s="58"/>
      <c r="AH202" s="52"/>
      <c r="AI202" s="159"/>
      <c r="AJ202" s="34"/>
    </row>
    <row r="203" spans="1:36" s="33" customFormat="1" ht="32.1" hidden="1" customHeight="1">
      <c r="A203" s="49" t="s">
        <v>62</v>
      </c>
      <c r="B203" s="39" t="s">
        <v>66</v>
      </c>
      <c r="C203" s="49"/>
      <c r="D203" s="87" t="s">
        <v>568</v>
      </c>
      <c r="E203" s="49" t="s">
        <v>69</v>
      </c>
      <c r="F203" s="51"/>
      <c r="G203" s="70" t="s">
        <v>569</v>
      </c>
      <c r="H203" s="53"/>
      <c r="I203" s="54" t="s">
        <v>71</v>
      </c>
      <c r="J203" s="178"/>
      <c r="K203" s="178"/>
      <c r="L203" s="178"/>
      <c r="M203" s="178"/>
      <c r="N203" s="178"/>
      <c r="O203" s="178"/>
      <c r="P203" s="178"/>
      <c r="Q203" s="178"/>
      <c r="R203" s="178"/>
      <c r="S203" s="178"/>
      <c r="T203" s="178"/>
      <c r="U203" s="178"/>
      <c r="V203" s="178"/>
      <c r="W203" s="55"/>
      <c r="X203" s="55"/>
      <c r="Y203" s="56"/>
      <c r="Z203" s="197" t="s">
        <v>567</v>
      </c>
      <c r="AA203" s="52"/>
      <c r="AB203" s="52"/>
      <c r="AC203" s="52"/>
      <c r="AD203" s="52"/>
      <c r="AE203" s="52"/>
      <c r="AF203" s="57"/>
      <c r="AG203" s="58"/>
      <c r="AH203" s="52"/>
      <c r="AI203" s="159"/>
      <c r="AJ203" s="34"/>
    </row>
    <row r="204" spans="1:36" s="33" customFormat="1" ht="14.1" hidden="1" customHeight="1">
      <c r="A204" s="49" t="s">
        <v>62</v>
      </c>
      <c r="B204" s="39" t="s">
        <v>66</v>
      </c>
      <c r="C204" s="49"/>
      <c r="D204" s="87" t="s">
        <v>570</v>
      </c>
      <c r="E204" s="49" t="s">
        <v>69</v>
      </c>
      <c r="F204" s="51"/>
      <c r="G204" s="70" t="s">
        <v>571</v>
      </c>
      <c r="H204" s="53"/>
      <c r="I204" s="54" t="s">
        <v>71</v>
      </c>
      <c r="J204" s="178"/>
      <c r="K204" s="178"/>
      <c r="L204" s="178"/>
      <c r="M204" s="178"/>
      <c r="N204" s="178"/>
      <c r="O204" s="178"/>
      <c r="P204" s="178"/>
      <c r="Q204" s="178"/>
      <c r="R204" s="178"/>
      <c r="S204" s="178"/>
      <c r="T204" s="178"/>
      <c r="U204" s="178"/>
      <c r="V204" s="178"/>
      <c r="W204" s="55"/>
      <c r="X204" s="55"/>
      <c r="Y204" s="56"/>
      <c r="Z204" s="197" t="s">
        <v>567</v>
      </c>
      <c r="AA204" s="52"/>
      <c r="AB204" s="52"/>
      <c r="AC204" s="52"/>
      <c r="AD204" s="52"/>
      <c r="AE204" s="52"/>
      <c r="AF204" s="57"/>
      <c r="AG204" s="58"/>
      <c r="AH204" s="52"/>
      <c r="AI204" s="159"/>
      <c r="AJ204" s="34"/>
    </row>
    <row r="205" spans="1:36" s="33" customFormat="1" ht="27.6" hidden="1" customHeight="1">
      <c r="A205" s="49" t="s">
        <v>62</v>
      </c>
      <c r="B205" s="39" t="s">
        <v>66</v>
      </c>
      <c r="C205" s="49"/>
      <c r="D205" s="87" t="s">
        <v>572</v>
      </c>
      <c r="E205" s="49" t="s">
        <v>69</v>
      </c>
      <c r="F205" s="51"/>
      <c r="G205" s="70" t="s">
        <v>573</v>
      </c>
      <c r="H205" s="53"/>
      <c r="I205" s="54" t="s">
        <v>71</v>
      </c>
      <c r="J205" s="178"/>
      <c r="K205" s="178"/>
      <c r="L205" s="178"/>
      <c r="M205" s="178"/>
      <c r="N205" s="178"/>
      <c r="O205" s="178"/>
      <c r="P205" s="178"/>
      <c r="Q205" s="178"/>
      <c r="R205" s="178"/>
      <c r="S205" s="178"/>
      <c r="T205" s="178"/>
      <c r="U205" s="178"/>
      <c r="V205" s="178"/>
      <c r="W205" s="55"/>
      <c r="X205" s="55"/>
      <c r="Y205" s="56"/>
      <c r="Z205" s="197" t="s">
        <v>567</v>
      </c>
      <c r="AA205" s="52"/>
      <c r="AB205" s="52"/>
      <c r="AC205" s="52"/>
      <c r="AD205" s="52"/>
      <c r="AE205" s="52"/>
      <c r="AF205" s="57"/>
      <c r="AG205" s="58"/>
      <c r="AH205" s="52"/>
      <c r="AI205" s="159"/>
      <c r="AJ205" s="34"/>
    </row>
    <row r="206" spans="1:36" s="33" customFormat="1" ht="27.6" hidden="1" customHeight="1">
      <c r="A206" s="49" t="s">
        <v>62</v>
      </c>
      <c r="B206" s="39" t="s">
        <v>66</v>
      </c>
      <c r="C206" s="49"/>
      <c r="D206" s="87" t="s">
        <v>574</v>
      </c>
      <c r="E206" s="49" t="s">
        <v>69</v>
      </c>
      <c r="F206" s="51"/>
      <c r="G206" s="70" t="s">
        <v>575</v>
      </c>
      <c r="H206" s="53"/>
      <c r="I206" s="54" t="s">
        <v>71</v>
      </c>
      <c r="J206" s="178"/>
      <c r="K206" s="178"/>
      <c r="L206" s="178"/>
      <c r="M206" s="178"/>
      <c r="N206" s="178"/>
      <c r="O206" s="178"/>
      <c r="P206" s="178"/>
      <c r="Q206" s="178"/>
      <c r="R206" s="178"/>
      <c r="S206" s="178"/>
      <c r="T206" s="178"/>
      <c r="U206" s="178"/>
      <c r="V206" s="178"/>
      <c r="W206" s="55"/>
      <c r="X206" s="55"/>
      <c r="Y206" s="56"/>
      <c r="Z206" s="197" t="s">
        <v>567</v>
      </c>
      <c r="AA206" s="52"/>
      <c r="AB206" s="52"/>
      <c r="AC206" s="52"/>
      <c r="AD206" s="52"/>
      <c r="AE206" s="52"/>
      <c r="AF206" s="57"/>
      <c r="AG206" s="58"/>
      <c r="AH206" s="52"/>
      <c r="AI206" s="159"/>
      <c r="AJ206" s="34"/>
    </row>
    <row r="207" spans="1:36" s="33" customFormat="1" ht="14.1" hidden="1" customHeight="1">
      <c r="A207" s="53" t="s">
        <v>75</v>
      </c>
      <c r="B207" s="39" t="s">
        <v>66</v>
      </c>
      <c r="C207" s="49"/>
      <c r="D207" s="87" t="s">
        <v>576</v>
      </c>
      <c r="E207" s="49" t="s">
        <v>69</v>
      </c>
      <c r="F207" s="51"/>
      <c r="G207" s="70" t="s">
        <v>577</v>
      </c>
      <c r="H207" s="53"/>
      <c r="I207" s="54" t="s">
        <v>71</v>
      </c>
      <c r="J207" s="178"/>
      <c r="K207" s="178"/>
      <c r="L207" s="178"/>
      <c r="M207" s="178"/>
      <c r="N207" s="178"/>
      <c r="O207" s="178"/>
      <c r="P207" s="178"/>
      <c r="Q207" s="178"/>
      <c r="R207" s="178"/>
      <c r="S207" s="178"/>
      <c r="T207" s="178"/>
      <c r="U207" s="178"/>
      <c r="V207" s="178"/>
      <c r="W207" s="55"/>
      <c r="X207" s="55"/>
      <c r="Y207" s="56"/>
      <c r="Z207" s="197" t="s">
        <v>567</v>
      </c>
      <c r="AA207" s="52"/>
      <c r="AB207" s="52"/>
      <c r="AC207" s="52"/>
      <c r="AD207" s="52"/>
      <c r="AE207" s="52"/>
      <c r="AF207" s="57"/>
      <c r="AG207" s="58"/>
      <c r="AH207" s="52"/>
      <c r="AI207" s="159"/>
      <c r="AJ207" s="34"/>
    </row>
    <row r="208" spans="1:36" s="33" customFormat="1" ht="38.1" hidden="1" customHeight="1">
      <c r="A208" s="49" t="s">
        <v>62</v>
      </c>
      <c r="B208" s="39" t="s">
        <v>66</v>
      </c>
      <c r="C208" s="49"/>
      <c r="D208" s="87" t="s">
        <v>578</v>
      </c>
      <c r="E208" s="49" t="s">
        <v>69</v>
      </c>
      <c r="F208" s="51"/>
      <c r="G208" s="70" t="s">
        <v>579</v>
      </c>
      <c r="H208" s="53"/>
      <c r="I208" s="54" t="s">
        <v>71</v>
      </c>
      <c r="J208" s="178"/>
      <c r="K208" s="178"/>
      <c r="L208" s="178"/>
      <c r="M208" s="178"/>
      <c r="N208" s="178"/>
      <c r="O208" s="178"/>
      <c r="P208" s="178"/>
      <c r="Q208" s="178"/>
      <c r="R208" s="178"/>
      <c r="S208" s="178"/>
      <c r="T208" s="178"/>
      <c r="U208" s="178"/>
      <c r="V208" s="178"/>
      <c r="W208" s="55"/>
      <c r="X208" s="55"/>
      <c r="Y208" s="56"/>
      <c r="Z208" s="197" t="s">
        <v>567</v>
      </c>
      <c r="AA208" s="52"/>
      <c r="AB208" s="52"/>
      <c r="AC208" s="52"/>
      <c r="AD208" s="52"/>
      <c r="AE208" s="52"/>
      <c r="AF208" s="57"/>
      <c r="AG208" s="58"/>
      <c r="AH208" s="52"/>
      <c r="AI208" s="159"/>
      <c r="AJ208" s="34"/>
    </row>
    <row r="209" spans="1:36" s="33" customFormat="1" hidden="1">
      <c r="A209" s="53" t="s">
        <v>75</v>
      </c>
      <c r="B209" s="39" t="s">
        <v>66</v>
      </c>
      <c r="C209" s="49"/>
      <c r="D209" s="87" t="s">
        <v>580</v>
      </c>
      <c r="E209" s="49" t="s">
        <v>69</v>
      </c>
      <c r="F209" s="51"/>
      <c r="G209" s="70" t="s">
        <v>581</v>
      </c>
      <c r="H209" s="53"/>
      <c r="I209" s="54" t="s">
        <v>71</v>
      </c>
      <c r="J209" s="178"/>
      <c r="K209" s="178"/>
      <c r="L209" s="178"/>
      <c r="M209" s="178"/>
      <c r="N209" s="178"/>
      <c r="O209" s="178"/>
      <c r="P209" s="178"/>
      <c r="Q209" s="178"/>
      <c r="R209" s="178"/>
      <c r="S209" s="178"/>
      <c r="T209" s="178"/>
      <c r="U209" s="178"/>
      <c r="V209" s="178"/>
      <c r="W209" s="55"/>
      <c r="X209" s="55"/>
      <c r="Y209" s="56"/>
      <c r="Z209" s="197" t="s">
        <v>567</v>
      </c>
      <c r="AA209" s="52"/>
      <c r="AB209" s="52"/>
      <c r="AC209" s="52"/>
      <c r="AD209" s="52"/>
      <c r="AE209" s="52"/>
      <c r="AF209" s="57"/>
      <c r="AG209" s="58"/>
      <c r="AH209" s="52"/>
      <c r="AI209" s="159"/>
      <c r="AJ209" s="34"/>
    </row>
    <row r="210" spans="1:36" s="33" customFormat="1" ht="107.1" hidden="1" customHeight="1">
      <c r="A210" s="49" t="s">
        <v>62</v>
      </c>
      <c r="B210" s="39" t="s">
        <v>66</v>
      </c>
      <c r="C210" s="49"/>
      <c r="D210" s="87" t="s">
        <v>582</v>
      </c>
      <c r="E210" s="49" t="s">
        <v>69</v>
      </c>
      <c r="F210" s="51"/>
      <c r="G210" s="70" t="s">
        <v>583</v>
      </c>
      <c r="H210" s="53"/>
      <c r="I210" s="54" t="s">
        <v>71</v>
      </c>
      <c r="J210" s="178"/>
      <c r="K210" s="178"/>
      <c r="L210" s="178"/>
      <c r="M210" s="178"/>
      <c r="N210" s="178"/>
      <c r="O210" s="178"/>
      <c r="P210" s="178"/>
      <c r="Q210" s="178"/>
      <c r="R210" s="178"/>
      <c r="S210" s="178"/>
      <c r="T210" s="178"/>
      <c r="U210" s="178"/>
      <c r="V210" s="178"/>
      <c r="W210" s="55"/>
      <c r="X210" s="55"/>
      <c r="Y210" s="56"/>
      <c r="Z210" s="197" t="s">
        <v>567</v>
      </c>
      <c r="AA210" s="52"/>
      <c r="AB210" s="52"/>
      <c r="AC210" s="52"/>
      <c r="AD210" s="52"/>
      <c r="AE210" s="52"/>
      <c r="AF210" s="57"/>
      <c r="AG210" s="58"/>
      <c r="AH210" s="52"/>
      <c r="AI210" s="159"/>
      <c r="AJ210" s="34"/>
    </row>
    <row r="211" spans="1:36" s="33" customFormat="1" ht="16.350000000000001" hidden="1" customHeight="1">
      <c r="A211" s="49" t="s">
        <v>62</v>
      </c>
      <c r="B211" s="39" t="s">
        <v>66</v>
      </c>
      <c r="C211" s="49"/>
      <c r="D211" s="87" t="s">
        <v>584</v>
      </c>
      <c r="E211" s="49" t="s">
        <v>69</v>
      </c>
      <c r="F211" s="51"/>
      <c r="G211" s="70" t="s">
        <v>585</v>
      </c>
      <c r="H211" s="53"/>
      <c r="I211" s="54" t="s">
        <v>71</v>
      </c>
      <c r="J211" s="178"/>
      <c r="K211" s="178"/>
      <c r="L211" s="178"/>
      <c r="M211" s="178"/>
      <c r="N211" s="178"/>
      <c r="O211" s="178"/>
      <c r="P211" s="178"/>
      <c r="Q211" s="178"/>
      <c r="R211" s="178"/>
      <c r="S211" s="178"/>
      <c r="T211" s="178"/>
      <c r="U211" s="178"/>
      <c r="V211" s="178"/>
      <c r="W211" s="55"/>
      <c r="X211" s="55"/>
      <c r="Y211" s="56"/>
      <c r="Z211" s="197" t="s">
        <v>567</v>
      </c>
      <c r="AA211" s="52"/>
      <c r="AB211" s="52"/>
      <c r="AC211" s="52"/>
      <c r="AD211" s="52"/>
      <c r="AE211" s="52"/>
      <c r="AF211" s="57"/>
      <c r="AG211" s="58"/>
      <c r="AH211" s="52"/>
      <c r="AI211" s="159"/>
      <c r="AJ211" s="34"/>
    </row>
    <row r="212" spans="1:36" s="33" customFormat="1" ht="14.1" hidden="1" customHeight="1">
      <c r="A212" s="49" t="s">
        <v>62</v>
      </c>
      <c r="B212" s="39" t="s">
        <v>66</v>
      </c>
      <c r="C212" s="49"/>
      <c r="D212" s="87" t="s">
        <v>586</v>
      </c>
      <c r="E212" s="49" t="s">
        <v>69</v>
      </c>
      <c r="F212" s="51"/>
      <c r="G212" s="70" t="s">
        <v>587</v>
      </c>
      <c r="H212" s="53"/>
      <c r="I212" s="54" t="s">
        <v>71</v>
      </c>
      <c r="J212" s="178"/>
      <c r="K212" s="178"/>
      <c r="L212" s="178"/>
      <c r="M212" s="178"/>
      <c r="N212" s="178"/>
      <c r="O212" s="178"/>
      <c r="P212" s="178"/>
      <c r="Q212" s="178"/>
      <c r="R212" s="178"/>
      <c r="S212" s="178"/>
      <c r="T212" s="178"/>
      <c r="U212" s="178"/>
      <c r="V212" s="178"/>
      <c r="W212" s="55"/>
      <c r="X212" s="55"/>
      <c r="Y212" s="56"/>
      <c r="Z212" s="197" t="s">
        <v>567</v>
      </c>
      <c r="AA212" s="52"/>
      <c r="AB212" s="52"/>
      <c r="AC212" s="52"/>
      <c r="AD212" s="52"/>
      <c r="AE212" s="52"/>
      <c r="AF212" s="57"/>
      <c r="AG212" s="58"/>
      <c r="AH212" s="52"/>
      <c r="AI212" s="159"/>
      <c r="AJ212" s="34"/>
    </row>
    <row r="213" spans="1:36" s="33" customFormat="1" ht="27.6" hidden="1" customHeight="1">
      <c r="A213" s="49" t="s">
        <v>62</v>
      </c>
      <c r="B213" s="39" t="s">
        <v>66</v>
      </c>
      <c r="C213" s="49"/>
      <c r="D213" s="87" t="s">
        <v>588</v>
      </c>
      <c r="E213" s="49" t="s">
        <v>69</v>
      </c>
      <c r="F213" s="51"/>
      <c r="G213" s="70" t="s">
        <v>589</v>
      </c>
      <c r="H213" s="53"/>
      <c r="I213" s="54" t="s">
        <v>71</v>
      </c>
      <c r="J213" s="178"/>
      <c r="K213" s="178"/>
      <c r="L213" s="178"/>
      <c r="M213" s="178"/>
      <c r="N213" s="178"/>
      <c r="O213" s="178"/>
      <c r="P213" s="178"/>
      <c r="Q213" s="178"/>
      <c r="R213" s="178"/>
      <c r="S213" s="178"/>
      <c r="T213" s="178"/>
      <c r="U213" s="178"/>
      <c r="V213" s="178"/>
      <c r="W213" s="55"/>
      <c r="X213" s="55"/>
      <c r="Y213" s="56"/>
      <c r="Z213" s="197" t="s">
        <v>567</v>
      </c>
      <c r="AA213" s="52"/>
      <c r="AB213" s="52"/>
      <c r="AC213" s="52"/>
      <c r="AD213" s="52"/>
      <c r="AE213" s="52"/>
      <c r="AF213" s="57"/>
      <c r="AG213" s="58"/>
      <c r="AH213" s="52"/>
      <c r="AI213" s="159"/>
      <c r="AJ213" s="34"/>
    </row>
    <row r="214" spans="1:36" s="33" customFormat="1" ht="138" hidden="1">
      <c r="A214" s="49" t="s">
        <v>62</v>
      </c>
      <c r="B214" s="49"/>
      <c r="C214" s="162"/>
      <c r="D214" s="177" t="s">
        <v>590</v>
      </c>
      <c r="E214" s="175"/>
      <c r="F214" s="176" t="s">
        <v>591</v>
      </c>
      <c r="G214" s="163" t="s">
        <v>592</v>
      </c>
      <c r="H214" s="164" t="s">
        <v>22</v>
      </c>
      <c r="I214" s="165"/>
      <c r="J214" s="178"/>
      <c r="K214" s="178"/>
      <c r="L214" s="178"/>
      <c r="M214" s="178"/>
      <c r="N214" s="178"/>
      <c r="O214" s="178"/>
      <c r="P214" s="178"/>
      <c r="Q214" s="178"/>
      <c r="R214" s="178"/>
      <c r="S214" s="178"/>
      <c r="T214" s="178"/>
      <c r="U214" s="178"/>
      <c r="V214" s="178"/>
      <c r="W214" s="166"/>
      <c r="X214" s="166"/>
      <c r="Y214" s="167"/>
      <c r="Z214" s="196"/>
      <c r="AA214" s="168"/>
      <c r="AB214" s="168"/>
      <c r="AC214" s="168"/>
      <c r="AD214" s="168"/>
      <c r="AE214" s="168"/>
      <c r="AF214" s="163"/>
      <c r="AG214" s="169"/>
      <c r="AH214" s="168"/>
      <c r="AI214" s="221"/>
      <c r="AJ214" s="34"/>
    </row>
    <row r="215" spans="1:36" s="33" customFormat="1" hidden="1">
      <c r="A215" s="49" t="s">
        <v>62</v>
      </c>
      <c r="B215" s="39" t="s">
        <v>66</v>
      </c>
      <c r="C215" s="49"/>
      <c r="D215" s="87" t="s">
        <v>593</v>
      </c>
      <c r="E215" s="49" t="s">
        <v>69</v>
      </c>
      <c r="F215" s="51"/>
      <c r="G215" s="52" t="s">
        <v>594</v>
      </c>
      <c r="H215" s="53" t="s">
        <v>22</v>
      </c>
      <c r="I215" s="54" t="s">
        <v>4</v>
      </c>
      <c r="J215" s="178"/>
      <c r="K215" s="178"/>
      <c r="L215" s="178"/>
      <c r="M215" s="178"/>
      <c r="N215" s="178"/>
      <c r="O215" s="178"/>
      <c r="P215" s="178"/>
      <c r="Q215" s="178"/>
      <c r="R215" s="178"/>
      <c r="S215" s="178"/>
      <c r="T215" s="178"/>
      <c r="U215" s="178"/>
      <c r="V215" s="178"/>
      <c r="W215" s="55"/>
      <c r="X215" s="55"/>
      <c r="Y215" s="56"/>
      <c r="Z215" s="197" t="s">
        <v>127</v>
      </c>
      <c r="AA215" s="52"/>
      <c r="AB215" s="52"/>
      <c r="AC215" s="52"/>
      <c r="AD215" s="52"/>
      <c r="AE215" s="52"/>
      <c r="AF215" s="57"/>
      <c r="AG215" s="58"/>
      <c r="AH215" s="52"/>
      <c r="AI215" s="159"/>
      <c r="AJ215" s="34"/>
    </row>
    <row r="216" spans="1:36" s="33" customFormat="1" ht="27.6" hidden="1">
      <c r="A216" s="49" t="s">
        <v>62</v>
      </c>
      <c r="B216" s="39" t="s">
        <v>595</v>
      </c>
      <c r="C216" s="49"/>
      <c r="D216" s="87" t="s">
        <v>596</v>
      </c>
      <c r="E216" s="49" t="s">
        <v>69</v>
      </c>
      <c r="F216" s="51"/>
      <c r="G216" s="52" t="s">
        <v>597</v>
      </c>
      <c r="H216" s="53" t="s">
        <v>22</v>
      </c>
      <c r="I216" s="54" t="s">
        <v>71</v>
      </c>
      <c r="J216" s="178"/>
      <c r="K216" s="178"/>
      <c r="L216" s="178"/>
      <c r="M216" s="178"/>
      <c r="N216" s="178"/>
      <c r="O216" s="178"/>
      <c r="P216" s="178"/>
      <c r="Q216" s="178"/>
      <c r="R216" s="178"/>
      <c r="S216" s="178"/>
      <c r="T216" s="178"/>
      <c r="U216" s="178"/>
      <c r="V216" s="178"/>
      <c r="W216" s="55"/>
      <c r="X216" s="55"/>
      <c r="Y216" s="56"/>
      <c r="Z216" s="197" t="s">
        <v>127</v>
      </c>
      <c r="AA216" s="52"/>
      <c r="AB216" s="52"/>
      <c r="AC216" s="52"/>
      <c r="AD216" s="52"/>
      <c r="AE216" s="52"/>
      <c r="AF216" s="57"/>
      <c r="AG216" s="58"/>
      <c r="AH216" s="52"/>
      <c r="AI216" s="159"/>
      <c r="AJ216" s="34"/>
    </row>
    <row r="217" spans="1:36" s="33" customFormat="1" ht="30.6" hidden="1" customHeight="1">
      <c r="A217" s="49" t="s">
        <v>62</v>
      </c>
      <c r="B217" s="39" t="s">
        <v>595</v>
      </c>
      <c r="C217" s="49"/>
      <c r="D217" s="87" t="s">
        <v>598</v>
      </c>
      <c r="E217" s="49" t="s">
        <v>69</v>
      </c>
      <c r="F217" s="51"/>
      <c r="G217" s="52" t="s">
        <v>599</v>
      </c>
      <c r="H217" s="53" t="s">
        <v>22</v>
      </c>
      <c r="I217" s="54" t="s">
        <v>4</v>
      </c>
      <c r="J217" s="178"/>
      <c r="K217" s="178"/>
      <c r="L217" s="178"/>
      <c r="M217" s="178"/>
      <c r="N217" s="178"/>
      <c r="O217" s="178"/>
      <c r="P217" s="178"/>
      <c r="Q217" s="178"/>
      <c r="R217" s="178"/>
      <c r="S217" s="178"/>
      <c r="T217" s="178"/>
      <c r="U217" s="178"/>
      <c r="V217" s="178"/>
      <c r="W217" s="55"/>
      <c r="X217" s="55"/>
      <c r="Y217" s="56"/>
      <c r="Z217" s="197" t="s">
        <v>127</v>
      </c>
      <c r="AA217" s="52"/>
      <c r="AB217" s="52"/>
      <c r="AC217" s="52"/>
      <c r="AD217" s="52"/>
      <c r="AE217" s="52"/>
      <c r="AF217" s="57"/>
      <c r="AG217" s="58"/>
      <c r="AH217" s="52"/>
      <c r="AI217" s="159"/>
      <c r="AJ217" s="34"/>
    </row>
    <row r="218" spans="1:36" s="33" customFormat="1" ht="27.6" hidden="1">
      <c r="A218" s="49" t="s">
        <v>62</v>
      </c>
      <c r="B218" s="39" t="s">
        <v>595</v>
      </c>
      <c r="C218" s="49"/>
      <c r="D218" s="87" t="s">
        <v>600</v>
      </c>
      <c r="E218" s="49" t="s">
        <v>69</v>
      </c>
      <c r="F218" s="51"/>
      <c r="G218" s="52" t="s">
        <v>601</v>
      </c>
      <c r="H218" s="53" t="s">
        <v>22</v>
      </c>
      <c r="I218" s="54" t="s">
        <v>71</v>
      </c>
      <c r="J218" s="178"/>
      <c r="K218" s="178"/>
      <c r="L218" s="178"/>
      <c r="M218" s="178"/>
      <c r="N218" s="178"/>
      <c r="O218" s="178"/>
      <c r="P218" s="178"/>
      <c r="Q218" s="178"/>
      <c r="R218" s="178"/>
      <c r="S218" s="178"/>
      <c r="T218" s="178"/>
      <c r="U218" s="178"/>
      <c r="V218" s="178"/>
      <c r="W218" s="55"/>
      <c r="X218" s="55"/>
      <c r="Y218" s="56"/>
      <c r="Z218" s="197" t="s">
        <v>127</v>
      </c>
      <c r="AA218" s="52"/>
      <c r="AB218" s="52"/>
      <c r="AC218" s="52"/>
      <c r="AD218" s="52"/>
      <c r="AE218" s="52"/>
      <c r="AF218" s="57"/>
      <c r="AG218" s="58"/>
      <c r="AH218" s="52"/>
      <c r="AI218" s="159"/>
      <c r="AJ218" s="34"/>
    </row>
    <row r="219" spans="1:36" s="33" customFormat="1" ht="41.4" hidden="1">
      <c r="A219" s="49" t="s">
        <v>62</v>
      </c>
      <c r="B219" s="39" t="s">
        <v>421</v>
      </c>
      <c r="C219" s="49"/>
      <c r="D219" s="87" t="s">
        <v>602</v>
      </c>
      <c r="E219" s="49" t="s">
        <v>69</v>
      </c>
      <c r="F219" s="51"/>
      <c r="G219" s="52" t="s">
        <v>603</v>
      </c>
      <c r="H219" s="53"/>
      <c r="I219" s="54" t="s">
        <v>92</v>
      </c>
      <c r="J219" s="178"/>
      <c r="K219" s="178"/>
      <c r="L219" s="178"/>
      <c r="M219" s="178"/>
      <c r="N219" s="178"/>
      <c r="O219" s="178"/>
      <c r="P219" s="178"/>
      <c r="Q219" s="178"/>
      <c r="R219" s="178"/>
      <c r="S219" s="178"/>
      <c r="T219" s="178"/>
      <c r="U219" s="178"/>
      <c r="V219" s="178"/>
      <c r="W219" s="55"/>
      <c r="X219" s="55"/>
      <c r="Y219" s="56"/>
      <c r="Z219" s="198" t="s">
        <v>604</v>
      </c>
      <c r="AA219" s="52"/>
      <c r="AB219" s="52"/>
      <c r="AC219" s="52"/>
      <c r="AD219" s="52"/>
      <c r="AE219" s="52"/>
      <c r="AF219" s="57"/>
      <c r="AG219" s="58"/>
      <c r="AH219" s="52"/>
      <c r="AI219" s="159"/>
      <c r="AJ219" s="34"/>
    </row>
    <row r="220" spans="1:36" s="33" customFormat="1" ht="41.4" hidden="1">
      <c r="A220" s="49" t="s">
        <v>62</v>
      </c>
      <c r="B220" s="39" t="s">
        <v>421</v>
      </c>
      <c r="C220" s="49"/>
      <c r="D220" s="87" t="s">
        <v>605</v>
      </c>
      <c r="E220" s="49" t="s">
        <v>69</v>
      </c>
      <c r="F220" s="51"/>
      <c r="G220" s="52" t="s">
        <v>606</v>
      </c>
      <c r="H220" s="53"/>
      <c r="I220" s="54" t="s">
        <v>92</v>
      </c>
      <c r="J220" s="178"/>
      <c r="K220" s="178"/>
      <c r="L220" s="178"/>
      <c r="M220" s="178"/>
      <c r="N220" s="178"/>
      <c r="O220" s="178"/>
      <c r="P220" s="178"/>
      <c r="Q220" s="178"/>
      <c r="R220" s="178"/>
      <c r="S220" s="178"/>
      <c r="T220" s="178"/>
      <c r="U220" s="178"/>
      <c r="V220" s="178"/>
      <c r="W220" s="55"/>
      <c r="X220" s="55"/>
      <c r="Y220" s="56"/>
      <c r="Z220" s="198" t="s">
        <v>604</v>
      </c>
      <c r="AA220" s="52"/>
      <c r="AB220" s="52"/>
      <c r="AC220" s="52"/>
      <c r="AD220" s="52"/>
      <c r="AE220" s="52"/>
      <c r="AF220" s="57"/>
      <c r="AG220" s="58"/>
      <c r="AH220" s="52"/>
      <c r="AI220" s="159"/>
      <c r="AJ220" s="34"/>
    </row>
    <row r="221" spans="1:36" s="33" customFormat="1" ht="55.35" hidden="1" customHeight="1">
      <c r="A221" s="49" t="s">
        <v>62</v>
      </c>
      <c r="B221" s="49"/>
      <c r="C221" s="49"/>
      <c r="D221" s="87" t="s">
        <v>607</v>
      </c>
      <c r="E221" s="87"/>
      <c r="F221" s="208" t="s">
        <v>77</v>
      </c>
      <c r="G221" s="209" t="s">
        <v>608</v>
      </c>
      <c r="H221" s="53"/>
      <c r="I221" s="54"/>
      <c r="J221" s="178"/>
      <c r="K221" s="178"/>
      <c r="L221" s="178"/>
      <c r="M221" s="178"/>
      <c r="N221" s="178"/>
      <c r="O221" s="178"/>
      <c r="P221" s="178"/>
      <c r="Q221" s="178"/>
      <c r="R221" s="178"/>
      <c r="S221" s="178"/>
      <c r="T221" s="178"/>
      <c r="U221" s="178"/>
      <c r="V221" s="178"/>
      <c r="W221" s="55"/>
      <c r="X221" s="55"/>
      <c r="Y221" s="56"/>
      <c r="Z221" s="197"/>
      <c r="AA221" s="52"/>
      <c r="AB221" s="52"/>
      <c r="AC221" s="52"/>
      <c r="AD221" s="52"/>
      <c r="AE221" s="52"/>
      <c r="AF221" s="57"/>
      <c r="AG221" s="58"/>
      <c r="AH221" s="52"/>
      <c r="AI221" s="220"/>
      <c r="AJ221" s="34"/>
    </row>
    <row r="222" spans="1:36" s="33" customFormat="1" ht="165.6" hidden="1">
      <c r="A222" s="49" t="s">
        <v>62</v>
      </c>
      <c r="B222" s="49"/>
      <c r="C222" s="162"/>
      <c r="D222" s="177" t="s">
        <v>609</v>
      </c>
      <c r="E222" s="175"/>
      <c r="F222" s="176" t="s">
        <v>610</v>
      </c>
      <c r="G222" s="163" t="s">
        <v>611</v>
      </c>
      <c r="H222" s="164" t="s">
        <v>22</v>
      </c>
      <c r="I222" s="165"/>
      <c r="J222" s="178"/>
      <c r="K222" s="178"/>
      <c r="L222" s="178"/>
      <c r="M222" s="178"/>
      <c r="N222" s="178"/>
      <c r="O222" s="178"/>
      <c r="P222" s="178"/>
      <c r="Q222" s="178"/>
      <c r="R222" s="178"/>
      <c r="S222" s="178"/>
      <c r="T222" s="178"/>
      <c r="U222" s="178"/>
      <c r="V222" s="178"/>
      <c r="W222" s="166"/>
      <c r="X222" s="166"/>
      <c r="Y222" s="167"/>
      <c r="Z222" s="196"/>
      <c r="AA222" s="168"/>
      <c r="AB222" s="168"/>
      <c r="AC222" s="168"/>
      <c r="AD222" s="168"/>
      <c r="AE222" s="168"/>
      <c r="AF222" s="163"/>
      <c r="AG222" s="169"/>
      <c r="AH222" s="168"/>
      <c r="AI222" s="221"/>
      <c r="AJ222" s="34"/>
    </row>
    <row r="223" spans="1:36" s="33" customFormat="1" ht="41.4" hidden="1">
      <c r="A223" s="49" t="s">
        <v>62</v>
      </c>
      <c r="B223" s="39" t="s">
        <v>66</v>
      </c>
      <c r="C223" s="49"/>
      <c r="D223" s="87" t="s">
        <v>612</v>
      </c>
      <c r="E223" s="49" t="s">
        <v>69</v>
      </c>
      <c r="F223" s="184"/>
      <c r="G223" s="70" t="s">
        <v>613</v>
      </c>
      <c r="H223" s="53"/>
      <c r="I223" s="54" t="s">
        <v>92</v>
      </c>
      <c r="J223" s="178"/>
      <c r="K223" s="178"/>
      <c r="L223" s="178"/>
      <c r="M223" s="178"/>
      <c r="N223" s="178"/>
      <c r="O223" s="178"/>
      <c r="P223" s="178"/>
      <c r="Q223" s="178"/>
      <c r="R223" s="178"/>
      <c r="S223" s="178"/>
      <c r="T223" s="178"/>
      <c r="U223" s="178"/>
      <c r="V223" s="178"/>
      <c r="W223" s="55"/>
      <c r="X223" s="55"/>
      <c r="Y223" s="56"/>
      <c r="Z223" s="197" t="s">
        <v>614</v>
      </c>
      <c r="AA223" s="52"/>
      <c r="AB223" s="52"/>
      <c r="AC223" s="52"/>
      <c r="AD223" s="52"/>
      <c r="AE223" s="52"/>
      <c r="AF223" s="57"/>
      <c r="AG223" s="58"/>
      <c r="AH223" s="52"/>
      <c r="AI223" s="159"/>
      <c r="AJ223" s="34"/>
    </row>
    <row r="224" spans="1:36" s="33" customFormat="1" ht="27.6" hidden="1">
      <c r="A224" s="49" t="s">
        <v>62</v>
      </c>
      <c r="B224" s="39" t="s">
        <v>66</v>
      </c>
      <c r="C224" s="71"/>
      <c r="D224" s="87" t="s">
        <v>615</v>
      </c>
      <c r="E224" s="49" t="s">
        <v>69</v>
      </c>
      <c r="F224" s="51"/>
      <c r="G224" s="70" t="s">
        <v>616</v>
      </c>
      <c r="H224" s="184"/>
      <c r="I224" s="73" t="s">
        <v>71</v>
      </c>
      <c r="J224" s="185"/>
      <c r="K224" s="185"/>
      <c r="L224" s="185"/>
      <c r="M224" s="185"/>
      <c r="N224" s="185"/>
      <c r="O224" s="185"/>
      <c r="P224" s="185"/>
      <c r="Q224" s="185"/>
      <c r="R224" s="185"/>
      <c r="S224" s="185"/>
      <c r="T224" s="185"/>
      <c r="U224" s="185"/>
      <c r="V224" s="185"/>
      <c r="W224" s="186"/>
      <c r="X224" s="186"/>
      <c r="Y224" s="187"/>
      <c r="Z224" s="197" t="s">
        <v>617</v>
      </c>
      <c r="AA224" s="70"/>
      <c r="AB224" s="70"/>
      <c r="AC224" s="70"/>
      <c r="AD224" s="70"/>
      <c r="AE224" s="70"/>
      <c r="AF224" s="188"/>
      <c r="AG224" s="65"/>
      <c r="AH224" s="70"/>
      <c r="AI224" s="189"/>
      <c r="AJ224" s="34"/>
    </row>
    <row r="225" spans="1:36" s="33" customFormat="1" ht="27.6" hidden="1">
      <c r="A225" s="49" t="s">
        <v>250</v>
      </c>
      <c r="B225" s="39"/>
      <c r="C225" s="71"/>
      <c r="D225" s="87" t="s">
        <v>618</v>
      </c>
      <c r="E225" s="183"/>
      <c r="F225" s="179" t="s">
        <v>77</v>
      </c>
      <c r="G225" s="180" t="s">
        <v>619</v>
      </c>
      <c r="H225" s="184"/>
      <c r="I225" s="73"/>
      <c r="J225" s="185"/>
      <c r="K225" s="185"/>
      <c r="L225" s="185"/>
      <c r="M225" s="185"/>
      <c r="N225" s="185"/>
      <c r="O225" s="185"/>
      <c r="P225" s="185"/>
      <c r="Q225" s="185"/>
      <c r="R225" s="185"/>
      <c r="S225" s="185"/>
      <c r="T225" s="185"/>
      <c r="U225" s="185"/>
      <c r="V225" s="185"/>
      <c r="W225" s="186"/>
      <c r="X225" s="186"/>
      <c r="Y225" s="187"/>
      <c r="Z225" s="197"/>
      <c r="AA225" s="70"/>
      <c r="AB225" s="70"/>
      <c r="AC225" s="70"/>
      <c r="AD225" s="70"/>
      <c r="AE225" s="70"/>
      <c r="AF225" s="188"/>
      <c r="AG225" s="65"/>
      <c r="AH225" s="70"/>
      <c r="AI225" s="189"/>
      <c r="AJ225" s="34"/>
    </row>
    <row r="226" spans="1:36" s="33" customFormat="1" ht="27.6" hidden="1">
      <c r="A226" s="49" t="s">
        <v>62</v>
      </c>
      <c r="B226" s="39" t="s">
        <v>66</v>
      </c>
      <c r="C226" s="71"/>
      <c r="D226" s="87" t="s">
        <v>620</v>
      </c>
      <c r="E226" s="49" t="s">
        <v>69</v>
      </c>
      <c r="F226" s="51"/>
      <c r="G226" s="70" t="s">
        <v>621</v>
      </c>
      <c r="H226" s="184"/>
      <c r="I226" s="73" t="s">
        <v>71</v>
      </c>
      <c r="J226" s="185"/>
      <c r="K226" s="185"/>
      <c r="L226" s="185"/>
      <c r="M226" s="185"/>
      <c r="N226" s="185"/>
      <c r="O226" s="185"/>
      <c r="P226" s="185"/>
      <c r="Q226" s="185"/>
      <c r="R226" s="185"/>
      <c r="S226" s="185"/>
      <c r="T226" s="185"/>
      <c r="U226" s="185"/>
      <c r="V226" s="185"/>
      <c r="W226" s="186"/>
      <c r="X226" s="186"/>
      <c r="Y226" s="187"/>
      <c r="Z226" s="197" t="s">
        <v>622</v>
      </c>
      <c r="AA226" s="70"/>
      <c r="AB226" s="70"/>
      <c r="AC226" s="70"/>
      <c r="AD226" s="70"/>
      <c r="AE226" s="70"/>
      <c r="AF226" s="188"/>
      <c r="AG226" s="65"/>
      <c r="AH226" s="70"/>
      <c r="AI226" s="189"/>
      <c r="AJ226" s="34"/>
    </row>
    <row r="227" spans="1:36" s="33" customFormat="1" hidden="1">
      <c r="A227" s="49" t="s">
        <v>62</v>
      </c>
      <c r="B227" s="39"/>
      <c r="C227" s="71"/>
      <c r="D227" s="87" t="s">
        <v>623</v>
      </c>
      <c r="E227" s="183"/>
      <c r="F227" s="51" t="s">
        <v>77</v>
      </c>
      <c r="G227" s="70" t="s">
        <v>624</v>
      </c>
      <c r="H227" s="184"/>
      <c r="I227" s="73"/>
      <c r="J227" s="185"/>
      <c r="K227" s="185"/>
      <c r="L227" s="185"/>
      <c r="M227" s="185"/>
      <c r="N227" s="185"/>
      <c r="O227" s="185"/>
      <c r="P227" s="185"/>
      <c r="Q227" s="185"/>
      <c r="R227" s="185"/>
      <c r="S227" s="185"/>
      <c r="T227" s="185"/>
      <c r="U227" s="185"/>
      <c r="V227" s="185"/>
      <c r="W227" s="186"/>
      <c r="X227" s="186"/>
      <c r="Y227" s="187"/>
      <c r="Z227" s="197"/>
      <c r="AA227" s="70"/>
      <c r="AB227" s="70"/>
      <c r="AC227" s="70"/>
      <c r="AD227" s="70"/>
      <c r="AE227" s="70"/>
      <c r="AF227" s="188"/>
      <c r="AG227" s="65"/>
      <c r="AH227" s="70"/>
      <c r="AI227" s="189"/>
      <c r="AJ227" s="34"/>
    </row>
    <row r="228" spans="1:36" s="33" customFormat="1" ht="36.6" hidden="1" customHeight="1">
      <c r="A228" s="49" t="s">
        <v>62</v>
      </c>
      <c r="B228" s="39" t="s">
        <v>66</v>
      </c>
      <c r="C228" s="71"/>
      <c r="D228" s="87" t="s">
        <v>625</v>
      </c>
      <c r="E228" s="49" t="s">
        <v>69</v>
      </c>
      <c r="F228" s="51"/>
      <c r="G228" s="70" t="s">
        <v>626</v>
      </c>
      <c r="H228" s="53" t="s">
        <v>22</v>
      </c>
      <c r="I228" s="73" t="s">
        <v>71</v>
      </c>
      <c r="J228" s="185"/>
      <c r="K228" s="185"/>
      <c r="L228" s="185"/>
      <c r="M228" s="185"/>
      <c r="N228" s="185"/>
      <c r="O228" s="185"/>
      <c r="P228" s="185"/>
      <c r="Q228" s="185"/>
      <c r="R228" s="185"/>
      <c r="S228" s="185"/>
      <c r="T228" s="185"/>
      <c r="U228" s="185"/>
      <c r="V228" s="185"/>
      <c r="W228" s="186"/>
      <c r="X228" s="186"/>
      <c r="Y228" s="187"/>
      <c r="Z228" s="197" t="s">
        <v>627</v>
      </c>
      <c r="AA228" s="70"/>
      <c r="AB228" s="70"/>
      <c r="AC228" s="70"/>
      <c r="AD228" s="70"/>
      <c r="AE228" s="70"/>
      <c r="AF228" s="188"/>
      <c r="AG228" s="65"/>
      <c r="AH228" s="70"/>
      <c r="AI228" s="239"/>
      <c r="AJ228" s="34"/>
    </row>
    <row r="229" spans="1:36" s="33" customFormat="1" ht="55.2" hidden="1">
      <c r="A229" s="49" t="s">
        <v>62</v>
      </c>
      <c r="B229" s="39" t="s">
        <v>66</v>
      </c>
      <c r="C229" s="71"/>
      <c r="D229" s="87" t="s">
        <v>628</v>
      </c>
      <c r="E229" s="49" t="s">
        <v>96</v>
      </c>
      <c r="F229" s="51"/>
      <c r="G229" s="190" t="s">
        <v>629</v>
      </c>
      <c r="H229" s="184"/>
      <c r="I229" s="73" t="s">
        <v>92</v>
      </c>
      <c r="J229" s="185"/>
      <c r="K229" s="185"/>
      <c r="L229" s="185"/>
      <c r="M229" s="185"/>
      <c r="N229" s="185"/>
      <c r="O229" s="185"/>
      <c r="P229" s="185"/>
      <c r="Q229" s="185"/>
      <c r="R229" s="185"/>
      <c r="S229" s="185"/>
      <c r="T229" s="185"/>
      <c r="U229" s="185"/>
      <c r="V229" s="185"/>
      <c r="W229" s="186"/>
      <c r="X229" s="186"/>
      <c r="Y229" s="187"/>
      <c r="Z229" s="197" t="s">
        <v>630</v>
      </c>
      <c r="AA229" s="70"/>
      <c r="AB229" s="70"/>
      <c r="AC229" s="70"/>
      <c r="AD229" s="70"/>
      <c r="AE229" s="70"/>
      <c r="AF229" s="188"/>
      <c r="AG229" s="65"/>
      <c r="AH229" s="70"/>
      <c r="AI229" s="189"/>
      <c r="AJ229" s="34"/>
    </row>
    <row r="230" spans="1:36" s="161" customFormat="1" ht="27.6" hidden="1">
      <c r="A230" s="49" t="s">
        <v>62</v>
      </c>
      <c r="B230" s="39" t="s">
        <v>421</v>
      </c>
      <c r="C230" s="49"/>
      <c r="D230" s="87" t="s">
        <v>631</v>
      </c>
      <c r="E230" s="49" t="s">
        <v>69</v>
      </c>
      <c r="F230" s="51"/>
      <c r="G230" s="70" t="s">
        <v>632</v>
      </c>
      <c r="H230" s="53"/>
      <c r="I230" s="54" t="s">
        <v>92</v>
      </c>
      <c r="J230" s="178"/>
      <c r="K230" s="178"/>
      <c r="L230" s="178"/>
      <c r="M230" s="178"/>
      <c r="N230" s="178"/>
      <c r="O230" s="178"/>
      <c r="P230" s="178"/>
      <c r="Q230" s="178"/>
      <c r="R230" s="178"/>
      <c r="S230" s="178"/>
      <c r="T230" s="178"/>
      <c r="U230" s="178"/>
      <c r="V230" s="178"/>
      <c r="W230" s="55"/>
      <c r="X230" s="55"/>
      <c r="Y230" s="56"/>
      <c r="Z230" s="197" t="s">
        <v>633</v>
      </c>
      <c r="AA230" s="52"/>
      <c r="AB230" s="52"/>
      <c r="AC230" s="52"/>
      <c r="AD230" s="52"/>
      <c r="AE230" s="52"/>
      <c r="AF230" s="57"/>
      <c r="AG230" s="58"/>
      <c r="AH230" s="52"/>
      <c r="AI230" s="159"/>
      <c r="AJ230" s="190"/>
    </row>
    <row r="231" spans="1:36" s="161" customFormat="1" hidden="1">
      <c r="A231" s="49" t="s">
        <v>62</v>
      </c>
      <c r="B231" s="49"/>
      <c r="C231" s="49"/>
      <c r="D231" s="87" t="s">
        <v>634</v>
      </c>
      <c r="E231" s="87"/>
      <c r="F231" s="51" t="s">
        <v>77</v>
      </c>
      <c r="G231" s="207" t="s">
        <v>635</v>
      </c>
      <c r="H231" s="53"/>
      <c r="I231" s="54"/>
      <c r="J231" s="178"/>
      <c r="K231" s="178"/>
      <c r="L231" s="178"/>
      <c r="M231" s="178"/>
      <c r="N231" s="178"/>
      <c r="O231" s="178"/>
      <c r="P231" s="178"/>
      <c r="Q231" s="178"/>
      <c r="R231" s="178"/>
      <c r="S231" s="178"/>
      <c r="T231" s="178"/>
      <c r="U231" s="178"/>
      <c r="V231" s="178"/>
      <c r="W231" s="55"/>
      <c r="X231" s="55"/>
      <c r="Y231" s="56"/>
      <c r="Z231" s="197" t="s">
        <v>636</v>
      </c>
      <c r="AA231" s="52"/>
      <c r="AB231" s="52"/>
      <c r="AC231" s="52"/>
      <c r="AD231" s="52"/>
      <c r="AE231" s="52"/>
      <c r="AF231" s="57"/>
      <c r="AG231" s="58"/>
      <c r="AH231" s="52"/>
      <c r="AI231" s="159"/>
      <c r="AJ231" s="190"/>
    </row>
    <row r="232" spans="1:36" s="33" customFormat="1" hidden="1">
      <c r="A232" s="49" t="s">
        <v>62</v>
      </c>
      <c r="B232" s="49"/>
      <c r="C232" s="49"/>
      <c r="D232" s="87" t="s">
        <v>637</v>
      </c>
      <c r="E232" s="87"/>
      <c r="F232" s="208" t="s">
        <v>77</v>
      </c>
      <c r="G232" s="209" t="s">
        <v>638</v>
      </c>
      <c r="H232" s="53"/>
      <c r="I232" s="54"/>
      <c r="J232" s="178"/>
      <c r="K232" s="178"/>
      <c r="L232" s="178"/>
      <c r="M232" s="178"/>
      <c r="N232" s="178"/>
      <c r="O232" s="178"/>
      <c r="P232" s="178"/>
      <c r="Q232" s="178"/>
      <c r="R232" s="178"/>
      <c r="S232" s="178"/>
      <c r="T232" s="178"/>
      <c r="U232" s="178"/>
      <c r="V232" s="178"/>
      <c r="W232" s="55"/>
      <c r="X232" s="55"/>
      <c r="Y232" s="56"/>
      <c r="Z232" s="197"/>
      <c r="AA232" s="52"/>
      <c r="AB232" s="52"/>
      <c r="AC232" s="52"/>
      <c r="AD232" s="52"/>
      <c r="AE232" s="52"/>
      <c r="AF232" s="57"/>
      <c r="AG232" s="58"/>
      <c r="AH232" s="52"/>
      <c r="AI232" s="159"/>
      <c r="AJ232" s="34"/>
    </row>
    <row r="233" spans="1:36" s="33" customFormat="1" ht="107.1" hidden="1" customHeight="1">
      <c r="A233" s="49" t="s">
        <v>62</v>
      </c>
      <c r="B233" s="49"/>
      <c r="C233" s="162"/>
      <c r="D233" s="177" t="s">
        <v>639</v>
      </c>
      <c r="E233" s="175"/>
      <c r="F233" s="176" t="s">
        <v>640</v>
      </c>
      <c r="G233" s="214" t="s">
        <v>641</v>
      </c>
      <c r="H233" s="164" t="s">
        <v>22</v>
      </c>
      <c r="I233" s="165"/>
      <c r="J233" s="178"/>
      <c r="K233" s="178"/>
      <c r="L233" s="178"/>
      <c r="M233" s="178"/>
      <c r="N233" s="178"/>
      <c r="O233" s="178"/>
      <c r="P233" s="178"/>
      <c r="Q233" s="178"/>
      <c r="R233" s="178"/>
      <c r="S233" s="178"/>
      <c r="T233" s="178"/>
      <c r="U233" s="178"/>
      <c r="V233" s="178"/>
      <c r="W233" s="166"/>
      <c r="X233" s="166"/>
      <c r="Y233" s="167"/>
      <c r="Z233" s="196"/>
      <c r="AA233" s="168"/>
      <c r="AB233" s="168"/>
      <c r="AC233" s="168"/>
      <c r="AD233" s="168"/>
      <c r="AE233" s="168"/>
      <c r="AF233" s="163"/>
      <c r="AG233" s="169"/>
      <c r="AH233" s="168"/>
      <c r="AI233" s="221"/>
    </row>
    <row r="234" spans="1:36" s="33" customFormat="1" ht="27.6" hidden="1">
      <c r="A234" s="49" t="s">
        <v>62</v>
      </c>
      <c r="B234" s="39" t="s">
        <v>66</v>
      </c>
      <c r="C234" s="49"/>
      <c r="D234" s="87" t="s">
        <v>642</v>
      </c>
      <c r="E234" s="49" t="s">
        <v>69</v>
      </c>
      <c r="F234" s="51"/>
      <c r="G234" s="34" t="s">
        <v>643</v>
      </c>
      <c r="H234" s="53" t="s">
        <v>22</v>
      </c>
      <c r="I234" s="54" t="s">
        <v>4</v>
      </c>
      <c r="J234" s="178"/>
      <c r="K234" s="178"/>
      <c r="L234" s="178"/>
      <c r="M234" s="178"/>
      <c r="N234" s="178"/>
      <c r="O234" s="178"/>
      <c r="P234" s="178"/>
      <c r="Q234" s="178"/>
      <c r="R234" s="178"/>
      <c r="S234" s="178"/>
      <c r="T234" s="178"/>
      <c r="U234" s="178"/>
      <c r="V234" s="178"/>
      <c r="W234" s="55"/>
      <c r="X234" s="55"/>
      <c r="Y234" s="56"/>
      <c r="Z234" s="197"/>
      <c r="AA234" s="52"/>
      <c r="AB234" s="52"/>
      <c r="AC234" s="52"/>
      <c r="AD234" s="52"/>
      <c r="AE234" s="52"/>
      <c r="AF234" s="57"/>
      <c r="AG234" s="58"/>
      <c r="AH234" s="52"/>
      <c r="AI234" s="159"/>
    </row>
    <row r="235" spans="1:36" s="33" customFormat="1" hidden="1">
      <c r="A235" s="49" t="s">
        <v>75</v>
      </c>
      <c r="B235" s="39" t="s">
        <v>66</v>
      </c>
      <c r="C235" s="49"/>
      <c r="D235" s="87" t="s">
        <v>644</v>
      </c>
      <c r="E235" s="49" t="s">
        <v>69</v>
      </c>
      <c r="F235" s="51"/>
      <c r="G235" s="52" t="s">
        <v>645</v>
      </c>
      <c r="H235" s="184" t="s">
        <v>22</v>
      </c>
      <c r="I235" s="54" t="s">
        <v>92</v>
      </c>
      <c r="J235" s="178"/>
      <c r="K235" s="178"/>
      <c r="L235" s="178"/>
      <c r="M235" s="178"/>
      <c r="N235" s="178"/>
      <c r="O235" s="178"/>
      <c r="P235" s="178"/>
      <c r="Q235" s="178"/>
      <c r="R235" s="178"/>
      <c r="S235" s="178"/>
      <c r="T235" s="178"/>
      <c r="U235" s="178"/>
      <c r="V235" s="178"/>
      <c r="W235" s="55"/>
      <c r="X235" s="55"/>
      <c r="Y235" s="56"/>
      <c r="Z235" s="197" t="s">
        <v>646</v>
      </c>
      <c r="AA235" s="52"/>
      <c r="AB235" s="52"/>
      <c r="AC235" s="52"/>
      <c r="AD235" s="52"/>
      <c r="AE235" s="52"/>
      <c r="AF235" s="57"/>
      <c r="AG235" s="58"/>
      <c r="AH235" s="52"/>
      <c r="AI235" s="159"/>
    </row>
    <row r="236" spans="1:36" s="33" customFormat="1" ht="41.4" hidden="1">
      <c r="A236" s="49" t="s">
        <v>75</v>
      </c>
      <c r="B236" s="39" t="s">
        <v>66</v>
      </c>
      <c r="C236" s="49"/>
      <c r="D236" s="87" t="s">
        <v>647</v>
      </c>
      <c r="E236" s="49" t="s">
        <v>69</v>
      </c>
      <c r="F236" s="51"/>
      <c r="G236" s="52" t="s">
        <v>648</v>
      </c>
      <c r="H236" s="184"/>
      <c r="I236" s="54" t="s">
        <v>92</v>
      </c>
      <c r="J236" s="178"/>
      <c r="K236" s="178"/>
      <c r="L236" s="178"/>
      <c r="M236" s="178"/>
      <c r="N236" s="178"/>
      <c r="O236" s="178"/>
      <c r="P236" s="178"/>
      <c r="Q236" s="178"/>
      <c r="R236" s="178"/>
      <c r="S236" s="178"/>
      <c r="T236" s="178"/>
      <c r="U236" s="178"/>
      <c r="V236" s="178"/>
      <c r="W236" s="55"/>
      <c r="X236" s="55"/>
      <c r="Y236" s="56"/>
      <c r="Z236" s="197" t="s">
        <v>649</v>
      </c>
      <c r="AA236" s="52"/>
      <c r="AB236" s="52"/>
      <c r="AC236" s="52"/>
      <c r="AD236" s="52"/>
      <c r="AE236" s="52"/>
      <c r="AF236" s="57"/>
      <c r="AG236" s="58"/>
      <c r="AH236" s="52"/>
      <c r="AI236" s="159"/>
    </row>
    <row r="237" spans="1:36" s="33" customFormat="1" ht="77.099999999999994" hidden="1" customHeight="1">
      <c r="A237" s="49" t="s">
        <v>75</v>
      </c>
      <c r="B237" s="39" t="s">
        <v>66</v>
      </c>
      <c r="C237" s="49"/>
      <c r="D237" s="87" t="s">
        <v>650</v>
      </c>
      <c r="E237" s="49" t="s">
        <v>69</v>
      </c>
      <c r="F237" s="51"/>
      <c r="G237" s="52" t="s">
        <v>651</v>
      </c>
      <c r="H237" s="53"/>
      <c r="I237" s="54" t="s">
        <v>92</v>
      </c>
      <c r="J237" s="178"/>
      <c r="K237" s="178"/>
      <c r="L237" s="178"/>
      <c r="M237" s="178"/>
      <c r="N237" s="178"/>
      <c r="O237" s="178"/>
      <c r="P237" s="178"/>
      <c r="Q237" s="178"/>
      <c r="R237" s="178"/>
      <c r="S237" s="178"/>
      <c r="T237" s="178"/>
      <c r="U237" s="178"/>
      <c r="V237" s="178"/>
      <c r="W237" s="55"/>
      <c r="X237" s="55"/>
      <c r="Y237" s="56"/>
      <c r="Z237" s="197" t="s">
        <v>649</v>
      </c>
      <c r="AA237" s="52"/>
      <c r="AB237" s="52"/>
      <c r="AC237" s="52"/>
      <c r="AD237" s="52"/>
      <c r="AE237" s="52"/>
      <c r="AF237" s="57"/>
      <c r="AG237" s="58"/>
      <c r="AH237" s="52"/>
      <c r="AI237" s="220"/>
      <c r="AJ237" s="34"/>
    </row>
    <row r="238" spans="1:36" s="33" customFormat="1" hidden="1">
      <c r="A238" s="49" t="s">
        <v>75</v>
      </c>
      <c r="B238" s="39" t="s">
        <v>66</v>
      </c>
      <c r="C238" s="49"/>
      <c r="D238" s="87" t="s">
        <v>652</v>
      </c>
      <c r="E238" s="49" t="s">
        <v>69</v>
      </c>
      <c r="F238" s="51"/>
      <c r="G238" s="52" t="s">
        <v>653</v>
      </c>
      <c r="H238" s="184" t="s">
        <v>22</v>
      </c>
      <c r="I238" s="54" t="s">
        <v>92</v>
      </c>
      <c r="J238" s="178"/>
      <c r="K238" s="178"/>
      <c r="L238" s="178"/>
      <c r="M238" s="178"/>
      <c r="N238" s="178"/>
      <c r="O238" s="178"/>
      <c r="P238" s="178"/>
      <c r="Q238" s="178"/>
      <c r="R238" s="178"/>
      <c r="S238" s="178"/>
      <c r="T238" s="178"/>
      <c r="U238" s="178"/>
      <c r="V238" s="178"/>
      <c r="W238" s="60"/>
      <c r="X238" s="60"/>
      <c r="Y238" s="61"/>
      <c r="Z238" s="199" t="s">
        <v>127</v>
      </c>
      <c r="AA238" s="59"/>
      <c r="AB238" s="59"/>
      <c r="AC238" s="59"/>
      <c r="AD238" s="59"/>
      <c r="AE238" s="59"/>
      <c r="AF238" s="62"/>
      <c r="AG238" s="58"/>
      <c r="AH238" s="59"/>
    </row>
    <row r="239" spans="1:36" s="33" customFormat="1" ht="34.5" hidden="1" customHeight="1">
      <c r="A239" s="49" t="s">
        <v>75</v>
      </c>
      <c r="B239" s="39" t="s">
        <v>265</v>
      </c>
      <c r="C239" s="49"/>
      <c r="D239" s="87" t="s">
        <v>654</v>
      </c>
      <c r="E239" s="49" t="s">
        <v>69</v>
      </c>
      <c r="F239" s="51"/>
      <c r="G239" s="52" t="s">
        <v>655</v>
      </c>
      <c r="H239" s="184" t="s">
        <v>22</v>
      </c>
      <c r="I239" s="54" t="s">
        <v>71</v>
      </c>
      <c r="J239" s="178"/>
      <c r="K239" s="178"/>
      <c r="L239" s="178"/>
      <c r="M239" s="178"/>
      <c r="N239" s="178"/>
      <c r="O239" s="178"/>
      <c r="P239" s="178"/>
      <c r="Q239" s="178"/>
      <c r="R239" s="178"/>
      <c r="S239" s="178"/>
      <c r="T239" s="178"/>
      <c r="U239" s="178"/>
      <c r="V239" s="178"/>
      <c r="W239" s="55"/>
      <c r="X239" s="55"/>
      <c r="Y239" s="56"/>
      <c r="Z239" s="197" t="s">
        <v>656</v>
      </c>
      <c r="AA239" s="52"/>
      <c r="AB239" s="52"/>
      <c r="AC239" s="52"/>
      <c r="AD239" s="52"/>
      <c r="AE239" s="52"/>
      <c r="AF239" s="57"/>
      <c r="AG239" s="58"/>
      <c r="AH239" s="52"/>
      <c r="AI239" s="160"/>
      <c r="AJ239" s="34"/>
    </row>
    <row r="240" spans="1:36" ht="27.6" hidden="1">
      <c r="A240" s="49" t="s">
        <v>75</v>
      </c>
      <c r="B240" s="39" t="s">
        <v>66</v>
      </c>
      <c r="D240" s="87" t="s">
        <v>657</v>
      </c>
      <c r="E240" s="49" t="s">
        <v>69</v>
      </c>
      <c r="F240" s="51"/>
      <c r="G240" s="52" t="s">
        <v>658</v>
      </c>
      <c r="H240" s="184" t="s">
        <v>22</v>
      </c>
      <c r="I240" s="54" t="s">
        <v>71</v>
      </c>
      <c r="W240" s="60"/>
      <c r="X240" s="60"/>
      <c r="Y240" s="61"/>
      <c r="Z240" s="199" t="s">
        <v>127</v>
      </c>
      <c r="AA240" s="59"/>
      <c r="AB240" s="59"/>
      <c r="AC240" s="59"/>
      <c r="AD240" s="59"/>
      <c r="AE240" s="59"/>
      <c r="AF240" s="62"/>
      <c r="AH240" s="59"/>
      <c r="AI240" s="160"/>
      <c r="AJ240" s="39"/>
    </row>
    <row r="241" spans="1:36" s="33" customFormat="1" ht="76.5" hidden="1" customHeight="1">
      <c r="A241" s="49" t="s">
        <v>75</v>
      </c>
      <c r="B241" s="39" t="s">
        <v>659</v>
      </c>
      <c r="C241" s="49"/>
      <c r="D241" s="87" t="s">
        <v>660</v>
      </c>
      <c r="E241" s="49" t="s">
        <v>69</v>
      </c>
      <c r="F241" s="51"/>
      <c r="G241" s="52" t="s">
        <v>661</v>
      </c>
      <c r="H241" s="184" t="s">
        <v>22</v>
      </c>
      <c r="I241" s="54" t="s">
        <v>71</v>
      </c>
      <c r="J241" s="178"/>
      <c r="K241" s="178"/>
      <c r="L241" s="178"/>
      <c r="M241" s="178"/>
      <c r="N241" s="178"/>
      <c r="O241" s="178"/>
      <c r="P241" s="178"/>
      <c r="Q241" s="178"/>
      <c r="R241" s="178"/>
      <c r="S241" s="178"/>
      <c r="T241" s="178"/>
      <c r="U241" s="178"/>
      <c r="V241" s="178"/>
      <c r="W241" s="55"/>
      <c r="X241" s="55"/>
      <c r="Y241" s="56"/>
      <c r="Z241" s="197" t="s">
        <v>548</v>
      </c>
      <c r="AA241" s="52"/>
      <c r="AB241" s="52"/>
      <c r="AC241" s="52"/>
      <c r="AD241" s="52"/>
      <c r="AE241" s="52"/>
      <c r="AF241" s="57"/>
      <c r="AG241" s="58"/>
      <c r="AH241" s="52"/>
      <c r="AI241" s="220"/>
      <c r="AJ241" s="34"/>
    </row>
    <row r="242" spans="1:36" ht="31.35" hidden="1" customHeight="1">
      <c r="A242" s="49" t="s">
        <v>75</v>
      </c>
      <c r="B242" s="39" t="s">
        <v>66</v>
      </c>
      <c r="D242" s="87" t="s">
        <v>662</v>
      </c>
      <c r="E242" s="49" t="s">
        <v>69</v>
      </c>
      <c r="F242" s="51"/>
      <c r="G242" s="52" t="s">
        <v>663</v>
      </c>
      <c r="H242" s="73"/>
      <c r="I242" s="54" t="s">
        <v>4</v>
      </c>
      <c r="W242" s="60"/>
      <c r="X242" s="60"/>
      <c r="Y242" s="61"/>
      <c r="Z242" s="199" t="s">
        <v>664</v>
      </c>
      <c r="AA242" s="59"/>
      <c r="AB242" s="59"/>
      <c r="AC242" s="59"/>
      <c r="AD242" s="59"/>
      <c r="AE242" s="59"/>
      <c r="AF242" s="62"/>
      <c r="AI242" s="160"/>
      <c r="AJ242" s="39"/>
    </row>
    <row r="243" spans="1:36" ht="31.35" hidden="1" customHeight="1">
      <c r="A243" s="49" t="s">
        <v>75</v>
      </c>
      <c r="B243" s="39" t="s">
        <v>326</v>
      </c>
      <c r="D243" s="87" t="s">
        <v>665</v>
      </c>
      <c r="E243" s="49" t="s">
        <v>96</v>
      </c>
      <c r="F243" s="51"/>
      <c r="G243" s="52" t="s">
        <v>666</v>
      </c>
      <c r="H243" s="73" t="s">
        <v>22</v>
      </c>
      <c r="I243" s="54" t="s">
        <v>4</v>
      </c>
      <c r="W243" s="60"/>
      <c r="X243" s="60"/>
      <c r="Y243" s="61"/>
      <c r="Z243" s="199" t="s">
        <v>127</v>
      </c>
      <c r="AA243" s="59"/>
      <c r="AB243" s="59"/>
      <c r="AC243" s="59"/>
      <c r="AD243" s="59"/>
      <c r="AE243" s="59"/>
      <c r="AF243" s="62"/>
      <c r="AI243" s="160"/>
      <c r="AJ243" s="39"/>
    </row>
    <row r="244" spans="1:36" s="33" customFormat="1" hidden="1">
      <c r="A244" s="49" t="s">
        <v>75</v>
      </c>
      <c r="B244" s="39" t="s">
        <v>326</v>
      </c>
      <c r="C244" s="49"/>
      <c r="D244" s="87" t="s">
        <v>667</v>
      </c>
      <c r="E244" s="49" t="s">
        <v>96</v>
      </c>
      <c r="F244" s="51"/>
      <c r="G244" s="52" t="s">
        <v>668</v>
      </c>
      <c r="H244" s="53" t="s">
        <v>22</v>
      </c>
      <c r="I244" s="54" t="s">
        <v>4</v>
      </c>
      <c r="J244" s="178"/>
      <c r="K244" s="178"/>
      <c r="L244" s="178"/>
      <c r="M244" s="178"/>
      <c r="N244" s="178"/>
      <c r="O244" s="178"/>
      <c r="P244" s="178"/>
      <c r="Q244" s="178"/>
      <c r="R244" s="178"/>
      <c r="S244" s="178"/>
      <c r="T244" s="178"/>
      <c r="U244" s="178"/>
      <c r="V244" s="178"/>
      <c r="W244" s="55"/>
      <c r="X244" s="55"/>
      <c r="Y244" s="56"/>
      <c r="Z244" s="197"/>
      <c r="AA244" s="52"/>
      <c r="AB244" s="52"/>
      <c r="AC244" s="52"/>
      <c r="AD244" s="52"/>
      <c r="AE244" s="52"/>
      <c r="AF244" s="57"/>
      <c r="AG244" s="58"/>
      <c r="AH244" s="52"/>
      <c r="AI244" s="160"/>
    </row>
    <row r="245" spans="1:36" s="33" customFormat="1" ht="27.6" hidden="1">
      <c r="A245" s="49" t="s">
        <v>75</v>
      </c>
      <c r="B245" s="39" t="s">
        <v>265</v>
      </c>
      <c r="C245" s="49"/>
      <c r="D245" s="87" t="s">
        <v>669</v>
      </c>
      <c r="E245" s="49" t="s">
        <v>96</v>
      </c>
      <c r="F245" s="51"/>
      <c r="G245" s="52" t="s">
        <v>275</v>
      </c>
      <c r="H245" s="53"/>
      <c r="I245" s="54" t="s">
        <v>92</v>
      </c>
      <c r="J245" s="178"/>
      <c r="K245" s="178"/>
      <c r="L245" s="178"/>
      <c r="M245" s="178"/>
      <c r="N245" s="178"/>
      <c r="O245" s="178"/>
      <c r="P245" s="178"/>
      <c r="Q245" s="178"/>
      <c r="R245" s="178"/>
      <c r="S245" s="178"/>
      <c r="T245" s="178"/>
      <c r="U245" s="178"/>
      <c r="V245" s="178"/>
      <c r="W245" s="55"/>
      <c r="X245" s="55"/>
      <c r="Y245" s="56"/>
      <c r="Z245" s="197" t="s">
        <v>670</v>
      </c>
      <c r="AA245" s="52"/>
      <c r="AB245" s="52"/>
      <c r="AC245" s="52"/>
      <c r="AD245" s="52"/>
      <c r="AE245" s="52"/>
      <c r="AF245" s="57"/>
      <c r="AG245" s="58"/>
      <c r="AH245" s="52"/>
      <c r="AI245" s="159"/>
    </row>
    <row r="246" spans="1:36" s="33" customFormat="1" ht="27.6" hidden="1">
      <c r="A246" s="49" t="s">
        <v>75</v>
      </c>
      <c r="B246" s="39" t="s">
        <v>265</v>
      </c>
      <c r="C246" s="49"/>
      <c r="D246" s="87" t="s">
        <v>671</v>
      </c>
      <c r="E246" s="49" t="s">
        <v>96</v>
      </c>
      <c r="F246" s="51"/>
      <c r="G246" s="52" t="s">
        <v>672</v>
      </c>
      <c r="H246" s="53"/>
      <c r="I246" s="54" t="s">
        <v>92</v>
      </c>
      <c r="J246" s="178"/>
      <c r="K246" s="178"/>
      <c r="L246" s="178"/>
      <c r="M246" s="178"/>
      <c r="N246" s="178"/>
      <c r="O246" s="178"/>
      <c r="P246" s="178"/>
      <c r="Q246" s="178"/>
      <c r="R246" s="178"/>
      <c r="S246" s="178"/>
      <c r="T246" s="178"/>
      <c r="U246" s="178"/>
      <c r="V246" s="178"/>
      <c r="W246" s="55"/>
      <c r="X246" s="55"/>
      <c r="Y246" s="56"/>
      <c r="Z246" s="197" t="s">
        <v>670</v>
      </c>
      <c r="AA246" s="52"/>
      <c r="AB246" s="52"/>
      <c r="AC246" s="52"/>
      <c r="AD246" s="52"/>
      <c r="AE246" s="52"/>
      <c r="AF246" s="57"/>
      <c r="AG246" s="58"/>
      <c r="AH246" s="52"/>
      <c r="AI246" s="159"/>
    </row>
    <row r="247" spans="1:36" s="33" customFormat="1" ht="27.6" hidden="1">
      <c r="A247" s="49" t="s">
        <v>75</v>
      </c>
      <c r="B247" s="39" t="s">
        <v>265</v>
      </c>
      <c r="C247" s="49"/>
      <c r="D247" s="87" t="s">
        <v>673</v>
      </c>
      <c r="E247" s="49" t="s">
        <v>96</v>
      </c>
      <c r="F247" s="51"/>
      <c r="G247" s="52" t="s">
        <v>674</v>
      </c>
      <c r="H247" s="53"/>
      <c r="I247" s="54" t="s">
        <v>92</v>
      </c>
      <c r="J247" s="178"/>
      <c r="K247" s="178"/>
      <c r="L247" s="178"/>
      <c r="M247" s="178"/>
      <c r="N247" s="178"/>
      <c r="O247" s="178"/>
      <c r="P247" s="178"/>
      <c r="Q247" s="178"/>
      <c r="R247" s="178"/>
      <c r="S247" s="178"/>
      <c r="T247" s="178"/>
      <c r="U247" s="178"/>
      <c r="V247" s="178"/>
      <c r="W247" s="55"/>
      <c r="X247" s="55"/>
      <c r="Y247" s="56"/>
      <c r="Z247" s="257"/>
      <c r="AA247" s="52"/>
      <c r="AB247" s="52"/>
      <c r="AC247" s="52"/>
      <c r="AD247" s="52"/>
      <c r="AE247" s="52"/>
      <c r="AF247" s="57"/>
      <c r="AG247" s="58"/>
      <c r="AH247" s="52"/>
      <c r="AI247" s="159"/>
    </row>
    <row r="248" spans="1:36" s="161" customFormat="1" ht="27.6" hidden="1">
      <c r="A248" s="71" t="s">
        <v>75</v>
      </c>
      <c r="B248" s="78" t="s">
        <v>265</v>
      </c>
      <c r="C248" s="71"/>
      <c r="D248" s="183" t="s">
        <v>675</v>
      </c>
      <c r="E248" s="71" t="s">
        <v>96</v>
      </c>
      <c r="F248" s="51"/>
      <c r="G248" s="70" t="s">
        <v>676</v>
      </c>
      <c r="H248" s="184"/>
      <c r="I248" s="73" t="s">
        <v>92</v>
      </c>
      <c r="J248" s="185"/>
      <c r="K248" s="185"/>
      <c r="L248" s="185"/>
      <c r="M248" s="185"/>
      <c r="N248" s="185"/>
      <c r="O248" s="185"/>
      <c r="P248" s="185"/>
      <c r="Q248" s="185"/>
      <c r="R248" s="185"/>
      <c r="S248" s="185"/>
      <c r="T248" s="185"/>
      <c r="U248" s="185"/>
      <c r="V248" s="185"/>
      <c r="W248" s="186"/>
      <c r="X248" s="186"/>
      <c r="Y248" s="187"/>
      <c r="Z248" s="199" t="s">
        <v>670</v>
      </c>
      <c r="AA248" s="70"/>
      <c r="AB248" s="70"/>
      <c r="AC248" s="70"/>
      <c r="AD248" s="70"/>
      <c r="AE248" s="70"/>
      <c r="AF248" s="188"/>
      <c r="AG248" s="65"/>
      <c r="AH248" s="70"/>
      <c r="AI248" s="189"/>
    </row>
    <row r="249" spans="1:36" s="33" customFormat="1" hidden="1">
      <c r="A249" s="49" t="s">
        <v>75</v>
      </c>
      <c r="B249" s="39" t="s">
        <v>265</v>
      </c>
      <c r="C249" s="49"/>
      <c r="D249" s="87" t="s">
        <v>677</v>
      </c>
      <c r="E249" s="49" t="s">
        <v>69</v>
      </c>
      <c r="F249" s="51"/>
      <c r="G249" s="52" t="s">
        <v>678</v>
      </c>
      <c r="H249" s="184" t="s">
        <v>22</v>
      </c>
      <c r="I249" s="54" t="s">
        <v>92</v>
      </c>
      <c r="J249" s="178"/>
      <c r="K249" s="178"/>
      <c r="L249" s="178"/>
      <c r="M249" s="178"/>
      <c r="N249" s="178"/>
      <c r="O249" s="178"/>
      <c r="P249" s="178"/>
      <c r="Q249" s="178"/>
      <c r="R249" s="178"/>
      <c r="S249" s="178"/>
      <c r="T249" s="178"/>
      <c r="U249" s="178"/>
      <c r="V249" s="178"/>
      <c r="W249" s="55"/>
      <c r="X249" s="55"/>
      <c r="Y249" s="56"/>
      <c r="Z249" s="197" t="s">
        <v>646</v>
      </c>
      <c r="AA249" s="52"/>
      <c r="AB249" s="52"/>
      <c r="AC249" s="52"/>
      <c r="AD249" s="52"/>
      <c r="AE249" s="52"/>
      <c r="AF249" s="57"/>
      <c r="AG249" s="58"/>
      <c r="AH249" s="52"/>
      <c r="AI249" s="159"/>
    </row>
    <row r="250" spans="1:36" s="33" customFormat="1" ht="27.6" hidden="1">
      <c r="A250" s="49" t="s">
        <v>75</v>
      </c>
      <c r="B250" s="39" t="s">
        <v>265</v>
      </c>
      <c r="C250" s="49"/>
      <c r="D250" s="87" t="s">
        <v>679</v>
      </c>
      <c r="E250" s="49" t="s">
        <v>96</v>
      </c>
      <c r="F250" s="51"/>
      <c r="G250" s="52" t="s">
        <v>680</v>
      </c>
      <c r="H250" s="184"/>
      <c r="I250" s="54" t="s">
        <v>92</v>
      </c>
      <c r="J250" s="178"/>
      <c r="K250" s="178"/>
      <c r="L250" s="178"/>
      <c r="M250" s="178"/>
      <c r="N250" s="178"/>
      <c r="O250" s="178"/>
      <c r="P250" s="178"/>
      <c r="Q250" s="178"/>
      <c r="R250" s="178"/>
      <c r="S250" s="178"/>
      <c r="T250" s="178"/>
      <c r="U250" s="178"/>
      <c r="V250" s="178"/>
      <c r="W250" s="55"/>
      <c r="X250" s="55"/>
      <c r="Y250" s="56"/>
      <c r="Z250" s="199" t="s">
        <v>681</v>
      </c>
      <c r="AA250" s="52"/>
      <c r="AB250" s="52"/>
      <c r="AC250" s="52"/>
      <c r="AD250" s="52"/>
      <c r="AE250" s="52"/>
      <c r="AF250" s="57"/>
      <c r="AG250" s="58"/>
      <c r="AH250" s="52"/>
      <c r="AI250" s="159"/>
    </row>
    <row r="251" spans="1:36" s="33" customFormat="1" ht="27.6" hidden="1">
      <c r="A251" s="49" t="s">
        <v>75</v>
      </c>
      <c r="B251" s="39" t="s">
        <v>265</v>
      </c>
      <c r="C251" s="49"/>
      <c r="D251" s="87" t="s">
        <v>682</v>
      </c>
      <c r="E251" s="49" t="s">
        <v>96</v>
      </c>
      <c r="F251" s="51"/>
      <c r="G251" s="52" t="s">
        <v>683</v>
      </c>
      <c r="H251" s="184"/>
      <c r="I251" s="54" t="s">
        <v>92</v>
      </c>
      <c r="J251" s="178"/>
      <c r="K251" s="178"/>
      <c r="L251" s="178"/>
      <c r="M251" s="178"/>
      <c r="N251" s="178"/>
      <c r="O251" s="178"/>
      <c r="P251" s="178"/>
      <c r="Q251" s="178"/>
      <c r="R251" s="178"/>
      <c r="S251" s="178"/>
      <c r="T251" s="178"/>
      <c r="U251" s="178"/>
      <c r="V251" s="178"/>
      <c r="W251" s="55"/>
      <c r="X251" s="55"/>
      <c r="Y251" s="56"/>
      <c r="Z251" s="197" t="s">
        <v>670</v>
      </c>
      <c r="AA251" s="52"/>
      <c r="AB251" s="52"/>
      <c r="AC251" s="52"/>
      <c r="AD251" s="52"/>
      <c r="AE251" s="52"/>
      <c r="AF251" s="57"/>
      <c r="AG251" s="58"/>
      <c r="AH251" s="52"/>
      <c r="AI251" s="159"/>
    </row>
    <row r="252" spans="1:36" s="33" customFormat="1" hidden="1">
      <c r="A252" s="49" t="s">
        <v>75</v>
      </c>
      <c r="B252" s="39" t="s">
        <v>265</v>
      </c>
      <c r="C252" s="49"/>
      <c r="D252" s="87" t="s">
        <v>684</v>
      </c>
      <c r="E252" s="87"/>
      <c r="F252" s="51" t="s">
        <v>113</v>
      </c>
      <c r="G252" s="70" t="s">
        <v>685</v>
      </c>
      <c r="H252" s="184"/>
      <c r="I252" s="54"/>
      <c r="J252" s="178"/>
      <c r="K252" s="178"/>
      <c r="L252" s="178"/>
      <c r="M252" s="178"/>
      <c r="N252" s="178"/>
      <c r="O252" s="178"/>
      <c r="P252" s="178"/>
      <c r="Q252" s="178"/>
      <c r="R252" s="178"/>
      <c r="S252" s="178"/>
      <c r="T252" s="178"/>
      <c r="U252" s="178"/>
      <c r="V252" s="178"/>
      <c r="W252" s="55"/>
      <c r="X252" s="55"/>
      <c r="Y252" s="56"/>
      <c r="Z252" s="197"/>
      <c r="AA252" s="52"/>
      <c r="AB252" s="52"/>
      <c r="AC252" s="52"/>
      <c r="AD252" s="52"/>
      <c r="AE252" s="52"/>
      <c r="AF252" s="57"/>
      <c r="AG252" s="58"/>
      <c r="AH252" s="52"/>
      <c r="AI252" s="159"/>
    </row>
    <row r="253" spans="1:36" s="33" customFormat="1" ht="27.6" hidden="1">
      <c r="A253" s="49" t="s">
        <v>75</v>
      </c>
      <c r="B253" s="39" t="s">
        <v>265</v>
      </c>
      <c r="C253" s="49"/>
      <c r="D253" s="87" t="s">
        <v>686</v>
      </c>
      <c r="E253" s="87"/>
      <c r="F253" s="51" t="s">
        <v>113</v>
      </c>
      <c r="G253" s="70" t="s">
        <v>687</v>
      </c>
      <c r="H253" s="184"/>
      <c r="I253" s="54"/>
      <c r="J253" s="178"/>
      <c r="K253" s="178"/>
      <c r="L253" s="178"/>
      <c r="M253" s="178"/>
      <c r="N253" s="178"/>
      <c r="O253" s="178"/>
      <c r="P253" s="178"/>
      <c r="Q253" s="178"/>
      <c r="R253" s="178"/>
      <c r="S253" s="178"/>
      <c r="T253" s="178"/>
      <c r="U253" s="178"/>
      <c r="V253" s="178"/>
      <c r="W253" s="55"/>
      <c r="X253" s="55"/>
      <c r="Y253" s="56"/>
      <c r="Z253" s="199"/>
      <c r="AA253" s="52"/>
      <c r="AB253" s="52"/>
      <c r="AC253" s="52"/>
      <c r="AD253" s="52"/>
      <c r="AE253" s="52"/>
      <c r="AF253" s="57"/>
      <c r="AG253" s="58"/>
      <c r="AH253" s="52"/>
      <c r="AI253" s="159"/>
    </row>
    <row r="254" spans="1:36" s="33" customFormat="1" ht="27.6" hidden="1">
      <c r="A254" s="49" t="s">
        <v>75</v>
      </c>
      <c r="B254" s="39" t="s">
        <v>66</v>
      </c>
      <c r="C254" s="49"/>
      <c r="D254" s="87" t="s">
        <v>688</v>
      </c>
      <c r="E254" s="49" t="s">
        <v>69</v>
      </c>
      <c r="F254" s="51"/>
      <c r="G254" s="52" t="s">
        <v>689</v>
      </c>
      <c r="H254" s="184" t="s">
        <v>22</v>
      </c>
      <c r="I254" s="54" t="s">
        <v>4</v>
      </c>
      <c r="J254" s="178"/>
      <c r="K254" s="178"/>
      <c r="L254" s="178"/>
      <c r="M254" s="178"/>
      <c r="N254" s="178"/>
      <c r="O254" s="178"/>
      <c r="P254" s="178"/>
      <c r="Q254" s="178"/>
      <c r="R254" s="178"/>
      <c r="S254" s="178"/>
      <c r="T254" s="178"/>
      <c r="U254" s="178"/>
      <c r="V254" s="178"/>
      <c r="W254" s="55"/>
      <c r="X254" s="55"/>
      <c r="Y254" s="56"/>
      <c r="Z254" s="197" t="s">
        <v>127</v>
      </c>
      <c r="AA254" s="52"/>
      <c r="AB254" s="52"/>
      <c r="AC254" s="52"/>
      <c r="AD254" s="52"/>
      <c r="AE254" s="52"/>
      <c r="AF254" s="57"/>
      <c r="AG254" s="58"/>
      <c r="AH254" s="52"/>
      <c r="AI254" s="159"/>
    </row>
    <row r="255" spans="1:36" s="33" customFormat="1" ht="41.4" hidden="1">
      <c r="A255" s="41" t="s">
        <v>75</v>
      </c>
      <c r="B255" s="39"/>
      <c r="C255" s="162"/>
      <c r="D255" s="177" t="s">
        <v>690</v>
      </c>
      <c r="E255" s="175"/>
      <c r="F255" s="176"/>
      <c r="G255" s="163" t="s">
        <v>691</v>
      </c>
      <c r="H255" s="164" t="s">
        <v>22</v>
      </c>
      <c r="I255" s="165"/>
      <c r="J255" s="178"/>
      <c r="K255" s="178"/>
      <c r="L255" s="178"/>
      <c r="M255" s="178"/>
      <c r="N255" s="178"/>
      <c r="O255" s="178"/>
      <c r="P255" s="178"/>
      <c r="Q255" s="178"/>
      <c r="R255" s="178"/>
      <c r="S255" s="178"/>
      <c r="T255" s="178"/>
      <c r="U255" s="178"/>
      <c r="V255" s="178"/>
      <c r="W255" s="215"/>
      <c r="X255" s="215"/>
      <c r="Y255" s="216"/>
      <c r="Z255" s="217"/>
      <c r="AA255" s="218"/>
      <c r="AB255" s="218"/>
      <c r="AC255" s="218"/>
      <c r="AD255" s="218"/>
      <c r="AE255" s="218"/>
      <c r="AF255" s="219"/>
      <c r="AG255" s="169"/>
      <c r="AH255" s="168"/>
      <c r="AI255" s="222"/>
      <c r="AJ255" s="34"/>
    </row>
    <row r="256" spans="1:36" s="33" customFormat="1" ht="105.6" hidden="1" customHeight="1">
      <c r="A256" s="41" t="s">
        <v>75</v>
      </c>
      <c r="B256" s="39" t="s">
        <v>265</v>
      </c>
      <c r="C256" s="49"/>
      <c r="D256" s="87" t="s">
        <v>692</v>
      </c>
      <c r="E256" s="49" t="s">
        <v>96</v>
      </c>
      <c r="F256" s="51"/>
      <c r="G256" s="52" t="s">
        <v>693</v>
      </c>
      <c r="H256" s="53" t="s">
        <v>22</v>
      </c>
      <c r="I256" s="54" t="s">
        <v>92</v>
      </c>
      <c r="J256" s="178"/>
      <c r="K256" s="178"/>
      <c r="L256" s="178"/>
      <c r="M256" s="178"/>
      <c r="N256" s="178"/>
      <c r="O256" s="178"/>
      <c r="P256" s="178"/>
      <c r="Q256" s="178"/>
      <c r="R256" s="178"/>
      <c r="S256" s="178"/>
      <c r="T256" s="178"/>
      <c r="U256" s="178"/>
      <c r="V256" s="178"/>
      <c r="W256" s="55"/>
      <c r="X256" s="55"/>
      <c r="Y256" s="56"/>
      <c r="Z256" s="197" t="s">
        <v>127</v>
      </c>
      <c r="AA256" s="52"/>
      <c r="AB256" s="52"/>
      <c r="AC256" s="52"/>
      <c r="AD256" s="52"/>
      <c r="AE256" s="52"/>
      <c r="AF256" s="57"/>
      <c r="AG256" s="58"/>
      <c r="AH256" s="52"/>
      <c r="AI256" s="220"/>
      <c r="AJ256" s="34"/>
    </row>
    <row r="257" spans="1:36" ht="27.6" hidden="1">
      <c r="A257" s="41" t="s">
        <v>75</v>
      </c>
      <c r="C257" s="162"/>
      <c r="D257" s="177" t="s">
        <v>694</v>
      </c>
      <c r="E257" s="175"/>
      <c r="F257" s="176"/>
      <c r="G257" s="163" t="s">
        <v>695</v>
      </c>
      <c r="H257" s="164" t="s">
        <v>22</v>
      </c>
      <c r="I257" s="165"/>
      <c r="W257" s="215"/>
      <c r="X257" s="215"/>
      <c r="Y257" s="216"/>
      <c r="Z257" s="217"/>
      <c r="AA257" s="218"/>
      <c r="AB257" s="218"/>
      <c r="AC257" s="218"/>
      <c r="AD257" s="218"/>
      <c r="AE257" s="218"/>
      <c r="AF257" s="219"/>
      <c r="AG257" s="169"/>
      <c r="AH257" s="168"/>
      <c r="AI257" s="222"/>
    </row>
    <row r="258" spans="1:36" s="33" customFormat="1" ht="69" hidden="1" customHeight="1">
      <c r="A258" s="41" t="s">
        <v>75</v>
      </c>
      <c r="B258" s="39" t="s">
        <v>265</v>
      </c>
      <c r="C258" s="49"/>
      <c r="D258" s="87" t="s">
        <v>696</v>
      </c>
      <c r="E258" s="49" t="s">
        <v>96</v>
      </c>
      <c r="F258" s="51"/>
      <c r="G258" s="52" t="s">
        <v>697</v>
      </c>
      <c r="H258" s="53" t="s">
        <v>22</v>
      </c>
      <c r="I258" s="54" t="s">
        <v>71</v>
      </c>
      <c r="J258" s="178"/>
      <c r="K258" s="178"/>
      <c r="L258" s="178"/>
      <c r="M258" s="178"/>
      <c r="N258" s="178"/>
      <c r="O258" s="178"/>
      <c r="P258" s="178"/>
      <c r="Q258" s="178"/>
      <c r="R258" s="178"/>
      <c r="S258" s="178"/>
      <c r="T258" s="178"/>
      <c r="U258" s="178"/>
      <c r="V258" s="178"/>
      <c r="W258" s="55"/>
      <c r="X258" s="55"/>
      <c r="Y258" s="56"/>
      <c r="Z258" s="197" t="s">
        <v>698</v>
      </c>
      <c r="AA258" s="52"/>
      <c r="AB258" s="52"/>
      <c r="AC258" s="52"/>
      <c r="AD258" s="52"/>
      <c r="AE258" s="52"/>
      <c r="AF258" s="57"/>
      <c r="AG258" s="65"/>
      <c r="AH258" s="52"/>
      <c r="AI258" s="220"/>
      <c r="AJ258" s="34"/>
    </row>
    <row r="259" spans="1:36" ht="47.85" hidden="1" customHeight="1">
      <c r="A259" s="41" t="s">
        <v>75</v>
      </c>
      <c r="C259" s="162"/>
      <c r="D259" s="177" t="s">
        <v>699</v>
      </c>
      <c r="E259" s="175"/>
      <c r="F259" s="176"/>
      <c r="G259" s="163" t="s">
        <v>700</v>
      </c>
      <c r="H259" s="164" t="s">
        <v>22</v>
      </c>
      <c r="I259" s="165"/>
      <c r="W259" s="215"/>
      <c r="X259" s="215"/>
      <c r="Y259" s="216"/>
      <c r="Z259" s="217"/>
      <c r="AA259" s="218"/>
      <c r="AB259" s="218"/>
      <c r="AC259" s="218"/>
      <c r="AD259" s="218"/>
      <c r="AE259" s="218"/>
      <c r="AF259" s="219"/>
      <c r="AG259" s="169"/>
      <c r="AH259" s="168"/>
      <c r="AI259" s="222"/>
      <c r="AJ259" s="39"/>
    </row>
    <row r="260" spans="1:36" s="78" customFormat="1" ht="45.75" customHeight="1">
      <c r="A260" s="300" t="s">
        <v>75</v>
      </c>
      <c r="B260" s="78" t="s">
        <v>88</v>
      </c>
      <c r="C260" s="71"/>
      <c r="D260" s="183" t="s">
        <v>701</v>
      </c>
      <c r="E260" s="71" t="s">
        <v>69</v>
      </c>
      <c r="F260" s="51"/>
      <c r="G260" s="70" t="s">
        <v>702</v>
      </c>
      <c r="H260" s="73"/>
      <c r="I260" s="73" t="s">
        <v>71</v>
      </c>
      <c r="J260" s="269"/>
      <c r="K260" s="269"/>
      <c r="L260" s="269"/>
      <c r="M260" s="269"/>
      <c r="N260" s="269"/>
      <c r="O260" s="269"/>
      <c r="P260" s="269"/>
      <c r="Q260" s="269"/>
      <c r="R260" s="269"/>
      <c r="S260" s="269"/>
      <c r="T260" s="269"/>
      <c r="U260" s="269"/>
      <c r="V260" s="269"/>
      <c r="W260" s="278"/>
      <c r="X260" s="278"/>
      <c r="Y260" s="279"/>
      <c r="Z260" s="277" t="s">
        <v>703</v>
      </c>
      <c r="AA260" s="280"/>
      <c r="AB260" s="280"/>
      <c r="AC260" s="280"/>
      <c r="AD260" s="280"/>
      <c r="AE260" s="281"/>
      <c r="AF260" s="281"/>
      <c r="AG260" s="274"/>
      <c r="AH260" s="268"/>
      <c r="AI260" s="301"/>
    </row>
    <row r="261" spans="1:36" s="33" customFormat="1" ht="60" hidden="1" customHeight="1">
      <c r="A261" s="41" t="s">
        <v>75</v>
      </c>
      <c r="B261" s="39" t="s">
        <v>265</v>
      </c>
      <c r="C261" s="49"/>
      <c r="D261" s="87" t="s">
        <v>704</v>
      </c>
      <c r="E261" s="49" t="s">
        <v>96</v>
      </c>
      <c r="F261" s="51"/>
      <c r="G261" s="52" t="s">
        <v>705</v>
      </c>
      <c r="H261" s="53"/>
      <c r="I261" s="54" t="s">
        <v>92</v>
      </c>
      <c r="J261" s="178"/>
      <c r="K261" s="178"/>
      <c r="L261" s="178"/>
      <c r="M261" s="178"/>
      <c r="N261" s="178"/>
      <c r="O261" s="178"/>
      <c r="P261" s="178"/>
      <c r="Q261" s="178"/>
      <c r="R261" s="178"/>
      <c r="S261" s="178"/>
      <c r="T261" s="178"/>
      <c r="U261" s="178"/>
      <c r="V261" s="178"/>
      <c r="W261" s="55"/>
      <c r="X261" s="55"/>
      <c r="Y261" s="56"/>
      <c r="Z261" s="197" t="s">
        <v>670</v>
      </c>
      <c r="AA261" s="52"/>
      <c r="AB261" s="52"/>
      <c r="AC261" s="52"/>
      <c r="AD261" s="52"/>
      <c r="AE261" s="57"/>
      <c r="AF261" s="57"/>
      <c r="AG261" s="65"/>
      <c r="AH261" s="52"/>
      <c r="AI261" s="220"/>
      <c r="AJ261" s="34"/>
    </row>
    <row r="262" spans="1:36" ht="124.2">
      <c r="A262" s="41" t="s">
        <v>75</v>
      </c>
      <c r="B262" s="39" t="s">
        <v>88</v>
      </c>
      <c r="D262" s="87" t="s">
        <v>706</v>
      </c>
      <c r="E262" s="49" t="s">
        <v>69</v>
      </c>
      <c r="F262" s="51"/>
      <c r="G262" s="52" t="s">
        <v>707</v>
      </c>
      <c r="H262" s="54"/>
      <c r="I262" s="54" t="s">
        <v>92</v>
      </c>
      <c r="W262" s="60"/>
      <c r="X262" s="60"/>
      <c r="Y262" s="61"/>
      <c r="Z262" s="199" t="s">
        <v>708</v>
      </c>
      <c r="AA262" s="59"/>
      <c r="AB262" s="59"/>
      <c r="AC262" s="59"/>
      <c r="AD262" s="59"/>
      <c r="AE262" s="62"/>
      <c r="AF262" s="62"/>
      <c r="AG262" s="65"/>
      <c r="AI262" s="160"/>
      <c r="AJ262" s="39"/>
    </row>
    <row r="263" spans="1:36" ht="33" hidden="1" customHeight="1">
      <c r="A263" s="41" t="s">
        <v>709</v>
      </c>
      <c r="D263" s="87" t="s">
        <v>710</v>
      </c>
      <c r="E263" s="87"/>
      <c r="F263" s="51" t="s">
        <v>113</v>
      </c>
      <c r="G263" s="70" t="s">
        <v>711</v>
      </c>
      <c r="H263" s="54"/>
      <c r="W263" s="60"/>
      <c r="X263" s="60"/>
      <c r="Y263" s="61"/>
      <c r="Z263" s="199"/>
      <c r="AA263" s="59"/>
      <c r="AB263" s="59"/>
      <c r="AC263" s="59"/>
      <c r="AD263" s="59"/>
      <c r="AE263" s="62"/>
      <c r="AF263" s="62"/>
      <c r="AG263" s="65"/>
      <c r="AI263" s="160"/>
      <c r="AJ263" s="39"/>
    </row>
    <row r="264" spans="1:36" ht="27.6" hidden="1">
      <c r="A264" s="41" t="s">
        <v>75</v>
      </c>
      <c r="C264" s="162"/>
      <c r="D264" s="177" t="s">
        <v>712</v>
      </c>
      <c r="E264" s="175"/>
      <c r="F264" s="176"/>
      <c r="G264" s="163" t="s">
        <v>713</v>
      </c>
      <c r="H264" s="164" t="s">
        <v>22</v>
      </c>
      <c r="I264" s="165"/>
      <c r="W264" s="215"/>
      <c r="X264" s="215"/>
      <c r="Y264" s="216"/>
      <c r="Z264" s="217"/>
      <c r="AA264" s="218"/>
      <c r="AB264" s="218"/>
      <c r="AC264" s="218"/>
      <c r="AD264" s="218"/>
      <c r="AE264" s="218"/>
      <c r="AF264" s="219"/>
      <c r="AG264" s="169"/>
      <c r="AH264" s="168"/>
      <c r="AI264" s="222"/>
      <c r="AJ264" s="39"/>
    </row>
    <row r="265" spans="1:36" s="33" customFormat="1" ht="73.349999999999994" hidden="1" customHeight="1">
      <c r="A265" s="41" t="s">
        <v>75</v>
      </c>
      <c r="B265" s="39" t="s">
        <v>265</v>
      </c>
      <c r="C265" s="49"/>
      <c r="D265" s="87" t="s">
        <v>714</v>
      </c>
      <c r="E265" s="49" t="s">
        <v>96</v>
      </c>
      <c r="F265" s="51"/>
      <c r="G265" s="52" t="s">
        <v>715</v>
      </c>
      <c r="H265" s="53"/>
      <c r="I265" s="54" t="s">
        <v>92</v>
      </c>
      <c r="J265" s="178"/>
      <c r="K265" s="178"/>
      <c r="L265" s="178"/>
      <c r="M265" s="178"/>
      <c r="N265" s="178"/>
      <c r="O265" s="178"/>
      <c r="P265" s="178"/>
      <c r="Q265" s="178"/>
      <c r="R265" s="178"/>
      <c r="S265" s="178"/>
      <c r="T265" s="178"/>
      <c r="U265" s="178"/>
      <c r="V265" s="178"/>
      <c r="W265" s="55"/>
      <c r="X265" s="55"/>
      <c r="Y265" s="49"/>
      <c r="Z265" s="197" t="s">
        <v>670</v>
      </c>
      <c r="AA265" s="52"/>
      <c r="AB265" s="52"/>
      <c r="AC265" s="52"/>
      <c r="AD265" s="52"/>
      <c r="AE265" s="52"/>
      <c r="AF265" s="52"/>
      <c r="AG265" s="65"/>
      <c r="AH265" s="52"/>
      <c r="AI265" s="220"/>
      <c r="AJ265" s="34"/>
    </row>
    <row r="266" spans="1:36" ht="55.2" hidden="1">
      <c r="A266" s="41" t="s">
        <v>75</v>
      </c>
      <c r="C266" s="162"/>
      <c r="D266" s="177" t="s">
        <v>716</v>
      </c>
      <c r="E266" s="175"/>
      <c r="F266" s="176"/>
      <c r="G266" s="163" t="s">
        <v>717</v>
      </c>
      <c r="H266" s="164" t="s">
        <v>22</v>
      </c>
      <c r="I266" s="165"/>
      <c r="W266" s="215"/>
      <c r="X266" s="215"/>
      <c r="Y266" s="216"/>
      <c r="Z266" s="217"/>
      <c r="AA266" s="218"/>
      <c r="AB266" s="218"/>
      <c r="AC266" s="218"/>
      <c r="AD266" s="218"/>
      <c r="AE266" s="218"/>
      <c r="AF266" s="219"/>
      <c r="AG266" s="169"/>
      <c r="AH266" s="168"/>
      <c r="AI266" s="222"/>
    </row>
    <row r="267" spans="1:36" ht="27.6" hidden="1">
      <c r="A267" s="41" t="s">
        <v>75</v>
      </c>
      <c r="B267" s="39" t="s">
        <v>265</v>
      </c>
      <c r="D267" s="87" t="s">
        <v>718</v>
      </c>
      <c r="E267" s="49" t="s">
        <v>96</v>
      </c>
      <c r="F267" s="51"/>
      <c r="G267" s="52" t="s">
        <v>719</v>
      </c>
      <c r="H267" s="54"/>
      <c r="I267" s="54" t="s">
        <v>92</v>
      </c>
      <c r="W267" s="60"/>
      <c r="X267" s="60"/>
      <c r="Y267" s="61"/>
      <c r="Z267" s="199" t="s">
        <v>670</v>
      </c>
      <c r="AA267" s="59"/>
      <c r="AB267" s="59"/>
      <c r="AC267" s="59"/>
      <c r="AD267" s="59"/>
      <c r="AE267" s="59"/>
      <c r="AF267" s="62"/>
      <c r="AG267" s="65"/>
      <c r="AI267" s="160"/>
    </row>
    <row r="268" spans="1:36" s="33" customFormat="1" ht="53.1" hidden="1" customHeight="1">
      <c r="A268" s="41" t="s">
        <v>75</v>
      </c>
      <c r="B268" s="39"/>
      <c r="C268" s="162"/>
      <c r="D268" s="177" t="s">
        <v>720</v>
      </c>
      <c r="E268" s="175"/>
      <c r="F268" s="176"/>
      <c r="G268" s="163" t="s">
        <v>721</v>
      </c>
      <c r="H268" s="164" t="s">
        <v>22</v>
      </c>
      <c r="I268" s="165"/>
      <c r="J268" s="178"/>
      <c r="K268" s="178"/>
      <c r="L268" s="178"/>
      <c r="M268" s="178"/>
      <c r="N268" s="178"/>
      <c r="O268" s="178"/>
      <c r="P268" s="178"/>
      <c r="Q268" s="178"/>
      <c r="R268" s="178"/>
      <c r="S268" s="178"/>
      <c r="T268" s="178"/>
      <c r="U268" s="178"/>
      <c r="V268" s="178"/>
      <c r="W268" s="166"/>
      <c r="X268" s="166"/>
      <c r="Y268" s="167"/>
      <c r="Z268" s="196"/>
      <c r="AA268" s="168"/>
      <c r="AB268" s="168"/>
      <c r="AC268" s="168"/>
      <c r="AD268" s="168"/>
      <c r="AE268" s="168"/>
      <c r="AF268" s="163"/>
      <c r="AG268" s="169"/>
      <c r="AH268" s="168"/>
      <c r="AI268" s="170"/>
      <c r="AJ268" s="34"/>
    </row>
    <row r="269" spans="1:36" ht="60" hidden="1" customHeight="1">
      <c r="A269" s="41" t="s">
        <v>75</v>
      </c>
      <c r="B269" s="39" t="s">
        <v>243</v>
      </c>
      <c r="D269" s="87" t="s">
        <v>722</v>
      </c>
      <c r="E269" s="49" t="s">
        <v>69</v>
      </c>
      <c r="F269" s="51"/>
      <c r="G269" s="59" t="s">
        <v>723</v>
      </c>
      <c r="H269" s="54" t="s">
        <v>22</v>
      </c>
      <c r="I269" s="54" t="s">
        <v>71</v>
      </c>
      <c r="W269" s="60"/>
      <c r="X269" s="60"/>
      <c r="Y269" s="66"/>
      <c r="Z269" s="199" t="s">
        <v>724</v>
      </c>
      <c r="AA269" s="59"/>
      <c r="AB269" s="59"/>
      <c r="AC269" s="59"/>
      <c r="AD269" s="59"/>
      <c r="AE269" s="62"/>
      <c r="AF269" s="69"/>
      <c r="AG269" s="65"/>
      <c r="AI269" s="160"/>
      <c r="AJ269" s="39"/>
    </row>
    <row r="270" spans="1:36" s="33" customFormat="1" ht="69.599999999999994" hidden="1" customHeight="1">
      <c r="A270" s="41" t="s">
        <v>75</v>
      </c>
      <c r="B270" s="39"/>
      <c r="C270" s="162"/>
      <c r="D270" s="177" t="s">
        <v>725</v>
      </c>
      <c r="E270" s="175"/>
      <c r="F270" s="176"/>
      <c r="G270" s="163" t="s">
        <v>726</v>
      </c>
      <c r="H270" s="164" t="s">
        <v>22</v>
      </c>
      <c r="I270" s="165"/>
      <c r="J270" s="178"/>
      <c r="K270" s="178"/>
      <c r="L270" s="178"/>
      <c r="M270" s="178"/>
      <c r="N270" s="178"/>
      <c r="O270" s="178"/>
      <c r="P270" s="178"/>
      <c r="Q270" s="178"/>
      <c r="R270" s="178"/>
      <c r="S270" s="178"/>
      <c r="T270" s="178"/>
      <c r="U270" s="178"/>
      <c r="V270" s="178"/>
      <c r="W270" s="166"/>
      <c r="X270" s="166"/>
      <c r="Y270" s="167"/>
      <c r="Z270" s="196"/>
      <c r="AA270" s="168"/>
      <c r="AB270" s="168"/>
      <c r="AC270" s="168"/>
      <c r="AD270" s="168"/>
      <c r="AE270" s="168"/>
      <c r="AF270" s="163"/>
      <c r="AG270" s="169"/>
      <c r="AH270" s="168"/>
      <c r="AI270" s="170"/>
      <c r="AJ270" s="34"/>
    </row>
    <row r="271" spans="1:36" ht="41.4" hidden="1">
      <c r="A271" s="33" t="s">
        <v>75</v>
      </c>
      <c r="B271" s="39" t="s">
        <v>265</v>
      </c>
      <c r="D271" s="87" t="s">
        <v>727</v>
      </c>
      <c r="E271" s="49" t="s">
        <v>69</v>
      </c>
      <c r="F271" s="51"/>
      <c r="G271" s="52" t="s">
        <v>728</v>
      </c>
      <c r="H271" s="54"/>
      <c r="I271" s="54" t="s">
        <v>92</v>
      </c>
      <c r="W271" s="60"/>
      <c r="X271" s="60"/>
      <c r="Y271" s="66"/>
      <c r="Z271" s="199" t="s">
        <v>729</v>
      </c>
      <c r="AA271" s="59"/>
      <c r="AB271" s="59"/>
      <c r="AC271" s="59"/>
      <c r="AD271" s="59"/>
      <c r="AE271" s="59"/>
      <c r="AF271" s="69"/>
      <c r="AG271" s="65"/>
      <c r="AI271" s="160"/>
    </row>
    <row r="272" spans="1:36" s="33" customFormat="1" ht="34.5" hidden="1" customHeight="1">
      <c r="A272" s="33" t="s">
        <v>75</v>
      </c>
      <c r="B272" s="39"/>
      <c r="C272" s="49"/>
      <c r="D272" s="87" t="s">
        <v>730</v>
      </c>
      <c r="E272" s="87"/>
      <c r="F272" s="51" t="s">
        <v>113</v>
      </c>
      <c r="G272" s="70" t="s">
        <v>731</v>
      </c>
      <c r="H272" s="53"/>
      <c r="I272" s="54"/>
      <c r="J272" s="178"/>
      <c r="K272" s="178"/>
      <c r="L272" s="178"/>
      <c r="M272" s="178"/>
      <c r="N272" s="178"/>
      <c r="O272" s="178"/>
      <c r="P272" s="178"/>
      <c r="Q272" s="178"/>
      <c r="R272" s="178"/>
      <c r="S272" s="178"/>
      <c r="T272" s="178"/>
      <c r="U272" s="178"/>
      <c r="V272" s="178"/>
      <c r="W272" s="55"/>
      <c r="X272" s="55"/>
      <c r="Y272" s="49"/>
      <c r="Z272" s="197"/>
      <c r="AA272" s="52"/>
      <c r="AB272" s="52"/>
      <c r="AC272" s="52"/>
      <c r="AD272" s="52"/>
      <c r="AE272" s="52"/>
      <c r="AF272" s="194"/>
      <c r="AG272" s="65"/>
      <c r="AH272" s="52"/>
      <c r="AI272" s="220"/>
      <c r="AJ272" s="34"/>
    </row>
    <row r="273" spans="1:36" ht="55.2" hidden="1">
      <c r="A273" s="33" t="s">
        <v>75</v>
      </c>
      <c r="C273" s="162"/>
      <c r="D273" s="177" t="s">
        <v>732</v>
      </c>
      <c r="E273" s="175"/>
      <c r="F273" s="176"/>
      <c r="G273" s="163" t="s">
        <v>733</v>
      </c>
      <c r="H273" s="164" t="s">
        <v>22</v>
      </c>
      <c r="I273" s="165"/>
      <c r="W273" s="215"/>
      <c r="X273" s="215"/>
      <c r="Y273" s="216"/>
      <c r="Z273" s="217"/>
      <c r="AA273" s="218"/>
      <c r="AB273" s="218"/>
      <c r="AC273" s="218"/>
      <c r="AD273" s="218"/>
      <c r="AE273" s="218"/>
      <c r="AF273" s="219"/>
      <c r="AG273" s="169"/>
      <c r="AH273" s="168"/>
      <c r="AI273" s="222"/>
    </row>
    <row r="274" spans="1:36" s="33" customFormat="1" ht="34.5" hidden="1" customHeight="1">
      <c r="A274" s="33" t="s">
        <v>75</v>
      </c>
      <c r="B274" s="39" t="s">
        <v>265</v>
      </c>
      <c r="C274" s="49"/>
      <c r="D274" s="87" t="s">
        <v>734</v>
      </c>
      <c r="E274" s="49" t="s">
        <v>96</v>
      </c>
      <c r="F274" s="51"/>
      <c r="G274" s="52" t="s">
        <v>735</v>
      </c>
      <c r="H274" s="53"/>
      <c r="I274" s="54" t="s">
        <v>92</v>
      </c>
      <c r="J274" s="178"/>
      <c r="K274" s="178"/>
      <c r="L274" s="178"/>
      <c r="M274" s="178"/>
      <c r="N274" s="178"/>
      <c r="O274" s="178"/>
      <c r="P274" s="178"/>
      <c r="Q274" s="178"/>
      <c r="R274" s="178"/>
      <c r="S274" s="178"/>
      <c r="T274" s="178"/>
      <c r="U274" s="178"/>
      <c r="V274" s="178"/>
      <c r="W274" s="55"/>
      <c r="X274" s="55"/>
      <c r="Y274" s="49"/>
      <c r="Z274" s="197" t="s">
        <v>736</v>
      </c>
      <c r="AA274" s="52"/>
      <c r="AB274" s="52"/>
      <c r="AC274" s="52"/>
      <c r="AD274" s="52"/>
      <c r="AE274" s="52"/>
      <c r="AF274" s="57"/>
      <c r="AG274" s="65"/>
      <c r="AH274" s="52"/>
      <c r="AI274" s="220"/>
      <c r="AJ274" s="34"/>
    </row>
    <row r="275" spans="1:36" ht="41.4" hidden="1">
      <c r="A275" s="33" t="s">
        <v>75</v>
      </c>
      <c r="B275" s="39" t="s">
        <v>88</v>
      </c>
      <c r="D275" s="87" t="s">
        <v>737</v>
      </c>
      <c r="E275" s="66" t="s">
        <v>96</v>
      </c>
      <c r="F275" s="68"/>
      <c r="G275" s="70" t="s">
        <v>738</v>
      </c>
      <c r="H275" s="54"/>
      <c r="I275" s="54" t="s">
        <v>92</v>
      </c>
      <c r="W275" s="60"/>
      <c r="X275" s="60"/>
      <c r="Y275" s="66"/>
      <c r="Z275" s="199" t="s">
        <v>739</v>
      </c>
      <c r="AA275" s="59"/>
      <c r="AB275" s="59"/>
      <c r="AC275" s="59"/>
      <c r="AD275" s="59"/>
      <c r="AE275" s="59"/>
      <c r="AF275" s="62"/>
      <c r="AG275" s="65"/>
      <c r="AI275" s="160"/>
    </row>
    <row r="276" spans="1:36" s="33" customFormat="1" ht="34.5" hidden="1" customHeight="1">
      <c r="A276" s="33" t="s">
        <v>75</v>
      </c>
      <c r="B276" s="39" t="s">
        <v>265</v>
      </c>
      <c r="C276" s="49"/>
      <c r="D276" s="87" t="s">
        <v>740</v>
      </c>
      <c r="E276" s="49" t="s">
        <v>69</v>
      </c>
      <c r="F276" s="51"/>
      <c r="G276" s="52" t="s">
        <v>741</v>
      </c>
      <c r="H276" s="53" t="s">
        <v>22</v>
      </c>
      <c r="I276" s="54" t="s">
        <v>71</v>
      </c>
      <c r="J276" s="178"/>
      <c r="K276" s="178"/>
      <c r="L276" s="178"/>
      <c r="M276" s="178"/>
      <c r="N276" s="178"/>
      <c r="O276" s="178"/>
      <c r="P276" s="178"/>
      <c r="Q276" s="178"/>
      <c r="R276" s="178"/>
      <c r="S276" s="178"/>
      <c r="T276" s="178"/>
      <c r="U276" s="178"/>
      <c r="V276" s="178"/>
      <c r="W276" s="55"/>
      <c r="X276" s="55"/>
      <c r="Y276" s="49"/>
      <c r="Z276" s="197" t="s">
        <v>742</v>
      </c>
      <c r="AA276" s="52"/>
      <c r="AB276" s="52"/>
      <c r="AC276" s="52"/>
      <c r="AD276" s="52"/>
      <c r="AE276" s="52"/>
      <c r="AF276" s="57"/>
      <c r="AG276" s="65"/>
      <c r="AH276" s="52"/>
      <c r="AI276" s="220"/>
      <c r="AJ276" s="34"/>
    </row>
    <row r="277" spans="1:36" ht="57.75" hidden="1" customHeight="1">
      <c r="A277" s="41" t="s">
        <v>75</v>
      </c>
      <c r="C277" s="162"/>
      <c r="D277" s="177" t="s">
        <v>743</v>
      </c>
      <c r="E277" s="175"/>
      <c r="F277" s="176"/>
      <c r="G277" s="163" t="s">
        <v>744</v>
      </c>
      <c r="H277" s="164" t="s">
        <v>22</v>
      </c>
      <c r="I277" s="165"/>
      <c r="W277" s="215"/>
      <c r="X277" s="215"/>
      <c r="Y277" s="216"/>
      <c r="Z277" s="217"/>
      <c r="AA277" s="218"/>
      <c r="AB277" s="218"/>
      <c r="AC277" s="218"/>
      <c r="AD277" s="218"/>
      <c r="AE277" s="218"/>
      <c r="AF277" s="219"/>
      <c r="AG277" s="169"/>
      <c r="AH277" s="168"/>
      <c r="AI277" s="222"/>
      <c r="AJ277" s="39"/>
    </row>
    <row r="278" spans="1:36" ht="31.35" hidden="1" customHeight="1">
      <c r="A278" s="41" t="s">
        <v>75</v>
      </c>
      <c r="B278" s="39" t="s">
        <v>421</v>
      </c>
      <c r="D278" s="87" t="s">
        <v>745</v>
      </c>
      <c r="E278" s="49" t="s">
        <v>69</v>
      </c>
      <c r="F278" s="51"/>
      <c r="G278" s="52" t="s">
        <v>746</v>
      </c>
      <c r="H278" s="73"/>
      <c r="I278" s="54" t="s">
        <v>747</v>
      </c>
      <c r="W278" s="60"/>
      <c r="X278" s="60"/>
      <c r="Y278" s="66"/>
      <c r="Z278" s="199" t="s">
        <v>748</v>
      </c>
      <c r="AA278" s="59"/>
      <c r="AB278" s="59"/>
      <c r="AC278" s="59"/>
      <c r="AD278" s="59"/>
      <c r="AE278" s="59"/>
      <c r="AF278" s="59"/>
      <c r="AG278" s="65"/>
      <c r="AI278" s="160"/>
      <c r="AJ278" s="39"/>
    </row>
    <row r="279" spans="1:36" s="33" customFormat="1" ht="34.5" hidden="1" customHeight="1">
      <c r="A279" s="41" t="s">
        <v>75</v>
      </c>
      <c r="B279" s="39"/>
      <c r="C279" s="49"/>
      <c r="D279" s="87" t="s">
        <v>749</v>
      </c>
      <c r="E279" s="87"/>
      <c r="F279" s="208" t="s">
        <v>113</v>
      </c>
      <c r="G279" s="209" t="s">
        <v>750</v>
      </c>
      <c r="H279" s="184"/>
      <c r="I279" s="54"/>
      <c r="J279" s="178"/>
      <c r="K279" s="178"/>
      <c r="L279" s="178"/>
      <c r="M279" s="178"/>
      <c r="N279" s="178"/>
      <c r="O279" s="178"/>
      <c r="P279" s="178"/>
      <c r="Q279" s="178"/>
      <c r="R279" s="178"/>
      <c r="S279" s="178"/>
      <c r="T279" s="178"/>
      <c r="U279" s="178"/>
      <c r="V279" s="178"/>
      <c r="W279" s="55"/>
      <c r="X279" s="55"/>
      <c r="Y279" s="49"/>
      <c r="Z279" s="197"/>
      <c r="AA279" s="52"/>
      <c r="AB279" s="52"/>
      <c r="AC279" s="52"/>
      <c r="AD279" s="52"/>
      <c r="AE279" s="52"/>
      <c r="AF279" s="52"/>
      <c r="AG279" s="65"/>
      <c r="AH279" s="52"/>
      <c r="AI279" s="220"/>
      <c r="AJ279" s="34"/>
    </row>
    <row r="280" spans="1:36" ht="36" hidden="1" customHeight="1">
      <c r="A280" s="41" t="s">
        <v>75</v>
      </c>
      <c r="C280" s="162"/>
      <c r="D280" s="177" t="s">
        <v>751</v>
      </c>
      <c r="E280" s="175"/>
      <c r="F280" s="176"/>
      <c r="G280" s="163" t="s">
        <v>752</v>
      </c>
      <c r="H280" s="164" t="s">
        <v>22</v>
      </c>
      <c r="I280" s="165"/>
      <c r="W280" s="215"/>
      <c r="X280" s="215"/>
      <c r="Y280" s="216"/>
      <c r="Z280" s="217"/>
      <c r="AA280" s="218"/>
      <c r="AB280" s="218"/>
      <c r="AC280" s="218"/>
      <c r="AD280" s="218"/>
      <c r="AE280" s="218"/>
      <c r="AF280" s="219"/>
      <c r="AG280" s="169"/>
      <c r="AH280" s="168"/>
      <c r="AI280" s="222"/>
      <c r="AJ280" s="39"/>
    </row>
    <row r="281" spans="1:36" s="33" customFormat="1" ht="56.1" hidden="1" customHeight="1">
      <c r="A281" s="41" t="s">
        <v>75</v>
      </c>
      <c r="B281" s="39" t="s">
        <v>88</v>
      </c>
      <c r="C281" s="49"/>
      <c r="D281" s="87" t="s">
        <v>753</v>
      </c>
      <c r="E281" s="49" t="s">
        <v>96</v>
      </c>
      <c r="F281" s="52"/>
      <c r="G281" s="52" t="s">
        <v>754</v>
      </c>
      <c r="H281" s="53"/>
      <c r="I281" s="54" t="s">
        <v>92</v>
      </c>
      <c r="J281" s="178"/>
      <c r="K281" s="178"/>
      <c r="L281" s="178"/>
      <c r="M281" s="178"/>
      <c r="N281" s="178"/>
      <c r="O281" s="178"/>
      <c r="P281" s="178"/>
      <c r="Q281" s="178"/>
      <c r="R281" s="178"/>
      <c r="S281" s="178"/>
      <c r="T281" s="178"/>
      <c r="U281" s="178"/>
      <c r="V281" s="178"/>
      <c r="W281" s="55"/>
      <c r="X281" s="55"/>
      <c r="Y281" s="49"/>
      <c r="Z281" s="197" t="s">
        <v>755</v>
      </c>
      <c r="AA281" s="52"/>
      <c r="AB281" s="52"/>
      <c r="AC281" s="52"/>
      <c r="AD281" s="52"/>
      <c r="AE281" s="52"/>
      <c r="AF281" s="194"/>
      <c r="AG281" s="65"/>
      <c r="AH281" s="70"/>
      <c r="AI281" s="220"/>
      <c r="AJ281" s="34"/>
    </row>
    <row r="282" spans="1:36" ht="27.6" hidden="1">
      <c r="A282" s="33"/>
      <c r="B282" s="33"/>
      <c r="C282" s="162"/>
      <c r="D282" s="177" t="s">
        <v>756</v>
      </c>
      <c r="E282" s="228"/>
      <c r="F282" s="229" t="s">
        <v>757</v>
      </c>
      <c r="G282" s="163" t="s">
        <v>758</v>
      </c>
      <c r="H282" s="165" t="s">
        <v>16</v>
      </c>
      <c r="I282" s="165" t="s">
        <v>399</v>
      </c>
      <c r="W282" s="215"/>
      <c r="X282" s="215"/>
      <c r="Y282" s="216"/>
      <c r="Z282" s="196"/>
      <c r="AA282" s="218"/>
      <c r="AB282" s="218"/>
      <c r="AC282" s="218"/>
      <c r="AD282" s="218"/>
      <c r="AE282" s="218"/>
      <c r="AF282" s="219"/>
      <c r="AG282" s="169"/>
      <c r="AH282" s="168"/>
      <c r="AI282" s="222"/>
    </row>
    <row r="283" spans="1:36" s="33" customFormat="1" ht="34.5" hidden="1" customHeight="1">
      <c r="C283" s="49"/>
      <c r="D283" s="87" t="s">
        <v>759</v>
      </c>
      <c r="E283" s="87"/>
      <c r="F283" s="52"/>
      <c r="G283" s="57"/>
      <c r="H283" s="53"/>
      <c r="I283" s="54"/>
      <c r="J283" s="178"/>
      <c r="K283" s="178"/>
      <c r="L283" s="178"/>
      <c r="M283" s="178"/>
      <c r="N283" s="178"/>
      <c r="O283" s="178"/>
      <c r="P283" s="178"/>
      <c r="Q283" s="178"/>
      <c r="R283" s="178"/>
      <c r="S283" s="178"/>
      <c r="T283" s="178"/>
      <c r="U283" s="178"/>
      <c r="V283" s="178"/>
      <c r="W283" s="55"/>
      <c r="X283" s="55"/>
      <c r="Y283" s="56"/>
      <c r="Z283" s="197"/>
      <c r="AA283" s="52"/>
      <c r="AB283" s="52"/>
      <c r="AC283" s="52"/>
      <c r="AD283" s="52"/>
      <c r="AE283" s="57"/>
      <c r="AF283" s="57"/>
      <c r="AG283" s="65"/>
      <c r="AH283" s="52"/>
      <c r="AI283" s="220"/>
      <c r="AJ283" s="34"/>
    </row>
    <row r="284" spans="1:36" ht="29.85" hidden="1" customHeight="1">
      <c r="A284" s="33"/>
      <c r="B284" s="33"/>
      <c r="C284" s="162"/>
      <c r="D284" s="177" t="s">
        <v>760</v>
      </c>
      <c r="E284" s="228"/>
      <c r="F284" s="229"/>
      <c r="G284" s="163" t="s">
        <v>761</v>
      </c>
      <c r="H284" s="165" t="s">
        <v>16</v>
      </c>
      <c r="I284" s="165" t="s">
        <v>399</v>
      </c>
      <c r="W284" s="215"/>
      <c r="X284" s="215"/>
      <c r="Y284" s="216"/>
      <c r="Z284" s="217"/>
      <c r="AA284" s="218"/>
      <c r="AB284" s="218"/>
      <c r="AC284" s="218"/>
      <c r="AD284" s="218"/>
      <c r="AE284" s="218"/>
      <c r="AF284" s="219"/>
      <c r="AG284" s="169"/>
      <c r="AH284" s="168"/>
      <c r="AI284" s="222"/>
      <c r="AJ284" s="39"/>
    </row>
    <row r="285" spans="1:36" s="33" customFormat="1" ht="34.5" hidden="1" customHeight="1">
      <c r="C285" s="49"/>
      <c r="D285" s="87" t="s">
        <v>762</v>
      </c>
      <c r="E285" s="87"/>
      <c r="F285" s="52"/>
      <c r="G285" s="57"/>
      <c r="H285" s="53"/>
      <c r="I285" s="54"/>
      <c r="J285" s="178"/>
      <c r="K285" s="178"/>
      <c r="L285" s="178"/>
      <c r="M285" s="178"/>
      <c r="N285" s="178"/>
      <c r="O285" s="178"/>
      <c r="P285" s="178"/>
      <c r="Q285" s="178"/>
      <c r="R285" s="178"/>
      <c r="S285" s="178"/>
      <c r="T285" s="178"/>
      <c r="U285" s="178"/>
      <c r="V285" s="178"/>
      <c r="W285" s="55"/>
      <c r="X285" s="55"/>
      <c r="Y285" s="49"/>
      <c r="Z285" s="197"/>
      <c r="AA285" s="52"/>
      <c r="AB285" s="52"/>
      <c r="AC285" s="52"/>
      <c r="AD285" s="52"/>
      <c r="AE285" s="52"/>
      <c r="AF285" s="57"/>
      <c r="AG285" s="65"/>
      <c r="AH285" s="52"/>
      <c r="AI285" s="220"/>
      <c r="AJ285" s="34"/>
    </row>
    <row r="286" spans="1:36" ht="27.6" hidden="1">
      <c r="A286" s="33"/>
      <c r="B286" s="33"/>
      <c r="C286" s="162"/>
      <c r="D286" s="177" t="s">
        <v>763</v>
      </c>
      <c r="E286" s="228"/>
      <c r="F286" s="229"/>
      <c r="G286" s="163" t="s">
        <v>764</v>
      </c>
      <c r="H286" s="165" t="s">
        <v>16</v>
      </c>
      <c r="I286" s="165" t="s">
        <v>399</v>
      </c>
      <c r="W286" s="215"/>
      <c r="X286" s="215"/>
      <c r="Y286" s="216"/>
      <c r="Z286" s="217"/>
      <c r="AA286" s="218"/>
      <c r="AB286" s="218"/>
      <c r="AC286" s="218"/>
      <c r="AD286" s="218"/>
      <c r="AE286" s="218"/>
      <c r="AF286" s="219"/>
      <c r="AG286" s="169"/>
      <c r="AH286" s="168"/>
      <c r="AI286" s="222"/>
    </row>
    <row r="287" spans="1:36" s="33" customFormat="1" ht="34.5" hidden="1" customHeight="1">
      <c r="C287" s="49"/>
      <c r="D287" s="87" t="s">
        <v>765</v>
      </c>
      <c r="E287" s="87"/>
      <c r="F287" s="51"/>
      <c r="G287" s="57"/>
      <c r="H287" s="53"/>
      <c r="I287" s="54"/>
      <c r="J287" s="178"/>
      <c r="K287" s="178"/>
      <c r="L287" s="178"/>
      <c r="M287" s="178"/>
      <c r="N287" s="178"/>
      <c r="O287" s="178"/>
      <c r="P287" s="178"/>
      <c r="Q287" s="178"/>
      <c r="R287" s="178"/>
      <c r="S287" s="178"/>
      <c r="T287" s="178"/>
      <c r="U287" s="178"/>
      <c r="V287" s="178"/>
      <c r="W287" s="55"/>
      <c r="X287" s="55"/>
      <c r="Y287" s="49"/>
      <c r="Z287" s="197"/>
      <c r="AA287" s="52"/>
      <c r="AB287" s="52"/>
      <c r="AC287" s="52"/>
      <c r="AD287" s="52"/>
      <c r="AE287" s="52"/>
      <c r="AF287" s="194"/>
      <c r="AG287" s="65"/>
      <c r="AH287" s="52"/>
      <c r="AI287" s="220"/>
      <c r="AJ287" s="34"/>
    </row>
    <row r="288" spans="1:36" ht="27.6" hidden="1">
      <c r="A288" s="33"/>
      <c r="B288" s="33"/>
      <c r="C288" s="162"/>
      <c r="D288" s="177" t="s">
        <v>766</v>
      </c>
      <c r="E288" s="175"/>
      <c r="F288" s="229"/>
      <c r="G288" s="219" t="s">
        <v>767</v>
      </c>
      <c r="H288" s="165" t="s">
        <v>16</v>
      </c>
      <c r="I288" s="165" t="s">
        <v>399</v>
      </c>
      <c r="W288" s="215"/>
      <c r="X288" s="215"/>
      <c r="Y288" s="216"/>
      <c r="Z288" s="217"/>
      <c r="AA288" s="218"/>
      <c r="AB288" s="218"/>
      <c r="AC288" s="218"/>
      <c r="AD288" s="218"/>
      <c r="AE288" s="218"/>
      <c r="AF288" s="219"/>
      <c r="AG288" s="169"/>
      <c r="AH288" s="168"/>
      <c r="AI288" s="222"/>
      <c r="AJ288" s="39"/>
    </row>
    <row r="289" spans="1:36" s="33" customFormat="1" ht="81" hidden="1" customHeight="1">
      <c r="C289" s="49"/>
      <c r="D289" s="87" t="s">
        <v>768</v>
      </c>
      <c r="E289" s="87"/>
      <c r="F289" s="52"/>
      <c r="G289" s="57"/>
      <c r="H289" s="53"/>
      <c r="I289" s="54"/>
      <c r="J289" s="178"/>
      <c r="K289" s="178"/>
      <c r="L289" s="178"/>
      <c r="M289" s="178"/>
      <c r="N289" s="178"/>
      <c r="O289" s="178"/>
      <c r="P289" s="178"/>
      <c r="Q289" s="178"/>
      <c r="R289" s="178"/>
      <c r="S289" s="178"/>
      <c r="T289" s="178"/>
      <c r="U289" s="178"/>
      <c r="V289" s="178"/>
      <c r="W289" s="55"/>
      <c r="X289" s="55"/>
      <c r="Y289" s="49"/>
      <c r="Z289" s="197"/>
      <c r="AA289" s="52"/>
      <c r="AB289" s="52"/>
      <c r="AC289" s="52"/>
      <c r="AD289" s="52"/>
      <c r="AE289" s="52"/>
      <c r="AF289" s="57"/>
      <c r="AG289" s="65"/>
      <c r="AH289" s="52"/>
      <c r="AI289" s="220"/>
      <c r="AJ289" s="34"/>
    </row>
    <row r="290" spans="1:36" ht="19.350000000000001" hidden="1" customHeight="1">
      <c r="A290" s="33"/>
      <c r="B290" s="33"/>
      <c r="C290" s="162"/>
      <c r="D290" s="177" t="s">
        <v>769</v>
      </c>
      <c r="E290" s="175"/>
      <c r="F290" s="229"/>
      <c r="G290" s="163" t="s">
        <v>770</v>
      </c>
      <c r="H290" s="165" t="s">
        <v>16</v>
      </c>
      <c r="I290" s="165" t="s">
        <v>399</v>
      </c>
      <c r="W290" s="215"/>
      <c r="X290" s="215"/>
      <c r="Y290" s="216"/>
      <c r="Z290" s="217"/>
      <c r="AA290" s="218"/>
      <c r="AB290" s="218"/>
      <c r="AC290" s="218"/>
      <c r="AD290" s="218"/>
      <c r="AE290" s="218"/>
      <c r="AF290" s="219"/>
      <c r="AG290" s="169"/>
      <c r="AH290" s="168"/>
      <c r="AI290" s="222"/>
      <c r="AJ290" s="39"/>
    </row>
    <row r="291" spans="1:36" ht="18.600000000000001" hidden="1" customHeight="1">
      <c r="A291" s="33"/>
      <c r="B291" s="33"/>
      <c r="D291" s="87" t="s">
        <v>771</v>
      </c>
      <c r="E291" s="155"/>
      <c r="F291" s="59"/>
      <c r="G291" s="57"/>
      <c r="H291" s="54"/>
      <c r="W291" s="60"/>
      <c r="X291" s="60"/>
      <c r="Y291" s="61"/>
      <c r="Z291" s="199"/>
      <c r="AA291" s="59"/>
      <c r="AB291" s="59"/>
      <c r="AC291" s="59"/>
      <c r="AD291" s="59"/>
      <c r="AE291" s="62"/>
      <c r="AF291" s="62"/>
      <c r="AG291" s="65"/>
      <c r="AI291" s="160"/>
      <c r="AJ291" s="39"/>
    </row>
    <row r="292" spans="1:36" s="33" customFormat="1" ht="34.5" hidden="1" customHeight="1">
      <c r="C292" s="162"/>
      <c r="D292" s="177" t="s">
        <v>772</v>
      </c>
      <c r="E292" s="175"/>
      <c r="F292" s="176"/>
      <c r="G292" s="163" t="s">
        <v>773</v>
      </c>
      <c r="H292" s="164" t="s">
        <v>16</v>
      </c>
      <c r="I292" s="165" t="s">
        <v>399</v>
      </c>
      <c r="J292" s="178"/>
      <c r="K292" s="178"/>
      <c r="L292" s="178"/>
      <c r="M292" s="178"/>
      <c r="N292" s="178"/>
      <c r="O292" s="178"/>
      <c r="P292" s="178"/>
      <c r="Q292" s="178"/>
      <c r="R292" s="178"/>
      <c r="S292" s="178"/>
      <c r="T292" s="178"/>
      <c r="U292" s="178"/>
      <c r="V292" s="178"/>
      <c r="W292" s="166"/>
      <c r="X292" s="166"/>
      <c r="Y292" s="167"/>
      <c r="Z292" s="196"/>
      <c r="AA292" s="168"/>
      <c r="AB292" s="168"/>
      <c r="AC292" s="168"/>
      <c r="AD292" s="168"/>
      <c r="AE292" s="168"/>
      <c r="AF292" s="163"/>
      <c r="AG292" s="169"/>
      <c r="AH292" s="168"/>
      <c r="AI292" s="170"/>
      <c r="AJ292" s="34"/>
    </row>
    <row r="293" spans="1:36" ht="19.350000000000001" hidden="1" customHeight="1">
      <c r="A293" s="33"/>
      <c r="B293" s="33"/>
      <c r="D293" s="87" t="s">
        <v>774</v>
      </c>
      <c r="E293" s="155"/>
      <c r="F293" s="59"/>
      <c r="G293" s="57"/>
      <c r="H293" s="54"/>
      <c r="W293" s="60"/>
      <c r="X293" s="60"/>
      <c r="Y293" s="66"/>
      <c r="Z293" s="199"/>
      <c r="AA293" s="59"/>
      <c r="AB293" s="59"/>
      <c r="AC293" s="59"/>
      <c r="AD293" s="59"/>
      <c r="AE293" s="59"/>
      <c r="AF293" s="69"/>
      <c r="AG293" s="65"/>
      <c r="AI293" s="160"/>
      <c r="AJ293" s="39"/>
    </row>
    <row r="294" spans="1:36" s="33" customFormat="1" ht="46.5" hidden="1" customHeight="1">
      <c r="C294" s="162"/>
      <c r="D294" s="177" t="s">
        <v>775</v>
      </c>
      <c r="E294" s="175"/>
      <c r="F294" s="176"/>
      <c r="G294" s="163" t="s">
        <v>776</v>
      </c>
      <c r="H294" s="164" t="s">
        <v>16</v>
      </c>
      <c r="I294" s="165" t="s">
        <v>399</v>
      </c>
      <c r="J294" s="178"/>
      <c r="K294" s="178"/>
      <c r="L294" s="178"/>
      <c r="M294" s="178"/>
      <c r="N294" s="178"/>
      <c r="O294" s="178"/>
      <c r="P294" s="178"/>
      <c r="Q294" s="178"/>
      <c r="R294" s="178"/>
      <c r="S294" s="178"/>
      <c r="T294" s="178"/>
      <c r="U294" s="178"/>
      <c r="V294" s="178"/>
      <c r="W294" s="166"/>
      <c r="X294" s="166"/>
      <c r="Y294" s="167"/>
      <c r="Z294" s="196"/>
      <c r="AA294" s="168"/>
      <c r="AB294" s="168"/>
      <c r="AC294" s="168"/>
      <c r="AD294" s="168"/>
      <c r="AE294" s="168"/>
      <c r="AF294" s="163"/>
      <c r="AG294" s="169"/>
      <c r="AH294" s="168"/>
      <c r="AI294" s="170"/>
      <c r="AJ294" s="34"/>
    </row>
    <row r="295" spans="1:36" ht="48" hidden="1" customHeight="1">
      <c r="A295" s="33"/>
      <c r="B295" s="33"/>
      <c r="D295" s="87" t="s">
        <v>777</v>
      </c>
      <c r="E295" s="155"/>
      <c r="F295" s="59"/>
      <c r="H295" s="54"/>
      <c r="W295" s="60"/>
      <c r="X295" s="60"/>
      <c r="Y295" s="66"/>
      <c r="Z295" s="199"/>
      <c r="AA295" s="59"/>
      <c r="AB295" s="59"/>
      <c r="AC295" s="59"/>
      <c r="AD295" s="59"/>
      <c r="AE295" s="59"/>
      <c r="AF295" s="62"/>
      <c r="AG295" s="65"/>
      <c r="AI295" s="160"/>
      <c r="AJ295" s="39"/>
    </row>
    <row r="296" spans="1:36" ht="41.4" hidden="1">
      <c r="A296" s="33" t="s">
        <v>75</v>
      </c>
      <c r="B296" s="33"/>
      <c r="C296" s="162"/>
      <c r="D296" s="177" t="s">
        <v>778</v>
      </c>
      <c r="E296" s="175"/>
      <c r="F296" s="229" t="s">
        <v>779</v>
      </c>
      <c r="G296" s="163" t="s">
        <v>780</v>
      </c>
      <c r="H296" s="164" t="s">
        <v>22</v>
      </c>
      <c r="I296" s="165"/>
      <c r="W296" s="215"/>
      <c r="X296" s="215"/>
      <c r="Y296" s="216"/>
      <c r="Z296" s="217"/>
      <c r="AA296" s="218"/>
      <c r="AB296" s="218"/>
      <c r="AC296" s="218"/>
      <c r="AD296" s="218"/>
      <c r="AE296" s="218"/>
      <c r="AF296" s="219"/>
      <c r="AG296" s="169"/>
      <c r="AH296" s="168"/>
      <c r="AI296" s="222"/>
      <c r="AJ296" s="39"/>
    </row>
    <row r="297" spans="1:36" hidden="1">
      <c r="A297" s="33" t="s">
        <v>75</v>
      </c>
      <c r="B297" s="39" t="s">
        <v>329</v>
      </c>
      <c r="D297" s="87" t="s">
        <v>781</v>
      </c>
      <c r="E297" s="66" t="s">
        <v>69</v>
      </c>
      <c r="F297" s="59"/>
      <c r="G297" s="52" t="s">
        <v>782</v>
      </c>
      <c r="H297" s="54"/>
      <c r="I297" s="54" t="s">
        <v>88</v>
      </c>
      <c r="W297" s="60"/>
      <c r="X297" s="60"/>
      <c r="Y297" s="66"/>
      <c r="Z297" s="199"/>
      <c r="AA297" s="59"/>
      <c r="AB297" s="59"/>
      <c r="AC297" s="59"/>
      <c r="AD297" s="59"/>
      <c r="AE297" s="59"/>
      <c r="AF297" s="69"/>
      <c r="AG297" s="65"/>
      <c r="AI297" s="160"/>
      <c r="AJ297" s="39"/>
    </row>
    <row r="298" spans="1:36" s="33" customFormat="1" ht="57.75" hidden="1" customHeight="1">
      <c r="A298" s="33" t="s">
        <v>75</v>
      </c>
      <c r="B298" s="39" t="s">
        <v>329</v>
      </c>
      <c r="C298" s="49"/>
      <c r="D298" s="87" t="s">
        <v>783</v>
      </c>
      <c r="E298" s="66" t="s">
        <v>69</v>
      </c>
      <c r="F298" s="52"/>
      <c r="G298" s="52" t="s">
        <v>784</v>
      </c>
      <c r="H298" s="53"/>
      <c r="I298" s="54" t="s">
        <v>88</v>
      </c>
      <c r="J298" s="178"/>
      <c r="K298" s="178"/>
      <c r="L298" s="178"/>
      <c r="M298" s="178"/>
      <c r="N298" s="178"/>
      <c r="O298" s="178"/>
      <c r="P298" s="178"/>
      <c r="Q298" s="178"/>
      <c r="R298" s="178"/>
      <c r="S298" s="178"/>
      <c r="T298" s="178"/>
      <c r="U298" s="178"/>
      <c r="V298" s="178"/>
      <c r="W298" s="55"/>
      <c r="X298" s="55"/>
      <c r="Y298" s="49"/>
      <c r="Z298" s="197"/>
      <c r="AA298" s="52"/>
      <c r="AB298" s="52"/>
      <c r="AC298" s="52"/>
      <c r="AD298" s="52"/>
      <c r="AE298" s="52"/>
      <c r="AF298" s="194"/>
      <c r="AG298" s="65"/>
      <c r="AH298" s="52"/>
      <c r="AI298" s="220"/>
      <c r="AJ298" s="34"/>
    </row>
    <row r="299" spans="1:36" hidden="1">
      <c r="A299" s="39" t="s">
        <v>75</v>
      </c>
      <c r="C299" s="162"/>
      <c r="D299" s="177" t="s">
        <v>785</v>
      </c>
      <c r="E299" s="228"/>
      <c r="F299" s="229"/>
      <c r="G299" s="163" t="s">
        <v>786</v>
      </c>
      <c r="H299" s="164" t="s">
        <v>22</v>
      </c>
      <c r="I299" s="165"/>
      <c r="W299" s="215"/>
      <c r="X299" s="215"/>
      <c r="Y299" s="216"/>
      <c r="Z299" s="217"/>
      <c r="AA299" s="218"/>
      <c r="AB299" s="218"/>
      <c r="AC299" s="218"/>
      <c r="AD299" s="218"/>
      <c r="AE299" s="218"/>
      <c r="AF299" s="219"/>
      <c r="AG299" s="169"/>
      <c r="AH299" s="168"/>
      <c r="AI299" s="222"/>
      <c r="AJ299" s="39"/>
    </row>
    <row r="300" spans="1:36" hidden="1">
      <c r="A300" s="33" t="s">
        <v>75</v>
      </c>
      <c r="B300" s="39" t="s">
        <v>66</v>
      </c>
      <c r="D300" s="87" t="s">
        <v>787</v>
      </c>
      <c r="E300" s="49" t="s">
        <v>69</v>
      </c>
      <c r="F300" s="59"/>
      <c r="G300" s="52" t="s">
        <v>788</v>
      </c>
      <c r="H300" s="54"/>
      <c r="I300" s="54" t="s">
        <v>4</v>
      </c>
      <c r="W300" s="60"/>
      <c r="X300" s="60"/>
      <c r="Y300" s="66"/>
      <c r="Z300" s="199"/>
      <c r="AA300" s="59"/>
      <c r="AB300" s="59"/>
      <c r="AC300" s="59"/>
      <c r="AD300" s="59"/>
      <c r="AE300" s="59"/>
      <c r="AF300" s="62"/>
      <c r="AG300" s="65"/>
      <c r="AI300" s="160"/>
      <c r="AJ300" s="39"/>
    </row>
    <row r="301" spans="1:36" ht="27.6" hidden="1">
      <c r="A301" s="39" t="s">
        <v>75</v>
      </c>
      <c r="C301" s="162"/>
      <c r="D301" s="177" t="s">
        <v>789</v>
      </c>
      <c r="E301" s="228"/>
      <c r="F301" s="229"/>
      <c r="G301" s="163" t="s">
        <v>790</v>
      </c>
      <c r="H301" s="164" t="s">
        <v>22</v>
      </c>
      <c r="I301" s="165"/>
      <c r="W301" s="215"/>
      <c r="X301" s="215"/>
      <c r="Y301" s="216"/>
      <c r="Z301" s="217"/>
      <c r="AA301" s="218"/>
      <c r="AB301" s="218"/>
      <c r="AC301" s="218"/>
      <c r="AD301" s="218"/>
      <c r="AE301" s="218"/>
      <c r="AF301" s="219"/>
      <c r="AG301" s="169"/>
      <c r="AH301" s="168"/>
      <c r="AI301" s="222"/>
      <c r="AJ301" s="39"/>
    </row>
    <row r="302" spans="1:36" s="33" customFormat="1" ht="34.5" hidden="1" customHeight="1">
      <c r="A302" s="33" t="s">
        <v>75</v>
      </c>
      <c r="B302" s="39" t="s">
        <v>326</v>
      </c>
      <c r="C302" s="49"/>
      <c r="D302" s="87" t="s">
        <v>791</v>
      </c>
      <c r="E302" s="49" t="s">
        <v>96</v>
      </c>
      <c r="F302" s="70"/>
      <c r="G302" s="70" t="s">
        <v>792</v>
      </c>
      <c r="H302" s="53"/>
      <c r="I302" s="54" t="s">
        <v>4</v>
      </c>
      <c r="J302" s="178"/>
      <c r="K302" s="178"/>
      <c r="L302" s="178"/>
      <c r="M302" s="178"/>
      <c r="N302" s="178"/>
      <c r="O302" s="178"/>
      <c r="P302" s="178"/>
      <c r="Q302" s="178"/>
      <c r="R302" s="178"/>
      <c r="S302" s="178"/>
      <c r="T302" s="178"/>
      <c r="U302" s="178"/>
      <c r="V302" s="178"/>
      <c r="W302" s="55"/>
      <c r="X302" s="55"/>
      <c r="Y302" s="49"/>
      <c r="Z302" s="197"/>
      <c r="AA302" s="52"/>
      <c r="AB302" s="52"/>
      <c r="AC302" s="52"/>
      <c r="AD302" s="52"/>
      <c r="AE302" s="57"/>
      <c r="AF302" s="194"/>
      <c r="AG302" s="65"/>
      <c r="AH302" s="52"/>
      <c r="AI302" s="220"/>
      <c r="AJ302" s="34"/>
    </row>
    <row r="303" spans="1:36" ht="27.6" hidden="1">
      <c r="A303" s="39" t="s">
        <v>75</v>
      </c>
      <c r="B303" s="39" t="s">
        <v>329</v>
      </c>
      <c r="D303" s="87" t="s">
        <v>793</v>
      </c>
      <c r="E303" s="49" t="s">
        <v>69</v>
      </c>
      <c r="F303" s="70"/>
      <c r="G303" s="70" t="s">
        <v>794</v>
      </c>
      <c r="H303" s="54"/>
      <c r="I303" s="54" t="s">
        <v>71</v>
      </c>
      <c r="W303" s="60"/>
      <c r="X303" s="60"/>
      <c r="Y303" s="66"/>
      <c r="Z303" s="199"/>
      <c r="AA303" s="59"/>
      <c r="AB303" s="59"/>
      <c r="AC303" s="59"/>
      <c r="AD303" s="59"/>
      <c r="AE303" s="62"/>
      <c r="AF303" s="69"/>
      <c r="AG303" s="65"/>
      <c r="AI303" s="220"/>
      <c r="AJ303" s="39"/>
    </row>
    <row r="304" spans="1:36" s="33" customFormat="1" ht="44.25" hidden="1" customHeight="1">
      <c r="A304" s="33" t="s">
        <v>75</v>
      </c>
      <c r="B304" s="39" t="s">
        <v>326</v>
      </c>
      <c r="C304" s="49"/>
      <c r="D304" s="87" t="s">
        <v>795</v>
      </c>
      <c r="E304" s="49" t="s">
        <v>96</v>
      </c>
      <c r="F304" s="52"/>
      <c r="G304" s="52" t="s">
        <v>796</v>
      </c>
      <c r="H304" s="53"/>
      <c r="I304" s="54" t="s">
        <v>4</v>
      </c>
      <c r="J304" s="178"/>
      <c r="K304" s="178"/>
      <c r="L304" s="178"/>
      <c r="M304" s="178"/>
      <c r="N304" s="178"/>
      <c r="O304" s="178"/>
      <c r="P304" s="178"/>
      <c r="Q304" s="178"/>
      <c r="R304" s="178"/>
      <c r="S304" s="178"/>
      <c r="T304" s="178"/>
      <c r="U304" s="178"/>
      <c r="V304" s="178"/>
      <c r="W304" s="55"/>
      <c r="X304" s="55"/>
      <c r="Y304" s="49"/>
      <c r="Z304" s="197"/>
      <c r="AA304" s="52"/>
      <c r="AB304" s="52"/>
      <c r="AC304" s="52"/>
      <c r="AD304" s="52"/>
      <c r="AE304" s="57"/>
      <c r="AF304" s="194"/>
      <c r="AG304" s="65"/>
      <c r="AH304" s="52"/>
      <c r="AI304" s="220"/>
      <c r="AJ304" s="34"/>
    </row>
    <row r="305" spans="1:36" ht="51" hidden="1" customHeight="1">
      <c r="A305" s="39" t="s">
        <v>75</v>
      </c>
      <c r="C305" s="162"/>
      <c r="D305" s="177" t="s">
        <v>797</v>
      </c>
      <c r="E305" s="175"/>
      <c r="F305" s="176"/>
      <c r="G305" s="219" t="s">
        <v>798</v>
      </c>
      <c r="H305" s="164" t="s">
        <v>22</v>
      </c>
      <c r="I305" s="165"/>
      <c r="W305" s="215"/>
      <c r="X305" s="215"/>
      <c r="Y305" s="216"/>
      <c r="Z305" s="217"/>
      <c r="AA305" s="218"/>
      <c r="AB305" s="218"/>
      <c r="AC305" s="218"/>
      <c r="AD305" s="218"/>
      <c r="AE305" s="218"/>
      <c r="AF305" s="219"/>
      <c r="AG305" s="169"/>
      <c r="AH305" s="168"/>
      <c r="AI305" s="222"/>
    </row>
    <row r="306" spans="1:36" s="33" customFormat="1" ht="40.5" hidden="1" customHeight="1">
      <c r="A306" s="33" t="s">
        <v>62</v>
      </c>
      <c r="B306" s="39"/>
      <c r="C306" s="49"/>
      <c r="D306" s="87" t="s">
        <v>799</v>
      </c>
      <c r="E306" s="49" t="s">
        <v>96</v>
      </c>
      <c r="F306" s="70" t="s">
        <v>800</v>
      </c>
      <c r="G306" s="188" t="s">
        <v>801</v>
      </c>
      <c r="H306" s="53"/>
      <c r="I306" s="54"/>
      <c r="J306" s="178"/>
      <c r="K306" s="178"/>
      <c r="L306" s="178"/>
      <c r="M306" s="178"/>
      <c r="N306" s="178"/>
      <c r="O306" s="178"/>
      <c r="P306" s="178"/>
      <c r="Q306" s="178"/>
      <c r="R306" s="178"/>
      <c r="S306" s="178"/>
      <c r="T306" s="178"/>
      <c r="U306" s="178"/>
      <c r="V306" s="178"/>
      <c r="W306" s="55"/>
      <c r="X306" s="55"/>
      <c r="Y306" s="49"/>
      <c r="Z306" s="197"/>
      <c r="AA306" s="52"/>
      <c r="AB306" s="52"/>
      <c r="AC306" s="52"/>
      <c r="AD306" s="52"/>
      <c r="AE306" s="52"/>
      <c r="AF306" s="52"/>
      <c r="AG306" s="65"/>
      <c r="AH306" s="52"/>
      <c r="AI306" s="220"/>
      <c r="AJ306" s="34"/>
    </row>
    <row r="307" spans="1:36" ht="29.1" hidden="1" customHeight="1">
      <c r="A307" s="39" t="s">
        <v>75</v>
      </c>
      <c r="B307" s="39" t="s">
        <v>326</v>
      </c>
      <c r="D307" s="87" t="s">
        <v>802</v>
      </c>
      <c r="E307" s="49" t="s">
        <v>96</v>
      </c>
      <c r="F307" s="72"/>
      <c r="G307" s="72" t="s">
        <v>803</v>
      </c>
      <c r="H307" s="54"/>
      <c r="I307" s="54" t="s">
        <v>71</v>
      </c>
      <c r="W307" s="60"/>
      <c r="X307" s="60"/>
      <c r="Y307" s="66"/>
      <c r="Z307" s="199"/>
      <c r="AA307" s="59"/>
      <c r="AB307" s="59"/>
      <c r="AC307" s="59"/>
      <c r="AD307" s="59"/>
      <c r="AE307" s="59"/>
      <c r="AF307" s="59"/>
      <c r="AG307" s="65"/>
      <c r="AI307" s="63"/>
      <c r="AJ307" s="39"/>
    </row>
    <row r="308" spans="1:36" ht="29.1" hidden="1" customHeight="1">
      <c r="A308" s="39" t="s">
        <v>75</v>
      </c>
      <c r="B308" s="39" t="s">
        <v>326</v>
      </c>
      <c r="D308" s="87" t="s">
        <v>804</v>
      </c>
      <c r="E308" s="49" t="s">
        <v>96</v>
      </c>
      <c r="F308" s="72"/>
      <c r="G308" s="72" t="s">
        <v>805</v>
      </c>
      <c r="H308" s="54"/>
      <c r="I308" s="54" t="s">
        <v>71</v>
      </c>
      <c r="W308" s="60"/>
      <c r="X308" s="60"/>
      <c r="Y308" s="66"/>
      <c r="Z308" s="199"/>
      <c r="AA308" s="59"/>
      <c r="AB308" s="59"/>
      <c r="AC308" s="59"/>
      <c r="AD308" s="59"/>
      <c r="AE308" s="59"/>
      <c r="AF308" s="59"/>
      <c r="AG308" s="65"/>
      <c r="AI308" s="63"/>
      <c r="AJ308" s="39"/>
    </row>
    <row r="309" spans="1:36" ht="114" hidden="1" customHeight="1">
      <c r="A309" s="39" t="s">
        <v>75</v>
      </c>
      <c r="C309" s="162"/>
      <c r="D309" s="177" t="s">
        <v>806</v>
      </c>
      <c r="E309" s="175"/>
      <c r="F309" s="229"/>
      <c r="G309" s="219" t="s">
        <v>807</v>
      </c>
      <c r="H309" s="164" t="s">
        <v>22</v>
      </c>
      <c r="I309" s="165"/>
      <c r="W309" s="215"/>
      <c r="X309" s="215"/>
      <c r="Y309" s="216"/>
      <c r="Z309" s="217"/>
      <c r="AA309" s="218"/>
      <c r="AB309" s="218"/>
      <c r="AC309" s="218"/>
      <c r="AD309" s="218"/>
      <c r="AE309" s="218"/>
      <c r="AF309" s="219"/>
      <c r="AG309" s="169"/>
      <c r="AH309" s="168"/>
      <c r="AI309" s="238"/>
      <c r="AJ309" s="39"/>
    </row>
    <row r="310" spans="1:36" ht="29.1" hidden="1" customHeight="1">
      <c r="A310" s="33" t="s">
        <v>75</v>
      </c>
      <c r="B310" s="39" t="s">
        <v>329</v>
      </c>
      <c r="D310" s="87" t="s">
        <v>808</v>
      </c>
      <c r="E310" s="66" t="s">
        <v>69</v>
      </c>
      <c r="F310" s="54"/>
      <c r="G310" s="59" t="s">
        <v>809</v>
      </c>
      <c r="H310" s="54"/>
      <c r="I310" s="54" t="s">
        <v>810</v>
      </c>
      <c r="W310" s="60"/>
      <c r="X310" s="60"/>
      <c r="Y310" s="66"/>
      <c r="Z310" s="199"/>
      <c r="AA310" s="59"/>
      <c r="AB310" s="59"/>
      <c r="AC310" s="59"/>
      <c r="AD310" s="59"/>
      <c r="AE310" s="62"/>
      <c r="AF310" s="69"/>
      <c r="AG310" s="65"/>
      <c r="AI310" s="63"/>
      <c r="AJ310" s="39"/>
    </row>
    <row r="311" spans="1:36" ht="29.1" hidden="1" customHeight="1">
      <c r="A311" s="39" t="s">
        <v>75</v>
      </c>
      <c r="C311" s="162"/>
      <c r="D311" s="177" t="s">
        <v>811</v>
      </c>
      <c r="E311" s="228"/>
      <c r="F311" s="229"/>
      <c r="G311" s="219" t="s">
        <v>812</v>
      </c>
      <c r="H311" s="164" t="s">
        <v>22</v>
      </c>
      <c r="I311" s="165"/>
      <c r="W311" s="215"/>
      <c r="X311" s="215"/>
      <c r="Y311" s="216"/>
      <c r="Z311" s="217"/>
      <c r="AA311" s="218"/>
      <c r="AB311" s="218"/>
      <c r="AC311" s="218"/>
      <c r="AD311" s="218"/>
      <c r="AE311" s="218"/>
      <c r="AF311" s="219"/>
      <c r="AG311" s="169"/>
      <c r="AH311" s="168"/>
      <c r="AI311" s="238"/>
      <c r="AJ311" s="39"/>
    </row>
    <row r="312" spans="1:36" s="33" customFormat="1" ht="38.1" hidden="1" customHeight="1">
      <c r="A312" s="33" t="s">
        <v>75</v>
      </c>
      <c r="B312" s="39" t="s">
        <v>329</v>
      </c>
      <c r="C312" s="49"/>
      <c r="D312" s="87" t="s">
        <v>813</v>
      </c>
      <c r="E312" s="49" t="s">
        <v>69</v>
      </c>
      <c r="F312" s="51"/>
      <c r="G312" s="52" t="s">
        <v>814</v>
      </c>
      <c r="H312" s="53"/>
      <c r="I312" s="54" t="s">
        <v>810</v>
      </c>
      <c r="J312" s="178"/>
      <c r="K312" s="178"/>
      <c r="L312" s="178"/>
      <c r="M312" s="178"/>
      <c r="N312" s="178"/>
      <c r="O312" s="178"/>
      <c r="P312" s="178"/>
      <c r="Q312" s="178"/>
      <c r="R312" s="178"/>
      <c r="S312" s="178"/>
      <c r="T312" s="178"/>
      <c r="U312" s="178"/>
      <c r="V312" s="178"/>
      <c r="W312" s="55"/>
      <c r="X312" s="55"/>
      <c r="Y312" s="49"/>
      <c r="Z312" s="197"/>
      <c r="AA312" s="52"/>
      <c r="AB312" s="52"/>
      <c r="AC312" s="52"/>
      <c r="AD312" s="52"/>
      <c r="AE312" s="52"/>
      <c r="AF312" s="57"/>
      <c r="AG312" s="65"/>
      <c r="AH312" s="52"/>
      <c r="AI312" s="220"/>
      <c r="AJ312" s="34"/>
    </row>
    <row r="313" spans="1:36" s="78" customFormat="1" ht="127.35" hidden="1" customHeight="1">
      <c r="A313" s="39" t="s">
        <v>75</v>
      </c>
      <c r="B313" s="39"/>
      <c r="C313" s="162"/>
      <c r="D313" s="177" t="s">
        <v>815</v>
      </c>
      <c r="E313" s="228"/>
      <c r="F313" s="229" t="s">
        <v>816</v>
      </c>
      <c r="G313" s="219" t="s">
        <v>817</v>
      </c>
      <c r="H313" s="164" t="s">
        <v>22</v>
      </c>
      <c r="I313" s="165"/>
      <c r="J313" s="178"/>
      <c r="K313" s="178"/>
      <c r="L313" s="178"/>
      <c r="M313" s="178"/>
      <c r="N313" s="178"/>
      <c r="O313" s="178"/>
      <c r="P313" s="178"/>
      <c r="Q313" s="178"/>
      <c r="R313" s="178"/>
      <c r="S313" s="178"/>
      <c r="T313" s="178"/>
      <c r="U313" s="178"/>
      <c r="V313" s="178"/>
      <c r="W313" s="215"/>
      <c r="X313" s="215"/>
      <c r="Y313" s="216"/>
      <c r="Z313" s="217"/>
      <c r="AA313" s="218"/>
      <c r="AB313" s="218"/>
      <c r="AC313" s="218"/>
      <c r="AD313" s="218"/>
      <c r="AE313" s="218"/>
      <c r="AF313" s="219"/>
      <c r="AG313" s="169"/>
      <c r="AH313" s="168"/>
      <c r="AI313" s="238"/>
    </row>
    <row r="314" spans="1:36" s="33" customFormat="1" ht="34.5" hidden="1" customHeight="1">
      <c r="A314" s="33" t="s">
        <v>75</v>
      </c>
      <c r="B314" s="39" t="s">
        <v>421</v>
      </c>
      <c r="C314" s="49"/>
      <c r="D314" s="87" t="s">
        <v>818</v>
      </c>
      <c r="E314" s="49" t="s">
        <v>69</v>
      </c>
      <c r="F314" s="192"/>
      <c r="G314" s="234" t="s">
        <v>819</v>
      </c>
      <c r="H314" s="53"/>
      <c r="I314" s="54" t="s">
        <v>92</v>
      </c>
      <c r="J314" s="178"/>
      <c r="K314" s="178"/>
      <c r="L314" s="178"/>
      <c r="M314" s="178"/>
      <c r="N314" s="178"/>
      <c r="O314" s="178"/>
      <c r="P314" s="178"/>
      <c r="Q314" s="178"/>
      <c r="R314" s="178"/>
      <c r="S314" s="178"/>
      <c r="T314" s="178"/>
      <c r="U314" s="178"/>
      <c r="V314" s="178"/>
      <c r="W314" s="55"/>
      <c r="X314" s="55"/>
      <c r="Y314" s="49"/>
      <c r="Z314" s="197"/>
      <c r="AA314" s="52"/>
      <c r="AB314" s="52"/>
      <c r="AC314" s="52"/>
      <c r="AD314" s="52"/>
      <c r="AE314" s="52"/>
      <c r="AF314" s="52"/>
      <c r="AG314" s="65"/>
      <c r="AH314" s="52"/>
      <c r="AI314" s="220"/>
      <c r="AJ314" s="34"/>
    </row>
    <row r="315" spans="1:36" hidden="1">
      <c r="A315" s="39" t="s">
        <v>75</v>
      </c>
      <c r="B315" s="39" t="s">
        <v>66</v>
      </c>
      <c r="C315" s="66"/>
      <c r="D315" s="87" t="s">
        <v>820</v>
      </c>
      <c r="E315" s="49" t="s">
        <v>69</v>
      </c>
      <c r="F315" s="192"/>
      <c r="G315" s="232" t="s">
        <v>821</v>
      </c>
      <c r="I315" s="54" t="s">
        <v>71</v>
      </c>
      <c r="Z315" s="197"/>
      <c r="AG315" s="65"/>
      <c r="AI315" s="220"/>
    </row>
    <row r="316" spans="1:36" ht="27.6" hidden="1">
      <c r="A316" s="39" t="s">
        <v>75</v>
      </c>
      <c r="B316" s="39" t="s">
        <v>66</v>
      </c>
      <c r="C316" s="66"/>
      <c r="D316" s="87" t="s">
        <v>822</v>
      </c>
      <c r="E316" s="49" t="s">
        <v>69</v>
      </c>
      <c r="F316" s="192"/>
      <c r="G316" s="232" t="s">
        <v>823</v>
      </c>
      <c r="I316" s="54" t="s">
        <v>92</v>
      </c>
      <c r="Z316" s="197"/>
      <c r="AG316" s="65"/>
      <c r="AI316" s="220"/>
    </row>
    <row r="317" spans="1:36" s="291" customFormat="1" ht="34.5" hidden="1" customHeight="1">
      <c r="A317" s="291" t="s">
        <v>75</v>
      </c>
      <c r="B317" s="286" t="s">
        <v>326</v>
      </c>
      <c r="C317" s="287"/>
      <c r="D317" s="288" t="s">
        <v>824</v>
      </c>
      <c r="E317" s="287" t="s">
        <v>96</v>
      </c>
      <c r="F317" s="192"/>
      <c r="G317" s="232" t="s">
        <v>825</v>
      </c>
      <c r="H317" s="212"/>
      <c r="I317" s="289" t="s">
        <v>4</v>
      </c>
      <c r="J317" s="269"/>
      <c r="K317" s="269"/>
      <c r="L317" s="269"/>
      <c r="M317" s="269"/>
      <c r="N317" s="269"/>
      <c r="O317" s="269"/>
      <c r="P317" s="269"/>
      <c r="Q317" s="269"/>
      <c r="R317" s="269"/>
      <c r="S317" s="269"/>
      <c r="T317" s="269"/>
      <c r="U317" s="269"/>
      <c r="V317" s="269"/>
      <c r="W317" s="270"/>
      <c r="X317" s="270"/>
      <c r="Y317" s="267"/>
      <c r="Z317" s="272"/>
      <c r="AA317" s="268"/>
      <c r="AB317" s="268"/>
      <c r="AC317" s="268"/>
      <c r="AD317" s="268"/>
      <c r="AE317" s="268"/>
      <c r="AF317" s="268"/>
      <c r="AG317" s="274"/>
      <c r="AH317" s="268"/>
      <c r="AI317" s="293"/>
      <c r="AJ317" s="292"/>
    </row>
    <row r="318" spans="1:36" hidden="1">
      <c r="A318" s="39" t="s">
        <v>75</v>
      </c>
      <c r="B318" s="39" t="s">
        <v>421</v>
      </c>
      <c r="C318" s="66"/>
      <c r="D318" s="87" t="s">
        <v>826</v>
      </c>
      <c r="E318" s="49" t="s">
        <v>69</v>
      </c>
      <c r="F318" s="192"/>
      <c r="G318" s="232" t="s">
        <v>827</v>
      </c>
      <c r="I318" s="54" t="s">
        <v>92</v>
      </c>
      <c r="Z318" s="197"/>
      <c r="AG318" s="65"/>
      <c r="AI318" s="220"/>
    </row>
    <row r="319" spans="1:36" ht="27.6" hidden="1">
      <c r="A319" s="39" t="s">
        <v>75</v>
      </c>
      <c r="B319" s="39" t="s">
        <v>421</v>
      </c>
      <c r="C319" s="66"/>
      <c r="D319" s="87" t="s">
        <v>828</v>
      </c>
      <c r="E319" s="49" t="s">
        <v>69</v>
      </c>
      <c r="F319" s="70"/>
      <c r="G319" s="233" t="s">
        <v>829</v>
      </c>
      <c r="I319" s="54" t="s">
        <v>92</v>
      </c>
      <c r="Z319" s="197"/>
      <c r="AG319" s="65"/>
      <c r="AI319" s="220"/>
    </row>
    <row r="320" spans="1:36" ht="124.2" hidden="1">
      <c r="A320" s="39" t="s">
        <v>75</v>
      </c>
      <c r="C320" s="162"/>
      <c r="D320" s="177" t="s">
        <v>830</v>
      </c>
      <c r="E320" s="228"/>
      <c r="F320" s="229"/>
      <c r="G320" s="163" t="s">
        <v>831</v>
      </c>
      <c r="H320" s="164" t="s">
        <v>22</v>
      </c>
      <c r="I320" s="165"/>
      <c r="W320" s="215"/>
      <c r="X320" s="215"/>
      <c r="Y320" s="216"/>
      <c r="Z320" s="217"/>
      <c r="AA320" s="218"/>
      <c r="AB320" s="218"/>
      <c r="AC320" s="218"/>
      <c r="AD320" s="218"/>
      <c r="AE320" s="218"/>
      <c r="AF320" s="219"/>
      <c r="AG320" s="169"/>
      <c r="AH320" s="168"/>
      <c r="AI320" s="238"/>
      <c r="AJ320" s="39"/>
    </row>
    <row r="321" spans="1:36" s="33" customFormat="1" ht="54" hidden="1" customHeight="1">
      <c r="A321" s="33" t="s">
        <v>75</v>
      </c>
      <c r="B321" s="39"/>
      <c r="C321" s="49"/>
      <c r="D321" s="87" t="s">
        <v>832</v>
      </c>
      <c r="E321" s="49"/>
      <c r="F321" s="192" t="s">
        <v>833</v>
      </c>
      <c r="G321" s="192" t="s">
        <v>834</v>
      </c>
      <c r="H321" s="184"/>
      <c r="I321" s="54"/>
      <c r="J321" s="178"/>
      <c r="K321" s="178"/>
      <c r="L321" s="178"/>
      <c r="M321" s="178"/>
      <c r="N321" s="178"/>
      <c r="O321" s="178"/>
      <c r="P321" s="178"/>
      <c r="Q321" s="178"/>
      <c r="R321" s="178"/>
      <c r="S321" s="178"/>
      <c r="T321" s="178"/>
      <c r="U321" s="178"/>
      <c r="V321" s="178"/>
      <c r="W321" s="186"/>
      <c r="X321" s="186"/>
      <c r="Y321" s="71"/>
      <c r="Z321" s="197"/>
      <c r="AA321" s="70"/>
      <c r="AB321" s="70"/>
      <c r="AC321" s="70"/>
      <c r="AD321" s="70"/>
      <c r="AE321" s="70"/>
      <c r="AF321" s="188"/>
      <c r="AG321" s="65"/>
      <c r="AH321" s="70"/>
      <c r="AI321" s="239"/>
      <c r="AJ321" s="34"/>
    </row>
    <row r="322" spans="1:36" ht="27.6" hidden="1">
      <c r="A322" s="39" t="s">
        <v>75</v>
      </c>
      <c r="B322" s="39" t="s">
        <v>326</v>
      </c>
      <c r="D322" s="87" t="s">
        <v>835</v>
      </c>
      <c r="E322" s="49" t="s">
        <v>96</v>
      </c>
      <c r="F322" s="70"/>
      <c r="G322" s="70" t="s">
        <v>836</v>
      </c>
      <c r="H322" s="73"/>
      <c r="I322" s="54" t="s">
        <v>4</v>
      </c>
      <c r="W322" s="74"/>
      <c r="X322" s="74"/>
      <c r="Y322" s="75"/>
      <c r="Z322" s="199"/>
      <c r="AA322" s="72"/>
      <c r="AB322" s="72"/>
      <c r="AC322" s="72"/>
      <c r="AD322" s="72"/>
      <c r="AE322" s="72"/>
      <c r="AF322" s="76"/>
      <c r="AG322" s="65"/>
      <c r="AH322" s="70"/>
      <c r="AI322" s="77"/>
    </row>
    <row r="323" spans="1:36" s="78" customFormat="1" hidden="1">
      <c r="A323" s="161" t="s">
        <v>75</v>
      </c>
      <c r="B323" s="78" t="s">
        <v>326</v>
      </c>
      <c r="C323" s="71"/>
      <c r="D323" s="183" t="s">
        <v>837</v>
      </c>
      <c r="E323" s="71" t="s">
        <v>96</v>
      </c>
      <c r="F323" s="70"/>
      <c r="G323" s="70" t="s">
        <v>838</v>
      </c>
      <c r="H323" s="73"/>
      <c r="I323" s="73" t="s">
        <v>71</v>
      </c>
      <c r="J323" s="185"/>
      <c r="K323" s="185"/>
      <c r="L323" s="185"/>
      <c r="M323" s="185"/>
      <c r="N323" s="185"/>
      <c r="O323" s="185"/>
      <c r="P323" s="185"/>
      <c r="Q323" s="185"/>
      <c r="R323" s="185"/>
      <c r="S323" s="185"/>
      <c r="T323" s="185"/>
      <c r="U323" s="185"/>
      <c r="V323" s="185"/>
      <c r="W323" s="74"/>
      <c r="X323" s="74"/>
      <c r="Y323" s="75"/>
      <c r="Z323" s="199"/>
      <c r="AA323" s="72"/>
      <c r="AB323" s="72"/>
      <c r="AC323" s="72"/>
      <c r="AD323" s="72"/>
      <c r="AE323" s="72"/>
      <c r="AF323" s="76"/>
      <c r="AG323" s="65"/>
      <c r="AH323" s="70"/>
      <c r="AI323" s="77"/>
      <c r="AJ323" s="211"/>
    </row>
    <row r="324" spans="1:36" s="33" customFormat="1" ht="34.5" hidden="1" customHeight="1">
      <c r="A324" s="39" t="s">
        <v>75</v>
      </c>
      <c r="B324" s="39" t="s">
        <v>326</v>
      </c>
      <c r="C324" s="49"/>
      <c r="D324" s="87" t="s">
        <v>839</v>
      </c>
      <c r="E324" s="49" t="s">
        <v>96</v>
      </c>
      <c r="F324" s="70"/>
      <c r="G324" s="70" t="s">
        <v>840</v>
      </c>
      <c r="H324" s="184"/>
      <c r="I324" s="54" t="s">
        <v>4</v>
      </c>
      <c r="J324" s="178"/>
      <c r="K324" s="178"/>
      <c r="L324" s="178"/>
      <c r="M324" s="178"/>
      <c r="N324" s="178"/>
      <c r="O324" s="178"/>
      <c r="P324" s="178"/>
      <c r="Q324" s="178"/>
      <c r="R324" s="178"/>
      <c r="S324" s="178"/>
      <c r="T324" s="178"/>
      <c r="U324" s="178"/>
      <c r="V324" s="178"/>
      <c r="W324" s="186"/>
      <c r="X324" s="186"/>
      <c r="Y324" s="71"/>
      <c r="Z324" s="197"/>
      <c r="AA324" s="70"/>
      <c r="AB324" s="70"/>
      <c r="AC324" s="70"/>
      <c r="AD324" s="70"/>
      <c r="AE324" s="70"/>
      <c r="AF324" s="188"/>
      <c r="AG324" s="65"/>
      <c r="AH324" s="70"/>
      <c r="AI324" s="63"/>
      <c r="AJ324" s="34"/>
    </row>
    <row r="325" spans="1:36" hidden="1">
      <c r="A325" s="39" t="s">
        <v>75</v>
      </c>
      <c r="B325" s="39" t="s">
        <v>326</v>
      </c>
      <c r="D325" s="87" t="s">
        <v>841</v>
      </c>
      <c r="E325" s="49" t="s">
        <v>96</v>
      </c>
      <c r="F325" s="70"/>
      <c r="G325" s="70" t="s">
        <v>842</v>
      </c>
      <c r="H325" s="73"/>
      <c r="I325" s="54" t="s">
        <v>71</v>
      </c>
      <c r="W325" s="74"/>
      <c r="X325" s="74"/>
      <c r="Y325" s="75"/>
      <c r="Z325" s="199"/>
      <c r="AA325" s="72"/>
      <c r="AB325" s="72"/>
      <c r="AC325" s="72"/>
      <c r="AD325" s="72"/>
      <c r="AE325" s="72"/>
      <c r="AF325" s="76"/>
      <c r="AG325" s="65"/>
      <c r="AH325" s="70"/>
      <c r="AI325" s="77"/>
    </row>
    <row r="326" spans="1:36" ht="41.4" hidden="1">
      <c r="A326" s="39" t="s">
        <v>75</v>
      </c>
      <c r="C326" s="162"/>
      <c r="D326" s="177" t="s">
        <v>843</v>
      </c>
      <c r="E326" s="175"/>
      <c r="F326" s="176"/>
      <c r="G326" s="163" t="s">
        <v>844</v>
      </c>
      <c r="H326" s="164" t="s">
        <v>22</v>
      </c>
      <c r="I326" s="165"/>
      <c r="W326" s="215"/>
      <c r="X326" s="215"/>
      <c r="Y326" s="216"/>
      <c r="Z326" s="217"/>
      <c r="AA326" s="218"/>
      <c r="AB326" s="218"/>
      <c r="AC326" s="218"/>
      <c r="AD326" s="218"/>
      <c r="AE326" s="218"/>
      <c r="AF326" s="219"/>
      <c r="AG326" s="169"/>
      <c r="AH326" s="168"/>
      <c r="AI326" s="238"/>
    </row>
    <row r="327" spans="1:36" s="33" customFormat="1" ht="34.5" hidden="1" customHeight="1">
      <c r="A327" s="33" t="s">
        <v>75</v>
      </c>
      <c r="B327" s="39" t="s">
        <v>326</v>
      </c>
      <c r="C327" s="49"/>
      <c r="D327" s="87" t="s">
        <v>845</v>
      </c>
      <c r="E327" s="49" t="s">
        <v>96</v>
      </c>
      <c r="F327" s="231"/>
      <c r="G327" s="52" t="s">
        <v>846</v>
      </c>
      <c r="H327" s="53"/>
      <c r="I327" s="54" t="s">
        <v>4</v>
      </c>
      <c r="J327" s="178"/>
      <c r="K327" s="178"/>
      <c r="L327" s="178"/>
      <c r="M327" s="178"/>
      <c r="N327" s="178"/>
      <c r="O327" s="178"/>
      <c r="P327" s="178"/>
      <c r="Q327" s="178"/>
      <c r="R327" s="178"/>
      <c r="S327" s="178"/>
      <c r="T327" s="178"/>
      <c r="U327" s="178"/>
      <c r="V327" s="178"/>
      <c r="W327" s="55"/>
      <c r="X327" s="55"/>
      <c r="Y327" s="49"/>
      <c r="Z327" s="197"/>
      <c r="AA327" s="52"/>
      <c r="AB327" s="52"/>
      <c r="AC327" s="52"/>
      <c r="AD327" s="52"/>
      <c r="AE327" s="52"/>
      <c r="AF327" s="194"/>
      <c r="AG327" s="65"/>
      <c r="AH327" s="52"/>
      <c r="AI327" s="220"/>
      <c r="AJ327" s="34"/>
    </row>
    <row r="328" spans="1:36" hidden="1">
      <c r="A328" s="39" t="s">
        <v>75</v>
      </c>
      <c r="B328" s="39" t="s">
        <v>326</v>
      </c>
      <c r="D328" s="87" t="s">
        <v>847</v>
      </c>
      <c r="E328" s="49" t="s">
        <v>96</v>
      </c>
      <c r="F328" s="231"/>
      <c r="G328" s="70" t="s">
        <v>848</v>
      </c>
      <c r="H328" s="54"/>
      <c r="I328" s="54" t="s">
        <v>4</v>
      </c>
      <c r="W328" s="60"/>
      <c r="X328" s="60"/>
      <c r="Y328" s="66"/>
      <c r="Z328" s="199"/>
      <c r="AA328" s="59"/>
      <c r="AB328" s="59"/>
      <c r="AC328" s="59"/>
      <c r="AD328" s="59"/>
      <c r="AE328" s="59"/>
      <c r="AF328" s="69"/>
      <c r="AG328" s="65"/>
      <c r="AI328" s="220"/>
      <c r="AJ328" s="39"/>
    </row>
    <row r="329" spans="1:36" s="33" customFormat="1" ht="34.5" hidden="1" customHeight="1">
      <c r="A329" s="39" t="s">
        <v>75</v>
      </c>
      <c r="B329" s="39"/>
      <c r="C329" s="162"/>
      <c r="D329" s="177" t="s">
        <v>849</v>
      </c>
      <c r="E329" s="175"/>
      <c r="F329" s="176"/>
      <c r="G329" s="163" t="s">
        <v>850</v>
      </c>
      <c r="H329" s="164" t="s">
        <v>22</v>
      </c>
      <c r="I329" s="165"/>
      <c r="J329" s="178"/>
      <c r="K329" s="178"/>
      <c r="L329" s="178"/>
      <c r="M329" s="178"/>
      <c r="N329" s="178"/>
      <c r="O329" s="178"/>
      <c r="P329" s="178"/>
      <c r="Q329" s="178"/>
      <c r="R329" s="178"/>
      <c r="S329" s="178"/>
      <c r="T329" s="178"/>
      <c r="U329" s="178"/>
      <c r="V329" s="178"/>
      <c r="W329" s="166"/>
      <c r="X329" s="166"/>
      <c r="Y329" s="167"/>
      <c r="Z329" s="196"/>
      <c r="AA329" s="168"/>
      <c r="AB329" s="168"/>
      <c r="AC329" s="168"/>
      <c r="AD329" s="168"/>
      <c r="AE329" s="168"/>
      <c r="AF329" s="163"/>
      <c r="AG329" s="169"/>
      <c r="AH329" s="168"/>
      <c r="AI329" s="170"/>
      <c r="AJ329" s="34"/>
    </row>
    <row r="330" spans="1:36" hidden="1">
      <c r="A330" s="39" t="s">
        <v>75</v>
      </c>
      <c r="B330" s="39" t="s">
        <v>326</v>
      </c>
      <c r="D330" s="87" t="s">
        <v>851</v>
      </c>
      <c r="E330" s="49" t="s">
        <v>96</v>
      </c>
      <c r="F330" s="51"/>
      <c r="G330" s="52" t="s">
        <v>852</v>
      </c>
      <c r="H330" s="54"/>
      <c r="I330" s="54" t="s">
        <v>71</v>
      </c>
      <c r="W330" s="60"/>
      <c r="X330" s="60"/>
      <c r="Y330" s="66"/>
      <c r="Z330" s="199"/>
      <c r="AA330" s="59"/>
      <c r="AB330" s="59"/>
      <c r="AC330" s="59"/>
      <c r="AD330" s="59"/>
      <c r="AE330" s="62"/>
      <c r="AF330" s="69"/>
      <c r="AG330" s="65"/>
      <c r="AI330" s="220"/>
    </row>
    <row r="331" spans="1:36" s="33" customFormat="1" ht="34.5" hidden="1" customHeight="1">
      <c r="A331" s="39" t="s">
        <v>75</v>
      </c>
      <c r="B331" s="39"/>
      <c r="C331" s="49"/>
      <c r="D331" s="87" t="s">
        <v>851</v>
      </c>
      <c r="E331" s="87"/>
      <c r="F331" s="191" t="s">
        <v>853</v>
      </c>
      <c r="G331" s="192" t="s">
        <v>854</v>
      </c>
      <c r="H331" s="53"/>
      <c r="I331" s="54"/>
      <c r="J331" s="178"/>
      <c r="K331" s="178"/>
      <c r="L331" s="178"/>
      <c r="M331" s="178"/>
      <c r="N331" s="178"/>
      <c r="O331" s="178"/>
      <c r="P331" s="178"/>
      <c r="Q331" s="178"/>
      <c r="R331" s="178"/>
      <c r="S331" s="178"/>
      <c r="T331" s="178"/>
      <c r="U331" s="178"/>
      <c r="V331" s="178"/>
      <c r="W331" s="55"/>
      <c r="X331" s="55"/>
      <c r="Y331" s="49"/>
      <c r="Z331" s="197"/>
      <c r="AA331" s="52"/>
      <c r="AB331" s="52"/>
      <c r="AC331" s="52"/>
      <c r="AD331" s="52"/>
      <c r="AE331" s="57"/>
      <c r="AF331" s="194"/>
      <c r="AG331" s="65"/>
      <c r="AH331" s="52"/>
      <c r="AI331" s="220"/>
      <c r="AJ331" s="34"/>
    </row>
    <row r="332" spans="1:36" ht="15.6" hidden="1" customHeight="1">
      <c r="A332" s="39" t="s">
        <v>75</v>
      </c>
      <c r="C332" s="162"/>
      <c r="D332" s="177" t="s">
        <v>855</v>
      </c>
      <c r="E332" s="228"/>
      <c r="F332" s="229"/>
      <c r="G332" s="163" t="s">
        <v>856</v>
      </c>
      <c r="H332" s="164" t="s">
        <v>22</v>
      </c>
      <c r="I332" s="165"/>
      <c r="W332" s="215"/>
      <c r="X332" s="215"/>
      <c r="Y332" s="216"/>
      <c r="Z332" s="217"/>
      <c r="AA332" s="218"/>
      <c r="AB332" s="218"/>
      <c r="AC332" s="218"/>
      <c r="AD332" s="218"/>
      <c r="AE332" s="218"/>
      <c r="AF332" s="219"/>
      <c r="AG332" s="169"/>
      <c r="AH332" s="168"/>
      <c r="AI332" s="238"/>
    </row>
    <row r="333" spans="1:36" s="33" customFormat="1" ht="34.5" hidden="1" customHeight="1">
      <c r="A333" s="33" t="s">
        <v>75</v>
      </c>
      <c r="B333" s="39" t="s">
        <v>326</v>
      </c>
      <c r="C333" s="49"/>
      <c r="D333" s="87" t="s">
        <v>857</v>
      </c>
      <c r="E333" s="49" t="s">
        <v>96</v>
      </c>
      <c r="F333" s="51"/>
      <c r="G333" s="213" t="s">
        <v>858</v>
      </c>
      <c r="H333" s="53"/>
      <c r="I333" s="54" t="s">
        <v>4</v>
      </c>
      <c r="J333" s="178"/>
      <c r="K333" s="178"/>
      <c r="L333" s="178"/>
      <c r="M333" s="178"/>
      <c r="N333" s="178"/>
      <c r="O333" s="178"/>
      <c r="P333" s="178"/>
      <c r="Q333" s="178"/>
      <c r="R333" s="178"/>
      <c r="S333" s="178"/>
      <c r="T333" s="178"/>
      <c r="U333" s="178"/>
      <c r="V333" s="178"/>
      <c r="W333" s="55"/>
      <c r="X333" s="55"/>
      <c r="Y333" s="49"/>
      <c r="Z333" s="197"/>
      <c r="AA333" s="52"/>
      <c r="AB333" s="52"/>
      <c r="AC333" s="52"/>
      <c r="AD333" s="52"/>
      <c r="AE333" s="57"/>
      <c r="AF333" s="194"/>
      <c r="AG333" s="65"/>
      <c r="AH333" s="52"/>
      <c r="AI333" s="220"/>
      <c r="AJ333" s="34"/>
    </row>
    <row r="334" spans="1:36" s="33" customFormat="1" ht="34.5" hidden="1" customHeight="1">
      <c r="A334" s="33" t="s">
        <v>75</v>
      </c>
      <c r="B334" s="39"/>
      <c r="C334" s="49"/>
      <c r="D334" s="87" t="s">
        <v>859</v>
      </c>
      <c r="E334" s="87"/>
      <c r="F334" s="191" t="s">
        <v>800</v>
      </c>
      <c r="G334" s="192" t="s">
        <v>860</v>
      </c>
      <c r="H334" s="53"/>
      <c r="I334" s="54"/>
      <c r="J334" s="178"/>
      <c r="K334" s="178"/>
      <c r="L334" s="178"/>
      <c r="M334" s="178"/>
      <c r="N334" s="178"/>
      <c r="O334" s="178"/>
      <c r="P334" s="178"/>
      <c r="Q334" s="178"/>
      <c r="R334" s="178"/>
      <c r="S334" s="178"/>
      <c r="T334" s="178"/>
      <c r="U334" s="178"/>
      <c r="V334" s="178"/>
      <c r="W334" s="55"/>
      <c r="X334" s="55"/>
      <c r="Y334" s="49"/>
      <c r="Z334" s="197"/>
      <c r="AA334" s="52"/>
      <c r="AB334" s="52"/>
      <c r="AC334" s="52"/>
      <c r="AD334" s="52"/>
      <c r="AE334" s="57"/>
      <c r="AF334" s="194"/>
      <c r="AG334" s="65"/>
      <c r="AH334" s="52"/>
      <c r="AI334" s="220"/>
      <c r="AJ334" s="34"/>
    </row>
    <row r="335" spans="1:36" hidden="1">
      <c r="A335" s="39" t="s">
        <v>75</v>
      </c>
      <c r="C335" s="162"/>
      <c r="D335" s="177" t="s">
        <v>861</v>
      </c>
      <c r="E335" s="228"/>
      <c r="F335" s="229"/>
      <c r="G335" s="163" t="s">
        <v>862</v>
      </c>
      <c r="H335" s="164" t="s">
        <v>22</v>
      </c>
      <c r="I335" s="165"/>
      <c r="W335" s="215"/>
      <c r="X335" s="215"/>
      <c r="Y335" s="216"/>
      <c r="Z335" s="217"/>
      <c r="AA335" s="218"/>
      <c r="AB335" s="218"/>
      <c r="AC335" s="218"/>
      <c r="AD335" s="218"/>
      <c r="AE335" s="218"/>
      <c r="AF335" s="219"/>
      <c r="AG335" s="169"/>
      <c r="AH335" s="168"/>
      <c r="AI335" s="238"/>
    </row>
    <row r="336" spans="1:36" s="78" customFormat="1" hidden="1">
      <c r="A336" s="39" t="s">
        <v>75</v>
      </c>
      <c r="B336" s="39" t="s">
        <v>326</v>
      </c>
      <c r="C336" s="49"/>
      <c r="D336" s="87" t="s">
        <v>863</v>
      </c>
      <c r="E336" s="66" t="s">
        <v>96</v>
      </c>
      <c r="F336" s="68"/>
      <c r="G336" s="52" t="s">
        <v>864</v>
      </c>
      <c r="H336" s="54"/>
      <c r="I336" s="54" t="s">
        <v>4</v>
      </c>
      <c r="J336" s="178"/>
      <c r="K336" s="178"/>
      <c r="L336" s="178"/>
      <c r="M336" s="178"/>
      <c r="N336" s="178"/>
      <c r="O336" s="178"/>
      <c r="P336" s="178"/>
      <c r="Q336" s="178"/>
      <c r="R336" s="178"/>
      <c r="S336" s="178"/>
      <c r="T336" s="178"/>
      <c r="U336" s="178"/>
      <c r="V336" s="178"/>
      <c r="W336" s="60"/>
      <c r="X336" s="60"/>
      <c r="Y336" s="66"/>
      <c r="Z336" s="199"/>
      <c r="AA336" s="59"/>
      <c r="AB336" s="59"/>
      <c r="AC336" s="59"/>
      <c r="AD336" s="59"/>
      <c r="AE336" s="59"/>
      <c r="AF336" s="69"/>
      <c r="AG336" s="65"/>
      <c r="AH336" s="52"/>
      <c r="AI336" s="220"/>
      <c r="AJ336" s="211"/>
    </row>
    <row r="337" spans="1:36" s="33" customFormat="1" ht="59.25" hidden="1" customHeight="1">
      <c r="A337" s="39" t="s">
        <v>75</v>
      </c>
      <c r="B337" s="39"/>
      <c r="C337" s="162"/>
      <c r="D337" s="177" t="s">
        <v>865</v>
      </c>
      <c r="E337" s="175"/>
      <c r="F337" s="176"/>
      <c r="G337" s="163" t="s">
        <v>866</v>
      </c>
      <c r="H337" s="164" t="s">
        <v>22</v>
      </c>
      <c r="I337" s="165"/>
      <c r="J337" s="178"/>
      <c r="K337" s="178"/>
      <c r="L337" s="178"/>
      <c r="M337" s="178"/>
      <c r="N337" s="178"/>
      <c r="O337" s="178"/>
      <c r="P337" s="178"/>
      <c r="Q337" s="178"/>
      <c r="R337" s="178"/>
      <c r="S337" s="178"/>
      <c r="T337" s="178"/>
      <c r="U337" s="178"/>
      <c r="V337" s="178"/>
      <c r="W337" s="166"/>
      <c r="X337" s="166"/>
      <c r="Y337" s="167"/>
      <c r="Z337" s="196"/>
      <c r="AA337" s="168"/>
      <c r="AB337" s="168"/>
      <c r="AC337" s="168"/>
      <c r="AD337" s="168"/>
      <c r="AE337" s="168"/>
      <c r="AF337" s="163"/>
      <c r="AG337" s="169"/>
      <c r="AH337" s="168"/>
      <c r="AI337" s="170"/>
      <c r="AJ337" s="34"/>
    </row>
    <row r="338" spans="1:36" s="286" customFormat="1" ht="29.1" hidden="1" customHeight="1">
      <c r="A338" s="291" t="s">
        <v>75</v>
      </c>
      <c r="B338" s="286" t="s">
        <v>326</v>
      </c>
      <c r="C338" s="287"/>
      <c r="D338" s="288" t="s">
        <v>867</v>
      </c>
      <c r="E338" s="294" t="s">
        <v>96</v>
      </c>
      <c r="F338" s="295"/>
      <c r="G338" s="192" t="s">
        <v>868</v>
      </c>
      <c r="H338" s="289"/>
      <c r="I338" s="289" t="s">
        <v>4</v>
      </c>
      <c r="J338" s="269"/>
      <c r="K338" s="269"/>
      <c r="L338" s="269"/>
      <c r="M338" s="269"/>
      <c r="N338" s="269"/>
      <c r="O338" s="269"/>
      <c r="P338" s="269"/>
      <c r="Q338" s="269"/>
      <c r="R338" s="269"/>
      <c r="S338" s="269"/>
      <c r="T338" s="269"/>
      <c r="U338" s="269"/>
      <c r="V338" s="269"/>
      <c r="W338" s="278"/>
      <c r="X338" s="278"/>
      <c r="Y338" s="282"/>
      <c r="Z338" s="277"/>
      <c r="AA338" s="280"/>
      <c r="AB338" s="280"/>
      <c r="AC338" s="280"/>
      <c r="AD338" s="280"/>
      <c r="AE338" s="280"/>
      <c r="AF338" s="281"/>
      <c r="AG338" s="274"/>
      <c r="AH338" s="268"/>
      <c r="AI338" s="293"/>
      <c r="AJ338" s="296"/>
    </row>
    <row r="339" spans="1:36" hidden="1">
      <c r="A339" s="39" t="s">
        <v>75</v>
      </c>
      <c r="C339" s="162"/>
      <c r="D339" s="177" t="s">
        <v>869</v>
      </c>
      <c r="E339" s="228"/>
      <c r="F339" s="229"/>
      <c r="G339" s="163" t="s">
        <v>870</v>
      </c>
      <c r="H339" s="164" t="s">
        <v>22</v>
      </c>
      <c r="I339" s="165"/>
      <c r="W339" s="215"/>
      <c r="X339" s="215"/>
      <c r="Y339" s="216"/>
      <c r="Z339" s="217"/>
      <c r="AA339" s="218"/>
      <c r="AB339" s="218"/>
      <c r="AC339" s="218"/>
      <c r="AD339" s="218"/>
      <c r="AE339" s="218"/>
      <c r="AF339" s="219"/>
      <c r="AG339" s="169"/>
      <c r="AH339" s="168"/>
      <c r="AI339" s="238"/>
    </row>
    <row r="340" spans="1:36" s="33" customFormat="1" ht="45.75" hidden="1" customHeight="1">
      <c r="A340" s="33" t="s">
        <v>75</v>
      </c>
      <c r="B340" s="39" t="s">
        <v>326</v>
      </c>
      <c r="C340" s="49"/>
      <c r="D340" s="87" t="s">
        <v>871</v>
      </c>
      <c r="E340" s="49" t="s">
        <v>96</v>
      </c>
      <c r="F340" s="51"/>
      <c r="G340" s="52" t="s">
        <v>872</v>
      </c>
      <c r="H340" s="53"/>
      <c r="I340" s="54" t="s">
        <v>4</v>
      </c>
      <c r="J340" s="178"/>
      <c r="K340" s="178"/>
      <c r="L340" s="178"/>
      <c r="M340" s="178"/>
      <c r="N340" s="178"/>
      <c r="O340" s="178"/>
      <c r="P340" s="178"/>
      <c r="Q340" s="178"/>
      <c r="R340" s="178"/>
      <c r="S340" s="178"/>
      <c r="T340" s="178"/>
      <c r="U340" s="178"/>
      <c r="V340" s="178"/>
      <c r="W340" s="55"/>
      <c r="X340" s="55"/>
      <c r="Y340" s="49"/>
      <c r="Z340" s="197"/>
      <c r="AA340" s="52"/>
      <c r="AB340" s="52"/>
      <c r="AC340" s="52"/>
      <c r="AD340" s="52"/>
      <c r="AE340" s="52"/>
      <c r="AF340" s="194"/>
      <c r="AG340" s="65"/>
      <c r="AH340" s="52"/>
      <c r="AI340" s="220"/>
      <c r="AJ340" s="34"/>
    </row>
    <row r="341" spans="1:36" hidden="1">
      <c r="A341" s="39" t="s">
        <v>75</v>
      </c>
      <c r="C341" s="162"/>
      <c r="D341" s="177" t="s">
        <v>873</v>
      </c>
      <c r="E341" s="228"/>
      <c r="F341" s="229"/>
      <c r="G341" s="219" t="s">
        <v>874</v>
      </c>
      <c r="H341" s="164" t="s">
        <v>22</v>
      </c>
      <c r="I341" s="165"/>
      <c r="W341" s="215"/>
      <c r="X341" s="215"/>
      <c r="Y341" s="216"/>
      <c r="Z341" s="217"/>
      <c r="AA341" s="218"/>
      <c r="AB341" s="218"/>
      <c r="AC341" s="218"/>
      <c r="AD341" s="218"/>
      <c r="AE341" s="218"/>
      <c r="AF341" s="219"/>
      <c r="AG341" s="169"/>
      <c r="AH341" s="168"/>
      <c r="AI341" s="238"/>
      <c r="AJ341" s="39"/>
    </row>
    <row r="342" spans="1:36" hidden="1">
      <c r="A342" s="33" t="s">
        <v>75</v>
      </c>
      <c r="B342" s="39" t="s">
        <v>326</v>
      </c>
      <c r="D342" s="87" t="s">
        <v>875</v>
      </c>
      <c r="E342" s="49" t="s">
        <v>96</v>
      </c>
      <c r="F342" s="243" t="s">
        <v>800</v>
      </c>
      <c r="G342" s="243" t="s">
        <v>876</v>
      </c>
      <c r="H342" s="54"/>
      <c r="I342" s="54" t="s">
        <v>71</v>
      </c>
      <c r="W342" s="60"/>
      <c r="X342" s="60"/>
      <c r="Y342" s="66"/>
      <c r="Z342" s="199"/>
      <c r="AA342" s="59"/>
      <c r="AB342" s="59"/>
      <c r="AC342" s="59"/>
      <c r="AD342" s="59"/>
      <c r="AE342" s="59"/>
      <c r="AF342" s="62"/>
      <c r="AG342" s="65"/>
      <c r="AI342" s="220"/>
      <c r="AJ342" s="39"/>
    </row>
    <row r="343" spans="1:36" s="33" customFormat="1" ht="40.35" hidden="1" customHeight="1">
      <c r="A343" s="39" t="s">
        <v>75</v>
      </c>
      <c r="B343" s="39" t="s">
        <v>326</v>
      </c>
      <c r="C343" s="71"/>
      <c r="D343" s="183" t="s">
        <v>877</v>
      </c>
      <c r="E343" s="49" t="s">
        <v>96</v>
      </c>
      <c r="F343" s="70"/>
      <c r="G343" s="70" t="s">
        <v>878</v>
      </c>
      <c r="H343" s="184"/>
      <c r="I343" s="73" t="s">
        <v>71</v>
      </c>
      <c r="J343" s="185"/>
      <c r="K343" s="185"/>
      <c r="L343" s="185"/>
      <c r="M343" s="185"/>
      <c r="N343" s="185"/>
      <c r="O343" s="185"/>
      <c r="P343" s="185"/>
      <c r="Q343" s="185"/>
      <c r="R343" s="185"/>
      <c r="S343" s="185"/>
      <c r="T343" s="185"/>
      <c r="U343" s="185"/>
      <c r="V343" s="185"/>
      <c r="W343" s="186"/>
      <c r="X343" s="186"/>
      <c r="Y343" s="71"/>
      <c r="Z343" s="197"/>
      <c r="AA343" s="70"/>
      <c r="AB343" s="70"/>
      <c r="AC343" s="70"/>
      <c r="AD343" s="70"/>
      <c r="AE343" s="70"/>
      <c r="AF343" s="188"/>
      <c r="AG343" s="65"/>
      <c r="AH343" s="70"/>
      <c r="AI343" s="220"/>
      <c r="AJ343" s="34"/>
    </row>
    <row r="344" spans="1:36" s="78" customFormat="1" ht="41.4" hidden="1">
      <c r="A344" s="33" t="s">
        <v>75</v>
      </c>
      <c r="B344" s="39"/>
      <c r="C344" s="162"/>
      <c r="D344" s="177" t="s">
        <v>879</v>
      </c>
      <c r="E344" s="228"/>
      <c r="F344" s="229"/>
      <c r="G344" s="219" t="s">
        <v>880</v>
      </c>
      <c r="H344" s="164" t="s">
        <v>22</v>
      </c>
      <c r="I344" s="165"/>
      <c r="J344" s="178"/>
      <c r="K344" s="178"/>
      <c r="L344" s="178"/>
      <c r="M344" s="178"/>
      <c r="N344" s="178"/>
      <c r="O344" s="178"/>
      <c r="P344" s="178"/>
      <c r="Q344" s="178"/>
      <c r="R344" s="178"/>
      <c r="S344" s="178"/>
      <c r="T344" s="178"/>
      <c r="U344" s="178"/>
      <c r="V344" s="178"/>
      <c r="W344" s="215"/>
      <c r="X344" s="215"/>
      <c r="Y344" s="216"/>
      <c r="Z344" s="217"/>
      <c r="AA344" s="218"/>
      <c r="AB344" s="218"/>
      <c r="AC344" s="218"/>
      <c r="AD344" s="218"/>
      <c r="AE344" s="218"/>
      <c r="AF344" s="219"/>
      <c r="AG344" s="169"/>
      <c r="AH344" s="168"/>
      <c r="AI344" s="238"/>
    </row>
    <row r="345" spans="1:36" s="78" customFormat="1" hidden="1">
      <c r="A345" s="39" t="s">
        <v>75</v>
      </c>
      <c r="B345" s="39" t="s">
        <v>326</v>
      </c>
      <c r="C345" s="49"/>
      <c r="D345" s="87" t="s">
        <v>881</v>
      </c>
      <c r="E345" s="49" t="s">
        <v>96</v>
      </c>
      <c r="F345" s="68"/>
      <c r="G345" s="72" t="s">
        <v>882</v>
      </c>
      <c r="H345" s="54"/>
      <c r="I345" s="54" t="s">
        <v>4</v>
      </c>
      <c r="J345" s="178"/>
      <c r="K345" s="178"/>
      <c r="L345" s="178"/>
      <c r="M345" s="178"/>
      <c r="N345" s="178"/>
      <c r="O345" s="178"/>
      <c r="P345" s="178"/>
      <c r="Q345" s="178"/>
      <c r="R345" s="178"/>
      <c r="S345" s="178"/>
      <c r="T345" s="178"/>
      <c r="U345" s="178"/>
      <c r="V345" s="178"/>
      <c r="W345" s="60"/>
      <c r="X345" s="60"/>
      <c r="Y345" s="66"/>
      <c r="Z345" s="199"/>
      <c r="AA345" s="59"/>
      <c r="AB345" s="59"/>
      <c r="AC345" s="59"/>
      <c r="AD345" s="59"/>
      <c r="AE345" s="59"/>
      <c r="AF345" s="69"/>
      <c r="AG345" s="65"/>
      <c r="AH345" s="52"/>
      <c r="AI345" s="220"/>
    </row>
    <row r="346" spans="1:36" s="78" customFormat="1" hidden="1">
      <c r="A346" s="39" t="s">
        <v>75</v>
      </c>
      <c r="B346" s="39" t="s">
        <v>326</v>
      </c>
      <c r="C346" s="49"/>
      <c r="D346" s="87" t="s">
        <v>883</v>
      </c>
      <c r="E346" s="49" t="s">
        <v>96</v>
      </c>
      <c r="F346" s="68"/>
      <c r="G346" s="59" t="s">
        <v>884</v>
      </c>
      <c r="H346" s="54"/>
      <c r="I346" s="54" t="s">
        <v>4</v>
      </c>
      <c r="J346" s="178"/>
      <c r="K346" s="178"/>
      <c r="L346" s="178"/>
      <c r="M346" s="178"/>
      <c r="N346" s="178"/>
      <c r="O346" s="178"/>
      <c r="P346" s="178"/>
      <c r="Q346" s="178"/>
      <c r="R346" s="178"/>
      <c r="S346" s="178"/>
      <c r="T346" s="178"/>
      <c r="U346" s="178"/>
      <c r="V346" s="178"/>
      <c r="W346" s="60"/>
      <c r="X346" s="60"/>
      <c r="Y346" s="66"/>
      <c r="Z346" s="199"/>
      <c r="AA346" s="59"/>
      <c r="AB346" s="59"/>
      <c r="AC346" s="59"/>
      <c r="AD346" s="59"/>
      <c r="AE346" s="59"/>
      <c r="AF346" s="69"/>
      <c r="AG346" s="65"/>
      <c r="AH346" s="52"/>
      <c r="AI346" s="220"/>
    </row>
    <row r="347" spans="1:36" s="78" customFormat="1" ht="27.6" hidden="1">
      <c r="A347" s="33" t="s">
        <v>75</v>
      </c>
      <c r="B347" s="39"/>
      <c r="C347" s="162"/>
      <c r="D347" s="177" t="s">
        <v>885</v>
      </c>
      <c r="E347" s="228"/>
      <c r="F347" s="229"/>
      <c r="G347" s="219" t="s">
        <v>886</v>
      </c>
      <c r="H347" s="164" t="s">
        <v>22</v>
      </c>
      <c r="I347" s="165"/>
      <c r="J347" s="178"/>
      <c r="K347" s="178"/>
      <c r="L347" s="178"/>
      <c r="M347" s="178"/>
      <c r="N347" s="178"/>
      <c r="O347" s="178"/>
      <c r="P347" s="178"/>
      <c r="Q347" s="178"/>
      <c r="R347" s="178"/>
      <c r="S347" s="178"/>
      <c r="T347" s="178"/>
      <c r="U347" s="178"/>
      <c r="V347" s="178"/>
      <c r="W347" s="215"/>
      <c r="X347" s="215"/>
      <c r="Y347" s="216"/>
      <c r="Z347" s="217"/>
      <c r="AA347" s="218"/>
      <c r="AB347" s="218"/>
      <c r="AC347" s="218"/>
      <c r="AD347" s="218"/>
      <c r="AE347" s="218"/>
      <c r="AF347" s="219"/>
      <c r="AG347" s="169"/>
      <c r="AH347" s="168"/>
      <c r="AI347" s="238"/>
    </row>
    <row r="348" spans="1:36" s="161" customFormat="1" ht="19.350000000000001" hidden="1" customHeight="1">
      <c r="A348" s="78" t="s">
        <v>75</v>
      </c>
      <c r="B348" s="78" t="s">
        <v>66</v>
      </c>
      <c r="C348" s="71"/>
      <c r="D348" s="183" t="s">
        <v>887</v>
      </c>
      <c r="E348" s="71" t="s">
        <v>96</v>
      </c>
      <c r="F348" s="70"/>
      <c r="G348" s="70" t="s">
        <v>888</v>
      </c>
      <c r="H348" s="184"/>
      <c r="I348" s="73" t="s">
        <v>71</v>
      </c>
      <c r="J348" s="185"/>
      <c r="K348" s="185"/>
      <c r="L348" s="185"/>
      <c r="M348" s="185"/>
      <c r="N348" s="185"/>
      <c r="O348" s="185"/>
      <c r="P348" s="185"/>
      <c r="Q348" s="185"/>
      <c r="R348" s="185"/>
      <c r="S348" s="185"/>
      <c r="T348" s="185"/>
      <c r="U348" s="185"/>
      <c r="V348" s="185"/>
      <c r="W348" s="186"/>
      <c r="X348" s="186"/>
      <c r="Y348" s="71"/>
      <c r="Z348" s="197"/>
      <c r="AA348" s="70"/>
      <c r="AB348" s="70"/>
      <c r="AC348" s="70"/>
      <c r="AD348" s="70"/>
      <c r="AE348" s="70"/>
      <c r="AF348" s="285"/>
      <c r="AG348" s="65"/>
      <c r="AH348" s="70"/>
      <c r="AI348" s="239"/>
      <c r="AJ348" s="190"/>
    </row>
    <row r="349" spans="1:36" s="78" customFormat="1" ht="23.85" hidden="1" customHeight="1">
      <c r="A349" s="161" t="s">
        <v>75</v>
      </c>
      <c r="B349" s="78" t="s">
        <v>66</v>
      </c>
      <c r="C349" s="71"/>
      <c r="D349" s="183" t="s">
        <v>889</v>
      </c>
      <c r="E349" s="71" t="s">
        <v>96</v>
      </c>
      <c r="F349" s="72"/>
      <c r="G349" s="70" t="s">
        <v>890</v>
      </c>
      <c r="H349" s="73"/>
      <c r="I349" s="73" t="s">
        <v>71</v>
      </c>
      <c r="J349" s="185"/>
      <c r="K349" s="185"/>
      <c r="L349" s="185"/>
      <c r="M349" s="185"/>
      <c r="N349" s="185"/>
      <c r="O349" s="185"/>
      <c r="P349" s="185"/>
      <c r="Q349" s="185"/>
      <c r="R349" s="185"/>
      <c r="S349" s="185"/>
      <c r="T349" s="185"/>
      <c r="U349" s="185"/>
      <c r="V349" s="185"/>
      <c r="W349" s="74"/>
      <c r="X349" s="74"/>
      <c r="Y349" s="75"/>
      <c r="Z349" s="199"/>
      <c r="AA349" s="72"/>
      <c r="AB349" s="72"/>
      <c r="AC349" s="72"/>
      <c r="AD349" s="72"/>
      <c r="AE349" s="72"/>
      <c r="AF349" s="80"/>
      <c r="AG349" s="65"/>
      <c r="AH349" s="70"/>
      <c r="AI349" s="77"/>
    </row>
    <row r="350" spans="1:36" ht="124.2" hidden="1">
      <c r="A350" s="39" t="s">
        <v>75</v>
      </c>
      <c r="C350" s="162"/>
      <c r="D350" s="224" t="s">
        <v>891</v>
      </c>
      <c r="E350" s="228"/>
      <c r="F350" s="229" t="s">
        <v>892</v>
      </c>
      <c r="G350" s="283" t="s">
        <v>893</v>
      </c>
      <c r="H350" s="164" t="s">
        <v>22</v>
      </c>
      <c r="I350" s="165"/>
      <c r="W350" s="215"/>
      <c r="X350" s="215"/>
      <c r="Y350" s="216"/>
      <c r="Z350" s="217"/>
      <c r="AA350" s="218"/>
      <c r="AB350" s="218"/>
      <c r="AC350" s="218"/>
      <c r="AD350" s="218"/>
      <c r="AE350" s="218"/>
      <c r="AF350" s="219"/>
      <c r="AG350" s="169"/>
      <c r="AH350" s="168"/>
      <c r="AI350" s="238"/>
    </row>
    <row r="351" spans="1:36" s="161" customFormat="1" ht="82.5" hidden="1" customHeight="1">
      <c r="A351" s="161" t="s">
        <v>250</v>
      </c>
      <c r="B351" s="78" t="s">
        <v>88</v>
      </c>
      <c r="C351" s="71"/>
      <c r="D351" s="223" t="s">
        <v>894</v>
      </c>
      <c r="E351" s="75" t="s">
        <v>96</v>
      </c>
      <c r="F351" s="179" t="s">
        <v>77</v>
      </c>
      <c r="G351" s="306" t="s">
        <v>895</v>
      </c>
      <c r="H351" s="184"/>
      <c r="I351" s="73"/>
      <c r="J351" s="185"/>
      <c r="K351" s="185"/>
      <c r="L351" s="185"/>
      <c r="M351" s="185"/>
      <c r="N351" s="185"/>
      <c r="O351" s="185"/>
      <c r="P351" s="185"/>
      <c r="Q351" s="185"/>
      <c r="R351" s="185"/>
      <c r="S351" s="185"/>
      <c r="T351" s="185"/>
      <c r="U351" s="185"/>
      <c r="V351" s="185"/>
      <c r="W351" s="186"/>
      <c r="X351" s="186"/>
      <c r="Y351" s="71"/>
      <c r="Z351" s="197"/>
      <c r="AA351" s="70"/>
      <c r="AB351" s="70"/>
      <c r="AC351" s="70"/>
      <c r="AD351" s="70"/>
      <c r="AE351" s="70"/>
      <c r="AF351" s="285"/>
      <c r="AG351" s="65"/>
      <c r="AH351" s="70"/>
      <c r="AI351" s="239"/>
      <c r="AJ351" s="190"/>
    </row>
    <row r="352" spans="1:36" s="78" customFormat="1" hidden="1">
      <c r="A352" s="39" t="s">
        <v>75</v>
      </c>
      <c r="B352" s="39"/>
      <c r="C352" s="49"/>
      <c r="D352" s="226" t="s">
        <v>896</v>
      </c>
      <c r="E352" s="153"/>
      <c r="F352" s="68" t="s">
        <v>77</v>
      </c>
      <c r="G352" s="72" t="s">
        <v>897</v>
      </c>
      <c r="H352" s="54"/>
      <c r="I352" s="54"/>
      <c r="J352" s="178"/>
      <c r="K352" s="178"/>
      <c r="L352" s="178"/>
      <c r="M352" s="178"/>
      <c r="N352" s="178"/>
      <c r="O352" s="178"/>
      <c r="P352" s="178"/>
      <c r="Q352" s="178"/>
      <c r="R352" s="178"/>
      <c r="S352" s="178"/>
      <c r="T352" s="178"/>
      <c r="U352" s="178"/>
      <c r="V352" s="178"/>
      <c r="W352" s="60"/>
      <c r="X352" s="60"/>
      <c r="Y352" s="66"/>
      <c r="Z352" s="199"/>
      <c r="AA352" s="59"/>
      <c r="AB352" s="59"/>
      <c r="AC352" s="59"/>
      <c r="AD352" s="59"/>
      <c r="AE352" s="59"/>
      <c r="AF352" s="69"/>
      <c r="AG352" s="65"/>
      <c r="AH352" s="52"/>
      <c r="AI352" s="63"/>
      <c r="AJ352" s="211"/>
    </row>
    <row r="353" spans="1:36" s="78" customFormat="1" ht="82.8" hidden="1">
      <c r="A353" s="39" t="s">
        <v>75</v>
      </c>
      <c r="B353" s="39"/>
      <c r="C353" s="162"/>
      <c r="D353" s="224" t="s">
        <v>898</v>
      </c>
      <c r="E353" s="228"/>
      <c r="F353" s="229" t="s">
        <v>899</v>
      </c>
      <c r="G353" s="219" t="s">
        <v>900</v>
      </c>
      <c r="H353" s="164" t="s">
        <v>22</v>
      </c>
      <c r="I353" s="165"/>
      <c r="J353" s="178"/>
      <c r="K353" s="178"/>
      <c r="L353" s="178"/>
      <c r="M353" s="178"/>
      <c r="N353" s="178"/>
      <c r="O353" s="178"/>
      <c r="P353" s="178"/>
      <c r="Q353" s="178"/>
      <c r="R353" s="178"/>
      <c r="S353" s="178"/>
      <c r="T353" s="178"/>
      <c r="U353" s="178"/>
      <c r="V353" s="178"/>
      <c r="W353" s="215"/>
      <c r="X353" s="215"/>
      <c r="Y353" s="216"/>
      <c r="Z353" s="217"/>
      <c r="AA353" s="218"/>
      <c r="AB353" s="218"/>
      <c r="AC353" s="218"/>
      <c r="AD353" s="218"/>
      <c r="AE353" s="218"/>
      <c r="AF353" s="219"/>
      <c r="AG353" s="169"/>
      <c r="AH353" s="168"/>
      <c r="AI353" s="238"/>
      <c r="AJ353" s="211"/>
    </row>
    <row r="354" spans="1:36" s="78" customFormat="1" ht="110.4">
      <c r="A354" s="39" t="s">
        <v>75</v>
      </c>
      <c r="B354" s="39" t="s">
        <v>88</v>
      </c>
      <c r="C354" s="49"/>
      <c r="D354" s="153" t="s">
        <v>901</v>
      </c>
      <c r="E354" s="284" t="s">
        <v>69</v>
      </c>
      <c r="F354" s="59"/>
      <c r="G354" s="59" t="s">
        <v>902</v>
      </c>
      <c r="H354" s="54"/>
      <c r="I354" s="54" t="s">
        <v>88</v>
      </c>
      <c r="J354" s="178"/>
      <c r="K354" s="178"/>
      <c r="L354" s="178"/>
      <c r="M354" s="178"/>
      <c r="N354" s="178"/>
      <c r="O354" s="178"/>
      <c r="P354" s="178"/>
      <c r="Q354" s="178"/>
      <c r="R354" s="178"/>
      <c r="S354" s="178"/>
      <c r="T354" s="178"/>
      <c r="U354" s="178"/>
      <c r="V354" s="178"/>
      <c r="W354" s="60"/>
      <c r="X354" s="60"/>
      <c r="Y354" s="66"/>
      <c r="Z354" s="199"/>
      <c r="AA354" s="79"/>
      <c r="AB354" s="79"/>
      <c r="AC354" s="79"/>
      <c r="AD354" s="79"/>
      <c r="AE354" s="59"/>
      <c r="AF354" s="69"/>
      <c r="AG354" s="65"/>
      <c r="AH354" s="52"/>
      <c r="AI354" s="63"/>
      <c r="AJ354" s="211"/>
    </row>
    <row r="355" spans="1:36" s="78" customFormat="1">
      <c r="A355" s="39" t="s">
        <v>75</v>
      </c>
      <c r="B355" s="39" t="s">
        <v>88</v>
      </c>
      <c r="C355" s="49"/>
      <c r="D355" s="153" t="s">
        <v>903</v>
      </c>
      <c r="E355" s="284" t="s">
        <v>69</v>
      </c>
      <c r="F355" s="72" t="s">
        <v>77</v>
      </c>
      <c r="G355" s="59" t="s">
        <v>904</v>
      </c>
      <c r="H355" s="54"/>
      <c r="I355" s="54" t="s">
        <v>88</v>
      </c>
      <c r="J355" s="178"/>
      <c r="K355" s="178"/>
      <c r="L355" s="178"/>
      <c r="M355" s="178"/>
      <c r="N355" s="178"/>
      <c r="O355" s="178"/>
      <c r="P355" s="178"/>
      <c r="Q355" s="178"/>
      <c r="R355" s="178"/>
      <c r="S355" s="178"/>
      <c r="T355" s="178"/>
      <c r="U355" s="178"/>
      <c r="V355" s="178"/>
      <c r="W355" s="60"/>
      <c r="X355" s="60"/>
      <c r="Y355" s="66"/>
      <c r="Z355" s="199"/>
      <c r="AA355" s="79"/>
      <c r="AB355" s="79"/>
      <c r="AC355" s="79"/>
      <c r="AD355" s="79"/>
      <c r="AE355" s="59"/>
      <c r="AF355" s="69"/>
      <c r="AG355" s="65"/>
      <c r="AH355" s="52"/>
      <c r="AI355" s="63"/>
      <c r="AJ355" s="211"/>
    </row>
    <row r="356" spans="1:36" s="78" customFormat="1" ht="27.6" hidden="1">
      <c r="A356" s="39"/>
      <c r="B356" s="39"/>
      <c r="C356" s="49"/>
      <c r="D356" s="153" t="s">
        <v>905</v>
      </c>
      <c r="E356" s="284"/>
      <c r="F356" s="72"/>
      <c r="G356" s="59" t="s">
        <v>906</v>
      </c>
      <c r="H356" s="54"/>
      <c r="I356" s="54" t="s">
        <v>88</v>
      </c>
      <c r="J356" s="178"/>
      <c r="K356" s="178"/>
      <c r="L356" s="178"/>
      <c r="M356" s="178"/>
      <c r="N356" s="178"/>
      <c r="O356" s="178"/>
      <c r="P356" s="178"/>
      <c r="Q356" s="178"/>
      <c r="R356" s="178"/>
      <c r="S356" s="178"/>
      <c r="T356" s="178"/>
      <c r="U356" s="178"/>
      <c r="V356" s="178"/>
      <c r="W356" s="60"/>
      <c r="X356" s="60"/>
      <c r="Y356" s="66"/>
      <c r="Z356" s="199"/>
      <c r="AA356" s="79"/>
      <c r="AB356" s="79"/>
      <c r="AC356" s="79"/>
      <c r="AD356" s="79"/>
      <c r="AE356" s="59"/>
      <c r="AF356" s="69"/>
      <c r="AG356" s="65"/>
      <c r="AH356" s="52"/>
      <c r="AI356" s="63"/>
      <c r="AJ356" s="211"/>
    </row>
    <row r="357" spans="1:36" s="78" customFormat="1" ht="41.4">
      <c r="A357" s="39" t="s">
        <v>75</v>
      </c>
      <c r="B357" s="39" t="s">
        <v>88</v>
      </c>
      <c r="C357" s="49"/>
      <c r="D357" s="153" t="s">
        <v>907</v>
      </c>
      <c r="E357" s="284" t="s">
        <v>69</v>
      </c>
      <c r="F357" s="72"/>
      <c r="G357" s="303" t="s">
        <v>908</v>
      </c>
      <c r="H357" s="54"/>
      <c r="I357" s="54" t="s">
        <v>88</v>
      </c>
      <c r="J357" s="178"/>
      <c r="K357" s="178"/>
      <c r="L357" s="178"/>
      <c r="M357" s="178"/>
      <c r="N357" s="178"/>
      <c r="O357" s="178"/>
      <c r="P357" s="178"/>
      <c r="Q357" s="178"/>
      <c r="R357" s="178"/>
      <c r="S357" s="178"/>
      <c r="T357" s="178"/>
      <c r="U357" s="178"/>
      <c r="V357" s="178"/>
      <c r="W357" s="60"/>
      <c r="X357" s="60"/>
      <c r="Y357" s="66"/>
      <c r="Z357" s="199"/>
      <c r="AA357" s="79"/>
      <c r="AB357" s="79"/>
      <c r="AC357" s="79"/>
      <c r="AD357" s="79"/>
      <c r="AE357" s="59"/>
      <c r="AF357" s="69"/>
      <c r="AG357" s="65"/>
      <c r="AH357" s="52"/>
      <c r="AI357" s="63"/>
      <c r="AJ357" s="211"/>
    </row>
    <row r="358" spans="1:36" s="78" customFormat="1" ht="41.4">
      <c r="A358" s="39" t="s">
        <v>75</v>
      </c>
      <c r="B358" s="39" t="s">
        <v>88</v>
      </c>
      <c r="C358" s="49"/>
      <c r="D358" s="153" t="s">
        <v>909</v>
      </c>
      <c r="E358" s="284" t="s">
        <v>69</v>
      </c>
      <c r="F358" s="72"/>
      <c r="G358" s="303" t="s">
        <v>910</v>
      </c>
      <c r="H358" s="54"/>
      <c r="I358" s="54" t="s">
        <v>88</v>
      </c>
      <c r="J358" s="178"/>
      <c r="K358" s="178"/>
      <c r="L358" s="178"/>
      <c r="M358" s="178"/>
      <c r="N358" s="178"/>
      <c r="O358" s="178"/>
      <c r="P358" s="178"/>
      <c r="Q358" s="178"/>
      <c r="R358" s="178"/>
      <c r="S358" s="178"/>
      <c r="T358" s="178"/>
      <c r="U358" s="178"/>
      <c r="V358" s="178"/>
      <c r="W358" s="60"/>
      <c r="X358" s="60"/>
      <c r="Y358" s="66"/>
      <c r="Z358" s="199"/>
      <c r="AA358" s="79"/>
      <c r="AB358" s="79"/>
      <c r="AC358" s="79"/>
      <c r="AD358" s="79"/>
      <c r="AE358" s="59"/>
      <c r="AF358" s="69"/>
      <c r="AG358" s="65"/>
      <c r="AH358" s="52"/>
      <c r="AI358" s="63"/>
      <c r="AJ358" s="211"/>
    </row>
    <row r="359" spans="1:36" s="78" customFormat="1" ht="41.4">
      <c r="A359" s="39" t="s">
        <v>75</v>
      </c>
      <c r="B359" s="39" t="s">
        <v>88</v>
      </c>
      <c r="C359" s="49"/>
      <c r="D359" s="153" t="s">
        <v>911</v>
      </c>
      <c r="E359" s="284" t="s">
        <v>69</v>
      </c>
      <c r="F359" s="72"/>
      <c r="G359" s="303" t="s">
        <v>912</v>
      </c>
      <c r="H359" s="54"/>
      <c r="I359" s="54" t="s">
        <v>88</v>
      </c>
      <c r="J359" s="178"/>
      <c r="K359" s="178"/>
      <c r="L359" s="178"/>
      <c r="M359" s="178"/>
      <c r="N359" s="178"/>
      <c r="O359" s="178"/>
      <c r="P359" s="178"/>
      <c r="Q359" s="178"/>
      <c r="R359" s="178"/>
      <c r="S359" s="178"/>
      <c r="T359" s="178"/>
      <c r="U359" s="178"/>
      <c r="V359" s="178"/>
      <c r="W359" s="60"/>
      <c r="X359" s="60"/>
      <c r="Y359" s="66"/>
      <c r="Z359" s="199"/>
      <c r="AA359" s="79"/>
      <c r="AB359" s="79"/>
      <c r="AC359" s="79"/>
      <c r="AD359" s="79"/>
      <c r="AE359" s="59"/>
      <c r="AF359" s="69"/>
      <c r="AG359" s="65"/>
      <c r="AH359" s="52"/>
      <c r="AI359" s="63"/>
      <c r="AJ359" s="211"/>
    </row>
    <row r="360" spans="1:36" s="78" customFormat="1" ht="28.8" hidden="1">
      <c r="A360" s="39"/>
      <c r="B360" s="39"/>
      <c r="C360" s="49"/>
      <c r="D360" s="153" t="s">
        <v>913</v>
      </c>
      <c r="E360" s="284" t="s">
        <v>69</v>
      </c>
      <c r="F360" s="193"/>
      <c r="G360" s="304" t="s">
        <v>914</v>
      </c>
      <c r="H360" s="54"/>
      <c r="I360" s="54" t="s">
        <v>399</v>
      </c>
      <c r="J360" s="178"/>
      <c r="K360" s="178"/>
      <c r="L360" s="178"/>
      <c r="M360" s="178"/>
      <c r="N360" s="178"/>
      <c r="O360" s="178"/>
      <c r="P360" s="178"/>
      <c r="Q360" s="178"/>
      <c r="R360" s="178"/>
      <c r="S360" s="178"/>
      <c r="T360" s="178"/>
      <c r="U360" s="178"/>
      <c r="V360" s="178"/>
      <c r="W360" s="60"/>
      <c r="X360" s="60"/>
      <c r="Y360" s="66"/>
      <c r="Z360" s="199"/>
      <c r="AA360" s="79"/>
      <c r="AB360" s="79"/>
      <c r="AC360" s="79"/>
      <c r="AD360" s="79"/>
      <c r="AE360" s="59"/>
      <c r="AF360" s="69"/>
      <c r="AG360" s="65"/>
      <c r="AH360" s="52"/>
      <c r="AI360" s="63"/>
      <c r="AJ360" s="211"/>
    </row>
    <row r="361" spans="1:36" s="78" customFormat="1" hidden="1">
      <c r="A361" s="39"/>
      <c r="B361" s="39"/>
      <c r="C361" s="49"/>
      <c r="D361" s="153" t="s">
        <v>915</v>
      </c>
      <c r="E361" s="284" t="s">
        <v>69</v>
      </c>
      <c r="F361" s="72"/>
      <c r="G361" s="303" t="s">
        <v>916</v>
      </c>
      <c r="H361" s="54"/>
      <c r="I361" s="54" t="s">
        <v>88</v>
      </c>
      <c r="J361" s="178"/>
      <c r="K361" s="178"/>
      <c r="L361" s="178"/>
      <c r="M361" s="178"/>
      <c r="N361" s="178"/>
      <c r="O361" s="178"/>
      <c r="P361" s="178"/>
      <c r="Q361" s="178"/>
      <c r="R361" s="178"/>
      <c r="S361" s="178"/>
      <c r="T361" s="178"/>
      <c r="U361" s="178"/>
      <c r="V361" s="178"/>
      <c r="W361" s="60"/>
      <c r="X361" s="60"/>
      <c r="Y361" s="66"/>
      <c r="Z361" s="199"/>
      <c r="AA361" s="79"/>
      <c r="AB361" s="79"/>
      <c r="AC361" s="79"/>
      <c r="AD361" s="79"/>
      <c r="AE361" s="59"/>
      <c r="AF361" s="69"/>
      <c r="AG361" s="65"/>
      <c r="AH361" s="52"/>
      <c r="AI361" s="63"/>
      <c r="AJ361" s="211"/>
    </row>
    <row r="362" spans="1:36" s="78" customFormat="1">
      <c r="A362" s="39" t="s">
        <v>75</v>
      </c>
      <c r="B362" s="39" t="s">
        <v>88</v>
      </c>
      <c r="C362" s="49"/>
      <c r="D362" s="153" t="s">
        <v>917</v>
      </c>
      <c r="E362" s="284" t="s">
        <v>69</v>
      </c>
      <c r="F362" s="72"/>
      <c r="G362" s="303" t="s">
        <v>918</v>
      </c>
      <c r="H362" s="54"/>
      <c r="I362" s="54" t="s">
        <v>88</v>
      </c>
      <c r="J362" s="178"/>
      <c r="K362" s="178"/>
      <c r="L362" s="178"/>
      <c r="M362" s="178"/>
      <c r="N362" s="178"/>
      <c r="O362" s="178"/>
      <c r="P362" s="178"/>
      <c r="Q362" s="178"/>
      <c r="R362" s="178"/>
      <c r="S362" s="178"/>
      <c r="T362" s="178"/>
      <c r="U362" s="178"/>
      <c r="V362" s="178"/>
      <c r="W362" s="60"/>
      <c r="X362" s="60"/>
      <c r="Y362" s="66"/>
      <c r="Z362" s="199"/>
      <c r="AA362" s="79"/>
      <c r="AB362" s="79"/>
      <c r="AC362" s="79"/>
      <c r="AD362" s="79"/>
      <c r="AE362" s="59"/>
      <c r="AF362" s="69"/>
      <c r="AG362" s="65"/>
      <c r="AH362" s="52"/>
      <c r="AI362" s="63"/>
      <c r="AJ362" s="211"/>
    </row>
    <row r="363" spans="1:36" s="78" customFormat="1" ht="151.80000000000001">
      <c r="A363" s="39" t="s">
        <v>75</v>
      </c>
      <c r="B363" s="39" t="s">
        <v>88</v>
      </c>
      <c r="C363" s="49"/>
      <c r="D363" s="153" t="s">
        <v>919</v>
      </c>
      <c r="E363" s="284" t="s">
        <v>69</v>
      </c>
      <c r="F363" s="59"/>
      <c r="G363" s="59" t="s">
        <v>920</v>
      </c>
      <c r="H363" s="54"/>
      <c r="I363" s="54" t="s">
        <v>88</v>
      </c>
      <c r="J363" s="178"/>
      <c r="K363" s="178"/>
      <c r="L363" s="178"/>
      <c r="M363" s="178"/>
      <c r="N363" s="178"/>
      <c r="O363" s="178"/>
      <c r="P363" s="178"/>
      <c r="Q363" s="178"/>
      <c r="R363" s="178"/>
      <c r="S363" s="178"/>
      <c r="T363" s="178"/>
      <c r="U363" s="178"/>
      <c r="V363" s="178"/>
      <c r="W363" s="60"/>
      <c r="X363" s="60"/>
      <c r="Y363" s="66"/>
      <c r="Z363" s="199"/>
      <c r="AA363" s="79"/>
      <c r="AB363" s="79"/>
      <c r="AC363" s="79"/>
      <c r="AD363" s="79"/>
      <c r="AE363" s="59"/>
      <c r="AF363" s="69"/>
      <c r="AG363" s="65"/>
      <c r="AH363" s="52"/>
      <c r="AI363" s="63"/>
      <c r="AJ363" s="211"/>
    </row>
    <row r="364" spans="1:36" s="78" customFormat="1">
      <c r="A364" s="39" t="s">
        <v>75</v>
      </c>
      <c r="B364" s="39" t="s">
        <v>88</v>
      </c>
      <c r="C364" s="49"/>
      <c r="D364" s="153" t="s">
        <v>921</v>
      </c>
      <c r="E364" s="284" t="s">
        <v>69</v>
      </c>
      <c r="F364" s="193" t="s">
        <v>77</v>
      </c>
      <c r="G364" s="307" t="s">
        <v>922</v>
      </c>
      <c r="H364" s="54"/>
      <c r="I364" s="54" t="s">
        <v>399</v>
      </c>
      <c r="J364" s="178"/>
      <c r="K364" s="178"/>
      <c r="L364" s="178"/>
      <c r="M364" s="178"/>
      <c r="N364" s="178"/>
      <c r="O364" s="178"/>
      <c r="P364" s="178"/>
      <c r="Q364" s="178"/>
      <c r="R364" s="178"/>
      <c r="S364" s="178"/>
      <c r="T364" s="178"/>
      <c r="U364" s="178"/>
      <c r="V364" s="178"/>
      <c r="W364" s="60"/>
      <c r="X364" s="60"/>
      <c r="Y364" s="66"/>
      <c r="Z364" s="199"/>
      <c r="AA364" s="79"/>
      <c r="AB364" s="79"/>
      <c r="AC364" s="79"/>
      <c r="AD364" s="79"/>
      <c r="AE364" s="59"/>
      <c r="AF364" s="69"/>
      <c r="AG364" s="65"/>
      <c r="AH364" s="52"/>
      <c r="AI364" s="63"/>
      <c r="AJ364" s="211"/>
    </row>
    <row r="365" spans="1:36" s="78" customFormat="1" ht="27.6" hidden="1">
      <c r="A365" s="39" t="s">
        <v>75</v>
      </c>
      <c r="B365" s="39" t="s">
        <v>88</v>
      </c>
      <c r="C365" s="49"/>
      <c r="D365" s="153" t="s">
        <v>923</v>
      </c>
      <c r="E365" s="71" t="s">
        <v>96</v>
      </c>
      <c r="F365" s="59"/>
      <c r="G365" s="59" t="s">
        <v>924</v>
      </c>
      <c r="H365" s="54"/>
      <c r="I365" s="54" t="s">
        <v>88</v>
      </c>
      <c r="J365" s="178"/>
      <c r="K365" s="178"/>
      <c r="L365" s="178"/>
      <c r="M365" s="178"/>
      <c r="N365" s="178"/>
      <c r="O365" s="178"/>
      <c r="P365" s="178"/>
      <c r="Q365" s="178"/>
      <c r="R365" s="178"/>
      <c r="S365" s="178"/>
      <c r="T365" s="178"/>
      <c r="U365" s="178"/>
      <c r="V365" s="178"/>
      <c r="W365" s="60"/>
      <c r="X365" s="60"/>
      <c r="Y365" s="66"/>
      <c r="Z365" s="199"/>
      <c r="AA365" s="79"/>
      <c r="AB365" s="79"/>
      <c r="AC365" s="79"/>
      <c r="AD365" s="79"/>
      <c r="AE365" s="59"/>
      <c r="AF365" s="69"/>
      <c r="AG365" s="65"/>
      <c r="AH365" s="52"/>
      <c r="AI365" s="63"/>
      <c r="AJ365" s="211"/>
    </row>
    <row r="366" spans="1:36" s="78" customFormat="1" hidden="1">
      <c r="A366" s="39" t="s">
        <v>75</v>
      </c>
      <c r="B366" s="39" t="s">
        <v>88</v>
      </c>
      <c r="C366" s="49"/>
      <c r="D366" s="153" t="s">
        <v>925</v>
      </c>
      <c r="E366" s="71" t="s">
        <v>96</v>
      </c>
      <c r="F366" s="59"/>
      <c r="G366" s="59" t="s">
        <v>926</v>
      </c>
      <c r="H366" s="54"/>
      <c r="I366" s="54" t="s">
        <v>88</v>
      </c>
      <c r="J366" s="178"/>
      <c r="K366" s="178"/>
      <c r="L366" s="178"/>
      <c r="M366" s="178"/>
      <c r="N366" s="178"/>
      <c r="O366" s="178"/>
      <c r="P366" s="178"/>
      <c r="Q366" s="178"/>
      <c r="R366" s="178"/>
      <c r="S366" s="178"/>
      <c r="T366" s="178"/>
      <c r="U366" s="178"/>
      <c r="V366" s="178"/>
      <c r="W366" s="60"/>
      <c r="X366" s="60"/>
      <c r="Y366" s="66"/>
      <c r="Z366" s="199"/>
      <c r="AA366" s="79"/>
      <c r="AB366" s="79"/>
      <c r="AC366" s="79"/>
      <c r="AD366" s="79"/>
      <c r="AE366" s="59"/>
      <c r="AF366" s="69"/>
      <c r="AG366" s="65"/>
      <c r="AH366" s="52"/>
      <c r="AI366" s="63"/>
      <c r="AJ366" s="211"/>
    </row>
    <row r="367" spans="1:36" s="78" customFormat="1" hidden="1">
      <c r="A367" s="39" t="s">
        <v>75</v>
      </c>
      <c r="B367" s="39" t="s">
        <v>88</v>
      </c>
      <c r="C367" s="49"/>
      <c r="D367" s="153" t="s">
        <v>927</v>
      </c>
      <c r="E367" s="71" t="s">
        <v>96</v>
      </c>
      <c r="F367" s="59"/>
      <c r="G367" s="59" t="s">
        <v>928</v>
      </c>
      <c r="H367" s="54"/>
      <c r="I367" s="54" t="s">
        <v>88</v>
      </c>
      <c r="J367" s="178"/>
      <c r="K367" s="178"/>
      <c r="L367" s="178"/>
      <c r="M367" s="178"/>
      <c r="N367" s="178"/>
      <c r="O367" s="178"/>
      <c r="P367" s="178"/>
      <c r="Q367" s="178"/>
      <c r="R367" s="178"/>
      <c r="S367" s="178"/>
      <c r="T367" s="178"/>
      <c r="U367" s="178"/>
      <c r="V367" s="178"/>
      <c r="W367" s="60"/>
      <c r="X367" s="60"/>
      <c r="Y367" s="66"/>
      <c r="Z367" s="199"/>
      <c r="AA367" s="79"/>
      <c r="AB367" s="79"/>
      <c r="AC367" s="79"/>
      <c r="AD367" s="79"/>
      <c r="AE367" s="59"/>
      <c r="AF367" s="69"/>
      <c r="AG367" s="65"/>
      <c r="AH367" s="52"/>
      <c r="AI367" s="63"/>
      <c r="AJ367" s="211"/>
    </row>
    <row r="368" spans="1:36" s="78" customFormat="1" hidden="1">
      <c r="A368" s="39" t="s">
        <v>75</v>
      </c>
      <c r="B368" s="39" t="s">
        <v>88</v>
      </c>
      <c r="C368" s="49"/>
      <c r="D368" s="153" t="s">
        <v>929</v>
      </c>
      <c r="E368" s="71" t="s">
        <v>96</v>
      </c>
      <c r="F368" s="59"/>
      <c r="G368" s="59" t="s">
        <v>930</v>
      </c>
      <c r="H368" s="54"/>
      <c r="I368" s="54" t="s">
        <v>88</v>
      </c>
      <c r="J368" s="178"/>
      <c r="K368" s="178"/>
      <c r="L368" s="178"/>
      <c r="M368" s="178"/>
      <c r="N368" s="178"/>
      <c r="O368" s="178"/>
      <c r="P368" s="178"/>
      <c r="Q368" s="178"/>
      <c r="R368" s="178"/>
      <c r="S368" s="178"/>
      <c r="T368" s="178"/>
      <c r="U368" s="178"/>
      <c r="V368" s="178"/>
      <c r="W368" s="60"/>
      <c r="X368" s="60"/>
      <c r="Y368" s="66"/>
      <c r="Z368" s="199"/>
      <c r="AA368" s="79"/>
      <c r="AB368" s="79"/>
      <c r="AC368" s="79"/>
      <c r="AD368" s="79"/>
      <c r="AE368" s="59"/>
      <c r="AF368" s="69"/>
      <c r="AG368" s="65"/>
      <c r="AH368" s="52"/>
      <c r="AI368" s="63"/>
      <c r="AJ368" s="211"/>
    </row>
    <row r="369" spans="1:36" s="78" customFormat="1" hidden="1">
      <c r="A369" s="39" t="s">
        <v>75</v>
      </c>
      <c r="B369" s="39" t="s">
        <v>88</v>
      </c>
      <c r="C369" s="49"/>
      <c r="D369" s="153" t="s">
        <v>931</v>
      </c>
      <c r="E369" s="71" t="s">
        <v>96</v>
      </c>
      <c r="F369" s="59"/>
      <c r="G369" s="59" t="s">
        <v>932</v>
      </c>
      <c r="H369" s="54"/>
      <c r="I369" s="54" t="s">
        <v>88</v>
      </c>
      <c r="J369" s="178"/>
      <c r="K369" s="178"/>
      <c r="L369" s="178"/>
      <c r="M369" s="178"/>
      <c r="N369" s="178"/>
      <c r="O369" s="178"/>
      <c r="P369" s="178"/>
      <c r="Q369" s="178"/>
      <c r="R369" s="178"/>
      <c r="S369" s="178"/>
      <c r="T369" s="178"/>
      <c r="U369" s="178"/>
      <c r="V369" s="178"/>
      <c r="W369" s="60"/>
      <c r="X369" s="60"/>
      <c r="Y369" s="66"/>
      <c r="Z369" s="199"/>
      <c r="AA369" s="79"/>
      <c r="AB369" s="79"/>
      <c r="AC369" s="79"/>
      <c r="AD369" s="79"/>
      <c r="AE369" s="59"/>
      <c r="AF369" s="69"/>
      <c r="AG369" s="65"/>
      <c r="AH369" s="52"/>
      <c r="AI369" s="63"/>
      <c r="AJ369" s="211"/>
    </row>
    <row r="370" spans="1:36" s="78" customFormat="1" hidden="1">
      <c r="A370" s="39" t="s">
        <v>75</v>
      </c>
      <c r="B370" s="39" t="s">
        <v>88</v>
      </c>
      <c r="C370" s="49"/>
      <c r="D370" s="153" t="s">
        <v>933</v>
      </c>
      <c r="E370" s="71" t="s">
        <v>96</v>
      </c>
      <c r="F370" s="59"/>
      <c r="G370" s="59" t="s">
        <v>934</v>
      </c>
      <c r="H370" s="54"/>
      <c r="I370" s="54" t="s">
        <v>88</v>
      </c>
      <c r="J370" s="178"/>
      <c r="K370" s="178"/>
      <c r="L370" s="178"/>
      <c r="M370" s="178"/>
      <c r="N370" s="178"/>
      <c r="O370" s="178"/>
      <c r="P370" s="178"/>
      <c r="Q370" s="178"/>
      <c r="R370" s="178"/>
      <c r="S370" s="178"/>
      <c r="T370" s="178"/>
      <c r="U370" s="178"/>
      <c r="V370" s="178"/>
      <c r="W370" s="60"/>
      <c r="X370" s="60"/>
      <c r="Y370" s="66"/>
      <c r="Z370" s="199"/>
      <c r="AA370" s="79"/>
      <c r="AB370" s="79"/>
      <c r="AC370" s="79"/>
      <c r="AD370" s="79"/>
      <c r="AE370" s="59"/>
      <c r="AF370" s="69"/>
      <c r="AG370" s="65"/>
      <c r="AH370" s="52"/>
      <c r="AI370" s="63"/>
      <c r="AJ370" s="211"/>
    </row>
    <row r="371" spans="1:36" s="33" customFormat="1" ht="83.1" hidden="1" customHeight="1">
      <c r="A371" s="39" t="s">
        <v>75</v>
      </c>
      <c r="B371" s="39"/>
      <c r="C371" s="162"/>
      <c r="D371" s="177" t="s">
        <v>935</v>
      </c>
      <c r="E371" s="175"/>
      <c r="F371" s="176" t="s">
        <v>936</v>
      </c>
      <c r="G371" s="163" t="s">
        <v>937</v>
      </c>
      <c r="H371" s="164" t="s">
        <v>22</v>
      </c>
      <c r="I371" s="165"/>
      <c r="J371" s="178"/>
      <c r="K371" s="178"/>
      <c r="L371" s="178"/>
      <c r="M371" s="178"/>
      <c r="N371" s="178"/>
      <c r="O371" s="178"/>
      <c r="P371" s="178"/>
      <c r="Q371" s="178"/>
      <c r="R371" s="178"/>
      <c r="S371" s="178"/>
      <c r="T371" s="178"/>
      <c r="U371" s="178"/>
      <c r="V371" s="178"/>
      <c r="W371" s="166"/>
      <c r="X371" s="166"/>
      <c r="Y371" s="167"/>
      <c r="Z371" s="196"/>
      <c r="AA371" s="168"/>
      <c r="AB371" s="168"/>
      <c r="AC371" s="168"/>
      <c r="AD371" s="168"/>
      <c r="AE371" s="168"/>
      <c r="AF371" s="163"/>
      <c r="AG371" s="169"/>
      <c r="AH371" s="168"/>
      <c r="AI371" s="170"/>
      <c r="AJ371" s="34"/>
    </row>
    <row r="372" spans="1:36" ht="26.1" customHeight="1">
      <c r="A372" s="39" t="s">
        <v>75</v>
      </c>
      <c r="B372" s="39" t="s">
        <v>88</v>
      </c>
      <c r="D372" s="153" t="s">
        <v>938</v>
      </c>
      <c r="E372" s="153" t="s">
        <v>69</v>
      </c>
      <c r="F372" s="59"/>
      <c r="G372" s="59" t="s">
        <v>939</v>
      </c>
      <c r="H372" s="54"/>
      <c r="I372" s="54" t="s">
        <v>88</v>
      </c>
      <c r="W372" s="60"/>
      <c r="X372" s="60"/>
      <c r="Y372" s="66"/>
      <c r="Z372" s="199"/>
      <c r="AA372" s="59"/>
      <c r="AB372" s="59"/>
      <c r="AC372" s="59"/>
      <c r="AD372" s="59"/>
      <c r="AE372" s="59"/>
      <c r="AF372" s="69"/>
      <c r="AG372" s="65"/>
      <c r="AI372" s="63"/>
      <c r="AJ372" s="39"/>
    </row>
    <row r="373" spans="1:36" s="33" customFormat="1" ht="78.599999999999994" hidden="1" customHeight="1">
      <c r="A373" s="78" t="s">
        <v>75</v>
      </c>
      <c r="B373" s="39"/>
      <c r="C373" s="162"/>
      <c r="D373" s="177" t="s">
        <v>940</v>
      </c>
      <c r="E373" s="175"/>
      <c r="F373" s="176" t="s">
        <v>941</v>
      </c>
      <c r="G373" s="163" t="s">
        <v>942</v>
      </c>
      <c r="H373" s="164" t="s">
        <v>22</v>
      </c>
      <c r="I373" s="165"/>
      <c r="J373" s="178"/>
      <c r="K373" s="178"/>
      <c r="L373" s="178"/>
      <c r="M373" s="178"/>
      <c r="N373" s="178"/>
      <c r="O373" s="178"/>
      <c r="P373" s="178"/>
      <c r="Q373" s="178"/>
      <c r="R373" s="178"/>
      <c r="S373" s="178"/>
      <c r="T373" s="178"/>
      <c r="U373" s="178"/>
      <c r="V373" s="178"/>
      <c r="W373" s="166"/>
      <c r="X373" s="166"/>
      <c r="Y373" s="167"/>
      <c r="Z373" s="196"/>
      <c r="AA373" s="168"/>
      <c r="AB373" s="168"/>
      <c r="AC373" s="168"/>
      <c r="AD373" s="168"/>
      <c r="AE373" s="168"/>
      <c r="AF373" s="163"/>
      <c r="AG373" s="169"/>
      <c r="AH373" s="168"/>
      <c r="AI373" s="170"/>
      <c r="AJ373" s="34"/>
    </row>
    <row r="374" spans="1:36" hidden="1">
      <c r="A374" s="78" t="s">
        <v>75</v>
      </c>
      <c r="B374" s="39" t="s">
        <v>88</v>
      </c>
      <c r="D374" s="153" t="s">
        <v>943</v>
      </c>
      <c r="E374" s="153"/>
      <c r="F374" s="68"/>
      <c r="G374" s="59" t="s">
        <v>939</v>
      </c>
      <c r="H374" s="54"/>
      <c r="I374" s="54" t="s">
        <v>88</v>
      </c>
      <c r="W374" s="60"/>
      <c r="X374" s="60"/>
      <c r="Y374" s="66"/>
      <c r="Z374" s="199"/>
      <c r="AA374" s="59"/>
      <c r="AB374" s="59"/>
      <c r="AC374" s="59"/>
      <c r="AD374" s="59"/>
      <c r="AE374" s="59"/>
      <c r="AF374" s="69"/>
      <c r="AG374" s="65"/>
      <c r="AI374" s="63"/>
      <c r="AJ374" s="39"/>
    </row>
    <row r="375" spans="1:36" s="33" customFormat="1" ht="109.35" hidden="1" customHeight="1">
      <c r="A375" s="78" t="s">
        <v>75</v>
      </c>
      <c r="B375" s="39"/>
      <c r="C375" s="162"/>
      <c r="D375" s="177" t="s">
        <v>944</v>
      </c>
      <c r="E375" s="175"/>
      <c r="F375" s="176" t="s">
        <v>945</v>
      </c>
      <c r="G375" s="163" t="s">
        <v>946</v>
      </c>
      <c r="H375" s="164" t="s">
        <v>22</v>
      </c>
      <c r="I375" s="165"/>
      <c r="J375" s="178"/>
      <c r="K375" s="178"/>
      <c r="L375" s="178"/>
      <c r="M375" s="178"/>
      <c r="N375" s="178"/>
      <c r="O375" s="178"/>
      <c r="P375" s="178"/>
      <c r="Q375" s="178"/>
      <c r="R375" s="178"/>
      <c r="S375" s="178"/>
      <c r="T375" s="178"/>
      <c r="U375" s="178"/>
      <c r="V375" s="178"/>
      <c r="W375" s="166"/>
      <c r="X375" s="166"/>
      <c r="Y375" s="167"/>
      <c r="Z375" s="196"/>
      <c r="AA375" s="168"/>
      <c r="AB375" s="168"/>
      <c r="AC375" s="168"/>
      <c r="AD375" s="168"/>
      <c r="AE375" s="168"/>
      <c r="AF375" s="163"/>
      <c r="AG375" s="169"/>
      <c r="AH375" s="168"/>
      <c r="AI375" s="170"/>
      <c r="AJ375" s="34"/>
    </row>
    <row r="376" spans="1:36" ht="27.6" hidden="1">
      <c r="A376" s="78" t="s">
        <v>75</v>
      </c>
      <c r="B376" s="39" t="s">
        <v>66</v>
      </c>
      <c r="D376" s="153" t="s">
        <v>947</v>
      </c>
      <c r="E376" s="153"/>
      <c r="F376" s="59"/>
      <c r="G376" s="59" t="s">
        <v>948</v>
      </c>
      <c r="H376" s="54"/>
      <c r="I376" s="54" t="s">
        <v>4</v>
      </c>
      <c r="W376" s="60"/>
      <c r="X376" s="60"/>
      <c r="Y376" s="61"/>
      <c r="Z376" s="199"/>
      <c r="AA376" s="59"/>
      <c r="AB376" s="59"/>
      <c r="AC376" s="59"/>
      <c r="AD376" s="59"/>
      <c r="AE376" s="62"/>
      <c r="AF376" s="62"/>
      <c r="AG376" s="65"/>
      <c r="AI376" s="63"/>
      <c r="AJ376" s="39"/>
    </row>
    <row r="377" spans="1:36" ht="27.6" hidden="1">
      <c r="A377" s="78" t="s">
        <v>75</v>
      </c>
      <c r="B377" s="39" t="s">
        <v>66</v>
      </c>
      <c r="D377" s="153" t="s">
        <v>949</v>
      </c>
      <c r="E377" s="153"/>
      <c r="F377" s="59"/>
      <c r="G377" s="59" t="s">
        <v>950</v>
      </c>
      <c r="H377" s="54"/>
      <c r="I377" s="54" t="s">
        <v>4</v>
      </c>
      <c r="W377" s="60"/>
      <c r="X377" s="60"/>
      <c r="Y377" s="61"/>
      <c r="Z377" s="199"/>
      <c r="AA377" s="59"/>
      <c r="AB377" s="59"/>
      <c r="AC377" s="59"/>
      <c r="AD377" s="59"/>
      <c r="AE377" s="62"/>
      <c r="AF377" s="62"/>
      <c r="AG377" s="65"/>
      <c r="AI377" s="63"/>
      <c r="AJ377" s="39"/>
    </row>
    <row r="378" spans="1:36" s="33" customFormat="1" ht="118.35" hidden="1" customHeight="1">
      <c r="A378" s="78" t="s">
        <v>75</v>
      </c>
      <c r="B378" s="39"/>
      <c r="C378" s="162"/>
      <c r="D378" s="177" t="s">
        <v>951</v>
      </c>
      <c r="E378" s="175"/>
      <c r="F378" s="176" t="s">
        <v>952</v>
      </c>
      <c r="G378" s="305" t="s">
        <v>953</v>
      </c>
      <c r="H378" s="164" t="s">
        <v>22</v>
      </c>
      <c r="I378" s="165"/>
      <c r="J378" s="178"/>
      <c r="K378" s="178"/>
      <c r="L378" s="178"/>
      <c r="M378" s="178"/>
      <c r="N378" s="178"/>
      <c r="O378" s="178"/>
      <c r="P378" s="178"/>
      <c r="Q378" s="178"/>
      <c r="R378" s="178"/>
      <c r="S378" s="178"/>
      <c r="T378" s="178"/>
      <c r="U378" s="178"/>
      <c r="V378" s="178"/>
      <c r="W378" s="166"/>
      <c r="X378" s="166"/>
      <c r="Y378" s="167"/>
      <c r="Z378" s="196"/>
      <c r="AA378" s="168"/>
      <c r="AB378" s="168"/>
      <c r="AC378" s="168"/>
      <c r="AD378" s="168"/>
      <c r="AE378" s="168"/>
      <c r="AF378" s="163"/>
      <c r="AG378" s="169"/>
      <c r="AH378" s="168"/>
      <c r="AI378" s="170"/>
      <c r="AJ378" s="34"/>
    </row>
    <row r="379" spans="1:36" ht="27.6" hidden="1">
      <c r="A379" s="39" t="s">
        <v>75</v>
      </c>
      <c r="B379" s="39" t="s">
        <v>421</v>
      </c>
      <c r="D379" s="153" t="s">
        <v>954</v>
      </c>
      <c r="E379" s="153" t="s">
        <v>69</v>
      </c>
      <c r="F379" s="59"/>
      <c r="G379" s="72" t="s">
        <v>955</v>
      </c>
      <c r="H379" s="54"/>
      <c r="I379" s="54" t="s">
        <v>92</v>
      </c>
      <c r="W379" s="60"/>
      <c r="X379" s="60"/>
      <c r="Y379" s="61"/>
      <c r="Z379" s="199"/>
      <c r="AA379" s="59"/>
      <c r="AB379" s="59"/>
      <c r="AC379" s="59"/>
      <c r="AD379" s="59"/>
      <c r="AE379" s="62"/>
      <c r="AF379" s="62"/>
      <c r="AG379" s="65"/>
      <c r="AI379" s="63"/>
      <c r="AJ379" s="39"/>
    </row>
    <row r="380" spans="1:36" ht="27.6" hidden="1">
      <c r="A380" s="39" t="s">
        <v>75</v>
      </c>
      <c r="B380" s="39" t="s">
        <v>421</v>
      </c>
      <c r="D380" s="153" t="s">
        <v>956</v>
      </c>
      <c r="E380" s="153" t="s">
        <v>69</v>
      </c>
      <c r="F380" s="59"/>
      <c r="G380" s="72" t="s">
        <v>957</v>
      </c>
      <c r="H380" s="54"/>
      <c r="I380" s="54" t="s">
        <v>92</v>
      </c>
      <c r="W380" s="60"/>
      <c r="X380" s="60"/>
      <c r="Y380" s="61"/>
      <c r="Z380" s="199"/>
      <c r="AA380" s="59"/>
      <c r="AB380" s="59"/>
      <c r="AC380" s="59"/>
      <c r="AD380" s="59"/>
      <c r="AE380" s="62"/>
      <c r="AF380" s="62"/>
      <c r="AG380" s="65"/>
      <c r="AI380" s="63"/>
      <c r="AJ380" s="39"/>
    </row>
    <row r="381" spans="1:36" ht="27.6" hidden="1">
      <c r="A381" s="39" t="s">
        <v>75</v>
      </c>
      <c r="B381" s="39" t="s">
        <v>421</v>
      </c>
      <c r="D381" s="153" t="s">
        <v>958</v>
      </c>
      <c r="E381" s="153" t="s">
        <v>69</v>
      </c>
      <c r="F381" s="59"/>
      <c r="G381" s="72" t="s">
        <v>959</v>
      </c>
      <c r="H381" s="54"/>
      <c r="I381" s="54" t="s">
        <v>92</v>
      </c>
      <c r="W381" s="60"/>
      <c r="X381" s="60"/>
      <c r="Y381" s="61"/>
      <c r="Z381" s="199"/>
      <c r="AA381" s="59"/>
      <c r="AB381" s="59"/>
      <c r="AC381" s="59"/>
      <c r="AD381" s="59"/>
      <c r="AE381" s="62"/>
      <c r="AF381" s="62"/>
      <c r="AG381" s="65"/>
      <c r="AI381" s="63"/>
      <c r="AJ381" s="39"/>
    </row>
    <row r="382" spans="1:36" ht="27.6" hidden="1">
      <c r="A382" s="39" t="s">
        <v>75</v>
      </c>
      <c r="B382" s="39" t="s">
        <v>421</v>
      </c>
      <c r="D382" s="153" t="s">
        <v>960</v>
      </c>
      <c r="E382" s="153" t="s">
        <v>69</v>
      </c>
      <c r="F382" s="59"/>
      <c r="G382" s="72" t="s">
        <v>961</v>
      </c>
      <c r="H382" s="54"/>
      <c r="I382" s="54" t="s">
        <v>92</v>
      </c>
      <c r="W382" s="60"/>
      <c r="X382" s="60"/>
      <c r="Y382" s="61"/>
      <c r="Z382" s="199"/>
      <c r="AA382" s="59"/>
      <c r="AB382" s="59"/>
      <c r="AC382" s="59"/>
      <c r="AD382" s="59"/>
      <c r="AE382" s="62"/>
      <c r="AF382" s="62"/>
      <c r="AG382" s="65"/>
      <c r="AI382" s="63"/>
      <c r="AJ382" s="39"/>
    </row>
    <row r="383" spans="1:36" s="286" customFormat="1" ht="27.6" hidden="1">
      <c r="A383" s="286" t="s">
        <v>75</v>
      </c>
      <c r="B383" s="286" t="s">
        <v>66</v>
      </c>
      <c r="C383" s="287"/>
      <c r="D383" s="154" t="s">
        <v>962</v>
      </c>
      <c r="E383" s="154" t="s">
        <v>69</v>
      </c>
      <c r="F383" s="243"/>
      <c r="G383" s="243" t="s">
        <v>963</v>
      </c>
      <c r="H383" s="289"/>
      <c r="I383" s="289" t="s">
        <v>71</v>
      </c>
      <c r="J383" s="269"/>
      <c r="K383" s="269"/>
      <c r="L383" s="269"/>
      <c r="M383" s="269"/>
      <c r="N383" s="269"/>
      <c r="O383" s="269"/>
      <c r="P383" s="269"/>
      <c r="Q383" s="269"/>
      <c r="R383" s="269"/>
      <c r="S383" s="269"/>
      <c r="T383" s="269"/>
      <c r="U383" s="269"/>
      <c r="V383" s="269"/>
      <c r="W383" s="278"/>
      <c r="X383" s="278"/>
      <c r="Y383" s="279"/>
      <c r="Z383" s="277"/>
      <c r="AA383" s="280"/>
      <c r="AB383" s="280"/>
      <c r="AC383" s="280"/>
      <c r="AD383" s="280"/>
      <c r="AE383" s="281"/>
      <c r="AF383" s="281"/>
      <c r="AG383" s="274"/>
      <c r="AH383" s="268"/>
      <c r="AI383" s="297"/>
    </row>
    <row r="384" spans="1:36" ht="21.6" hidden="1" customHeight="1">
      <c r="A384" s="39" t="s">
        <v>75</v>
      </c>
      <c r="D384" s="153"/>
      <c r="E384" s="153"/>
      <c r="F384" s="72" t="s">
        <v>77</v>
      </c>
      <c r="G384" s="72" t="s">
        <v>964</v>
      </c>
      <c r="H384" s="54"/>
      <c r="W384" s="60"/>
      <c r="X384" s="60"/>
      <c r="Y384" s="61"/>
      <c r="Z384" s="199"/>
      <c r="AA384" s="59"/>
      <c r="AB384" s="59"/>
      <c r="AC384" s="59"/>
      <c r="AD384" s="59"/>
      <c r="AE384" s="62"/>
      <c r="AF384" s="62"/>
      <c r="AG384" s="65"/>
      <c r="AI384" s="63"/>
      <c r="AJ384" s="39"/>
    </row>
    <row r="385" spans="1:36" s="33" customFormat="1" ht="34.5" hidden="1" customHeight="1">
      <c r="A385" s="39" t="s">
        <v>75</v>
      </c>
      <c r="B385" s="39"/>
      <c r="C385" s="162"/>
      <c r="D385" s="177" t="s">
        <v>965</v>
      </c>
      <c r="E385" s="175"/>
      <c r="F385" s="176"/>
      <c r="G385" s="163" t="s">
        <v>966</v>
      </c>
      <c r="H385" s="164" t="s">
        <v>22</v>
      </c>
      <c r="I385" s="165"/>
      <c r="J385" s="178"/>
      <c r="K385" s="178"/>
      <c r="L385" s="178"/>
      <c r="M385" s="178"/>
      <c r="N385" s="178"/>
      <c r="O385" s="178"/>
      <c r="P385" s="178"/>
      <c r="Q385" s="178"/>
      <c r="R385" s="178"/>
      <c r="S385" s="178"/>
      <c r="T385" s="178"/>
      <c r="U385" s="178"/>
      <c r="V385" s="178"/>
      <c r="W385" s="166"/>
      <c r="X385" s="166"/>
      <c r="Y385" s="167"/>
      <c r="Z385" s="217"/>
      <c r="AA385" s="168"/>
      <c r="AB385" s="168"/>
      <c r="AC385" s="168"/>
      <c r="AD385" s="168"/>
      <c r="AE385" s="168"/>
      <c r="AF385" s="163"/>
      <c r="AG385" s="169"/>
      <c r="AH385" s="168"/>
      <c r="AI385" s="170"/>
      <c r="AJ385" s="34"/>
    </row>
    <row r="386" spans="1:36" hidden="1">
      <c r="A386" s="39" t="s">
        <v>75</v>
      </c>
      <c r="B386" s="39" t="s">
        <v>421</v>
      </c>
      <c r="D386" s="153" t="s">
        <v>967</v>
      </c>
      <c r="E386" s="153" t="s">
        <v>69</v>
      </c>
      <c r="F386" s="68"/>
      <c r="G386" s="52" t="s">
        <v>968</v>
      </c>
      <c r="H386" s="54"/>
      <c r="I386" s="54" t="s">
        <v>92</v>
      </c>
      <c r="W386" s="60"/>
      <c r="X386" s="60"/>
      <c r="Y386" s="62"/>
      <c r="Z386" s="199"/>
      <c r="AA386" s="64"/>
      <c r="AB386" s="54"/>
      <c r="AC386" s="54"/>
      <c r="AD386" s="54"/>
      <c r="AE386" s="54"/>
      <c r="AF386" s="54"/>
      <c r="AG386" s="53"/>
      <c r="AH386" s="53"/>
      <c r="AI386" s="61"/>
      <c r="AJ386" s="39"/>
    </row>
    <row r="387" spans="1:36" s="33" customFormat="1" ht="50.1" hidden="1" customHeight="1">
      <c r="A387" s="39" t="s">
        <v>75</v>
      </c>
      <c r="B387" s="39"/>
      <c r="C387" s="162"/>
      <c r="D387" s="177" t="s">
        <v>969</v>
      </c>
      <c r="E387" s="175"/>
      <c r="F387" s="176"/>
      <c r="G387" s="163" t="s">
        <v>970</v>
      </c>
      <c r="H387" s="164" t="s">
        <v>22</v>
      </c>
      <c r="I387" s="165"/>
      <c r="J387" s="178"/>
      <c r="K387" s="178"/>
      <c r="L387" s="178"/>
      <c r="M387" s="178"/>
      <c r="N387" s="178"/>
      <c r="O387" s="178"/>
      <c r="P387" s="178"/>
      <c r="Q387" s="178"/>
      <c r="R387" s="178"/>
      <c r="S387" s="178"/>
      <c r="T387" s="178"/>
      <c r="U387" s="178"/>
      <c r="V387" s="178"/>
      <c r="W387" s="166"/>
      <c r="X387" s="166"/>
      <c r="Y387" s="167"/>
      <c r="Z387" s="217"/>
      <c r="AA387" s="168"/>
      <c r="AB387" s="168"/>
      <c r="AC387" s="168"/>
      <c r="AD387" s="168"/>
      <c r="AE387" s="168"/>
      <c r="AF387" s="163"/>
      <c r="AG387" s="169"/>
      <c r="AH387" s="168"/>
      <c r="AI387" s="170"/>
      <c r="AJ387" s="34"/>
    </row>
    <row r="388" spans="1:36" hidden="1">
      <c r="A388" s="39" t="s">
        <v>75</v>
      </c>
      <c r="B388" s="39" t="s">
        <v>421</v>
      </c>
      <c r="D388" s="153" t="s">
        <v>971</v>
      </c>
      <c r="E388" s="153" t="s">
        <v>69</v>
      </c>
      <c r="F388" s="51"/>
      <c r="G388" s="59" t="s">
        <v>972</v>
      </c>
      <c r="H388" s="54"/>
      <c r="I388" s="54" t="s">
        <v>92</v>
      </c>
      <c r="W388" s="60"/>
      <c r="X388" s="60"/>
      <c r="Y388" s="61"/>
      <c r="Z388" s="199"/>
      <c r="AA388" s="59"/>
      <c r="AB388" s="59"/>
      <c r="AC388" s="59"/>
      <c r="AD388" s="59"/>
      <c r="AE388" s="62"/>
      <c r="AF388" s="62"/>
      <c r="AG388" s="65"/>
      <c r="AI388" s="63"/>
    </row>
    <row r="389" spans="1:36" hidden="1">
      <c r="A389" s="39" t="s">
        <v>75</v>
      </c>
      <c r="B389" s="39" t="s">
        <v>421</v>
      </c>
      <c r="D389" s="153" t="s">
        <v>973</v>
      </c>
      <c r="E389" s="153" t="s">
        <v>69</v>
      </c>
      <c r="F389" s="51"/>
      <c r="G389" s="59" t="s">
        <v>974</v>
      </c>
      <c r="H389" s="54"/>
      <c r="I389" s="54" t="s">
        <v>92</v>
      </c>
      <c r="W389" s="60"/>
      <c r="X389" s="60"/>
      <c r="Y389" s="61"/>
      <c r="Z389" s="199"/>
      <c r="AA389" s="59"/>
      <c r="AB389" s="59"/>
      <c r="AC389" s="59"/>
      <c r="AD389" s="59"/>
      <c r="AE389" s="62"/>
      <c r="AF389" s="62"/>
      <c r="AG389" s="65"/>
      <c r="AI389" s="63"/>
    </row>
    <row r="390" spans="1:36" hidden="1">
      <c r="A390" s="39" t="s">
        <v>75</v>
      </c>
      <c r="B390" s="39" t="s">
        <v>421</v>
      </c>
      <c r="D390" s="153" t="s">
        <v>975</v>
      </c>
      <c r="E390" s="153" t="s">
        <v>69</v>
      </c>
      <c r="F390" s="51"/>
      <c r="G390" s="59" t="s">
        <v>976</v>
      </c>
      <c r="H390" s="54"/>
      <c r="I390" s="54" t="s">
        <v>92</v>
      </c>
      <c r="W390" s="60"/>
      <c r="X390" s="60"/>
      <c r="Y390" s="61"/>
      <c r="Z390" s="199"/>
      <c r="AA390" s="59"/>
      <c r="AB390" s="59"/>
      <c r="AC390" s="59"/>
      <c r="AD390" s="59"/>
      <c r="AE390" s="62"/>
      <c r="AF390" s="62"/>
      <c r="AG390" s="65"/>
      <c r="AI390" s="63"/>
    </row>
    <row r="391" spans="1:36" s="33" customFormat="1" ht="34.5" hidden="1" customHeight="1">
      <c r="A391" s="39" t="s">
        <v>75</v>
      </c>
      <c r="B391" s="39"/>
      <c r="C391" s="162"/>
      <c r="D391" s="177" t="s">
        <v>977</v>
      </c>
      <c r="E391" s="175"/>
      <c r="F391" s="176"/>
      <c r="G391" s="163" t="s">
        <v>978</v>
      </c>
      <c r="H391" s="164" t="s">
        <v>22</v>
      </c>
      <c r="I391" s="165"/>
      <c r="J391" s="178"/>
      <c r="K391" s="178"/>
      <c r="L391" s="178"/>
      <c r="M391" s="178"/>
      <c r="N391" s="178"/>
      <c r="O391" s="178"/>
      <c r="P391" s="178"/>
      <c r="Q391" s="178"/>
      <c r="R391" s="178"/>
      <c r="S391" s="178"/>
      <c r="T391" s="178"/>
      <c r="U391" s="178"/>
      <c r="V391" s="178"/>
      <c r="W391" s="166"/>
      <c r="X391" s="166"/>
      <c r="Y391" s="167"/>
      <c r="Z391" s="217"/>
      <c r="AA391" s="168"/>
      <c r="AB391" s="168"/>
      <c r="AC391" s="168"/>
      <c r="AD391" s="168"/>
      <c r="AE391" s="168"/>
      <c r="AF391" s="163"/>
      <c r="AG391" s="169"/>
      <c r="AH391" s="168"/>
      <c r="AI391" s="170"/>
      <c r="AJ391" s="34"/>
    </row>
    <row r="392" spans="1:36" hidden="1">
      <c r="A392" s="39" t="s">
        <v>75</v>
      </c>
      <c r="B392" s="39" t="s">
        <v>421</v>
      </c>
      <c r="D392" s="153" t="s">
        <v>979</v>
      </c>
      <c r="E392" s="153" t="s">
        <v>69</v>
      </c>
      <c r="F392" s="68"/>
      <c r="G392" s="59" t="s">
        <v>980</v>
      </c>
      <c r="H392" s="54"/>
      <c r="I392" s="54" t="s">
        <v>92</v>
      </c>
      <c r="W392" s="60"/>
      <c r="X392" s="60"/>
      <c r="Y392" s="61"/>
      <c r="Z392" s="199"/>
      <c r="AA392" s="59"/>
      <c r="AB392" s="59"/>
      <c r="AC392" s="59"/>
      <c r="AD392" s="59"/>
      <c r="AE392" s="62"/>
      <c r="AF392" s="62"/>
      <c r="AG392" s="65"/>
      <c r="AI392" s="63"/>
      <c r="AJ392" s="39"/>
    </row>
    <row r="393" spans="1:36" s="33" customFormat="1" ht="50.85" hidden="1" customHeight="1">
      <c r="A393" s="39" t="s">
        <v>75</v>
      </c>
      <c r="B393" s="39"/>
      <c r="C393" s="162"/>
      <c r="D393" s="177" t="s">
        <v>981</v>
      </c>
      <c r="E393" s="175"/>
      <c r="F393" s="176"/>
      <c r="G393" s="163" t="s">
        <v>982</v>
      </c>
      <c r="H393" s="164" t="s">
        <v>22</v>
      </c>
      <c r="I393" s="165"/>
      <c r="J393" s="178"/>
      <c r="K393" s="178"/>
      <c r="L393" s="178"/>
      <c r="M393" s="178"/>
      <c r="N393" s="178"/>
      <c r="O393" s="178"/>
      <c r="P393" s="178"/>
      <c r="Q393" s="178"/>
      <c r="R393" s="178"/>
      <c r="S393" s="178"/>
      <c r="T393" s="178"/>
      <c r="U393" s="178"/>
      <c r="V393" s="178"/>
      <c r="W393" s="166"/>
      <c r="X393" s="166"/>
      <c r="Y393" s="167"/>
      <c r="Z393" s="196"/>
      <c r="AA393" s="168"/>
      <c r="AB393" s="168"/>
      <c r="AC393" s="168"/>
      <c r="AD393" s="168"/>
      <c r="AE393" s="168"/>
      <c r="AF393" s="163"/>
      <c r="AG393" s="169"/>
      <c r="AH393" s="168"/>
      <c r="AI393" s="170"/>
      <c r="AJ393" s="34"/>
    </row>
    <row r="394" spans="1:36" ht="48" hidden="1" customHeight="1">
      <c r="A394" s="39" t="s">
        <v>75</v>
      </c>
      <c r="B394" s="39" t="s">
        <v>421</v>
      </c>
      <c r="D394" s="153" t="s">
        <v>983</v>
      </c>
      <c r="E394" s="153" t="s">
        <v>69</v>
      </c>
      <c r="F394" s="52"/>
      <c r="G394" s="59" t="s">
        <v>984</v>
      </c>
      <c r="H394" s="54"/>
      <c r="I394" s="54" t="s">
        <v>4</v>
      </c>
      <c r="W394" s="60"/>
      <c r="X394" s="60"/>
      <c r="Y394" s="66"/>
      <c r="Z394" s="199"/>
      <c r="AA394" s="59"/>
      <c r="AB394" s="59"/>
      <c r="AC394" s="59"/>
      <c r="AD394" s="59"/>
      <c r="AE394" s="59"/>
      <c r="AF394" s="69"/>
      <c r="AG394" s="65"/>
      <c r="AI394" s="63"/>
    </row>
    <row r="395" spans="1:36" ht="48" hidden="1" customHeight="1">
      <c r="A395" s="39" t="s">
        <v>75</v>
      </c>
      <c r="B395" s="39" t="s">
        <v>421</v>
      </c>
      <c r="D395" s="153" t="s">
        <v>985</v>
      </c>
      <c r="E395" s="153" t="s">
        <v>69</v>
      </c>
      <c r="F395" s="52"/>
      <c r="G395" s="59" t="s">
        <v>986</v>
      </c>
      <c r="H395" s="54"/>
      <c r="I395" s="54" t="s">
        <v>92</v>
      </c>
      <c r="W395" s="60"/>
      <c r="X395" s="60"/>
      <c r="Y395" s="66"/>
      <c r="Z395" s="199"/>
      <c r="AA395" s="59"/>
      <c r="AB395" s="59"/>
      <c r="AC395" s="59"/>
      <c r="AD395" s="59"/>
      <c r="AE395" s="59"/>
      <c r="AF395" s="69"/>
      <c r="AG395" s="65"/>
      <c r="AI395" s="63"/>
    </row>
    <row r="396" spans="1:36" ht="48" hidden="1" customHeight="1">
      <c r="A396" s="291" t="s">
        <v>75</v>
      </c>
      <c r="D396" s="153" t="s">
        <v>987</v>
      </c>
      <c r="E396" s="153"/>
      <c r="F396" s="70" t="s">
        <v>77</v>
      </c>
      <c r="G396" s="72" t="s">
        <v>988</v>
      </c>
      <c r="H396" s="54"/>
      <c r="W396" s="60"/>
      <c r="X396" s="60"/>
      <c r="Y396" s="66"/>
      <c r="Z396" s="199"/>
      <c r="AA396" s="59"/>
      <c r="AB396" s="59"/>
      <c r="AC396" s="59"/>
      <c r="AD396" s="59"/>
      <c r="AE396" s="59"/>
      <c r="AF396" s="69"/>
      <c r="AG396" s="65"/>
      <c r="AI396" s="63"/>
    </row>
    <row r="397" spans="1:36" s="33" customFormat="1" ht="66.599999999999994" hidden="1" customHeight="1">
      <c r="A397" s="39" t="s">
        <v>75</v>
      </c>
      <c r="B397" s="39"/>
      <c r="C397" s="162"/>
      <c r="D397" s="177" t="s">
        <v>989</v>
      </c>
      <c r="E397" s="175"/>
      <c r="F397" s="176"/>
      <c r="G397" s="163" t="s">
        <v>990</v>
      </c>
      <c r="H397" s="164" t="s">
        <v>22</v>
      </c>
      <c r="I397" s="165"/>
      <c r="J397" s="178"/>
      <c r="K397" s="178"/>
      <c r="L397" s="178"/>
      <c r="M397" s="178"/>
      <c r="N397" s="178"/>
      <c r="O397" s="178"/>
      <c r="P397" s="178"/>
      <c r="Q397" s="178"/>
      <c r="R397" s="178"/>
      <c r="S397" s="178"/>
      <c r="T397" s="178"/>
      <c r="U397" s="178"/>
      <c r="V397" s="178"/>
      <c r="W397" s="166"/>
      <c r="X397" s="166"/>
      <c r="Y397" s="167"/>
      <c r="Z397" s="217"/>
      <c r="AA397" s="168"/>
      <c r="AB397" s="168"/>
      <c r="AC397" s="168"/>
      <c r="AD397" s="168"/>
      <c r="AE397" s="168"/>
      <c r="AF397" s="163"/>
      <c r="AG397" s="169"/>
      <c r="AH397" s="168"/>
      <c r="AI397" s="170"/>
      <c r="AJ397" s="34"/>
    </row>
    <row r="398" spans="1:36" ht="27.6" hidden="1">
      <c r="A398" s="39" t="s">
        <v>75</v>
      </c>
      <c r="B398" s="39" t="s">
        <v>421</v>
      </c>
      <c r="C398" s="71"/>
      <c r="D398" s="153" t="s">
        <v>991</v>
      </c>
      <c r="E398" s="153" t="s">
        <v>69</v>
      </c>
      <c r="F398" s="59"/>
      <c r="G398" s="250" t="s">
        <v>992</v>
      </c>
      <c r="H398" s="54"/>
      <c r="I398" s="54" t="s">
        <v>92</v>
      </c>
      <c r="W398" s="74"/>
      <c r="X398" s="74"/>
      <c r="Y398" s="75"/>
      <c r="Z398" s="199"/>
      <c r="AA398" s="72"/>
      <c r="AB398" s="72"/>
      <c r="AC398" s="72"/>
      <c r="AD398" s="72"/>
      <c r="AE398" s="76"/>
      <c r="AF398" s="80"/>
      <c r="AG398" s="65"/>
      <c r="AH398" s="70"/>
      <c r="AI398" s="77"/>
    </row>
    <row r="399" spans="1:36" ht="27.6" hidden="1">
      <c r="A399" s="39" t="s">
        <v>75</v>
      </c>
      <c r="B399" s="39" t="s">
        <v>421</v>
      </c>
      <c r="C399" s="71"/>
      <c r="D399" s="153" t="s">
        <v>993</v>
      </c>
      <c r="E399" s="153" t="s">
        <v>69</v>
      </c>
      <c r="F399" s="59"/>
      <c r="G399" s="250" t="s">
        <v>994</v>
      </c>
      <c r="H399" s="54"/>
      <c r="I399" s="54" t="s">
        <v>92</v>
      </c>
      <c r="W399" s="74"/>
      <c r="X399" s="74"/>
      <c r="Y399" s="75"/>
      <c r="Z399" s="199"/>
      <c r="AA399" s="72"/>
      <c r="AB399" s="72"/>
      <c r="AC399" s="72"/>
      <c r="AD399" s="72"/>
      <c r="AE399" s="76"/>
      <c r="AF399" s="80"/>
      <c r="AG399" s="65"/>
      <c r="AH399" s="70"/>
      <c r="AI399" s="77"/>
    </row>
    <row r="400" spans="1:36" ht="27.6" hidden="1">
      <c r="A400" s="39" t="s">
        <v>75</v>
      </c>
      <c r="B400" s="39" t="s">
        <v>421</v>
      </c>
      <c r="C400" s="71"/>
      <c r="D400" s="153" t="s">
        <v>995</v>
      </c>
      <c r="E400" s="153" t="s">
        <v>69</v>
      </c>
      <c r="F400" s="59"/>
      <c r="G400" s="250" t="s">
        <v>996</v>
      </c>
      <c r="H400" s="54"/>
      <c r="I400" s="54" t="s">
        <v>92</v>
      </c>
      <c r="W400" s="74"/>
      <c r="X400" s="74"/>
      <c r="Y400" s="75"/>
      <c r="Z400" s="199"/>
      <c r="AA400" s="72"/>
      <c r="AB400" s="72"/>
      <c r="AC400" s="72"/>
      <c r="AD400" s="72"/>
      <c r="AE400" s="76"/>
      <c r="AF400" s="80"/>
      <c r="AG400" s="65"/>
      <c r="AH400" s="70"/>
      <c r="AI400" s="77"/>
    </row>
    <row r="401" spans="1:36" ht="27.6" hidden="1">
      <c r="A401" s="39" t="s">
        <v>75</v>
      </c>
      <c r="C401" s="162"/>
      <c r="D401" s="224" t="s">
        <v>997</v>
      </c>
      <c r="E401" s="175"/>
      <c r="F401" s="229"/>
      <c r="G401" s="163" t="s">
        <v>998</v>
      </c>
      <c r="H401" s="164" t="s">
        <v>22</v>
      </c>
      <c r="I401" s="165"/>
      <c r="W401" s="215"/>
      <c r="X401" s="215"/>
      <c r="Y401" s="216"/>
      <c r="Z401" s="217"/>
      <c r="AA401" s="218"/>
      <c r="AB401" s="218"/>
      <c r="AC401" s="218"/>
      <c r="AD401" s="218"/>
      <c r="AE401" s="218"/>
      <c r="AF401" s="219"/>
      <c r="AG401" s="169"/>
      <c r="AH401" s="168"/>
      <c r="AI401" s="238"/>
    </row>
    <row r="402" spans="1:36" s="33" customFormat="1" ht="34.5" hidden="1" customHeight="1">
      <c r="A402" s="39" t="s">
        <v>75</v>
      </c>
      <c r="B402" s="39" t="s">
        <v>421</v>
      </c>
      <c r="C402" s="49"/>
      <c r="D402" s="223" t="s">
        <v>999</v>
      </c>
      <c r="E402" s="153" t="s">
        <v>69</v>
      </c>
      <c r="F402" s="51"/>
      <c r="G402" s="52" t="s">
        <v>1000</v>
      </c>
      <c r="H402" s="53"/>
      <c r="I402" s="54" t="s">
        <v>92</v>
      </c>
      <c r="J402" s="178"/>
      <c r="K402" s="178"/>
      <c r="L402" s="178"/>
      <c r="M402" s="178"/>
      <c r="N402" s="178"/>
      <c r="O402" s="178"/>
      <c r="P402" s="178"/>
      <c r="Q402" s="178"/>
      <c r="R402" s="178"/>
      <c r="S402" s="178"/>
      <c r="T402" s="178"/>
      <c r="U402" s="178"/>
      <c r="V402" s="178"/>
      <c r="W402" s="55"/>
      <c r="X402" s="55"/>
      <c r="Y402" s="49"/>
      <c r="Z402" s="197"/>
      <c r="AA402" s="52"/>
      <c r="AB402" s="52"/>
      <c r="AC402" s="52"/>
      <c r="AD402" s="52"/>
      <c r="AE402" s="52"/>
      <c r="AF402" s="194"/>
      <c r="AG402" s="65"/>
      <c r="AH402" s="52"/>
      <c r="AI402" s="220"/>
      <c r="AJ402" s="34"/>
    </row>
    <row r="403" spans="1:36" ht="27.6" hidden="1">
      <c r="A403" s="39" t="s">
        <v>75</v>
      </c>
      <c r="C403" s="162"/>
      <c r="D403" s="224" t="s">
        <v>1001</v>
      </c>
      <c r="E403" s="228"/>
      <c r="F403" s="229"/>
      <c r="G403" s="163" t="s">
        <v>1002</v>
      </c>
      <c r="H403" s="164" t="s">
        <v>22</v>
      </c>
      <c r="I403" s="165"/>
      <c r="W403" s="215"/>
      <c r="X403" s="215"/>
      <c r="Y403" s="216"/>
      <c r="Z403" s="217"/>
      <c r="AA403" s="218"/>
      <c r="AB403" s="218"/>
      <c r="AC403" s="218"/>
      <c r="AD403" s="218"/>
      <c r="AE403" s="218"/>
      <c r="AF403" s="219"/>
      <c r="AG403" s="169"/>
      <c r="AH403" s="168"/>
      <c r="AI403" s="238"/>
    </row>
    <row r="404" spans="1:36" s="33" customFormat="1" ht="34.5" hidden="1" customHeight="1">
      <c r="A404" s="39" t="s">
        <v>75</v>
      </c>
      <c r="B404" s="39" t="s">
        <v>421</v>
      </c>
      <c r="C404" s="71"/>
      <c r="D404" s="223" t="s">
        <v>1003</v>
      </c>
      <c r="E404" s="153" t="s">
        <v>69</v>
      </c>
      <c r="F404" s="52"/>
      <c r="G404" s="52" t="s">
        <v>1004</v>
      </c>
      <c r="H404" s="53"/>
      <c r="I404" s="54" t="s">
        <v>92</v>
      </c>
      <c r="J404" s="178"/>
      <c r="K404" s="178"/>
      <c r="L404" s="178"/>
      <c r="M404" s="178"/>
      <c r="N404" s="178"/>
      <c r="O404" s="178"/>
      <c r="P404" s="178"/>
      <c r="Q404" s="178"/>
      <c r="R404" s="178"/>
      <c r="S404" s="178"/>
      <c r="T404" s="178"/>
      <c r="U404" s="178"/>
      <c r="V404" s="178"/>
      <c r="W404" s="55"/>
      <c r="X404" s="55"/>
      <c r="Y404" s="49"/>
      <c r="Z404" s="197"/>
      <c r="AA404" s="52"/>
      <c r="AB404" s="52"/>
      <c r="AC404" s="52"/>
      <c r="AD404" s="52"/>
      <c r="AE404" s="52"/>
      <c r="AF404" s="52"/>
      <c r="AG404" s="65"/>
      <c r="AH404" s="52"/>
      <c r="AI404" s="220"/>
      <c r="AJ404" s="34"/>
    </row>
    <row r="405" spans="1:36" ht="27.6" hidden="1">
      <c r="A405" s="39" t="s">
        <v>75</v>
      </c>
      <c r="C405" s="162"/>
      <c r="D405" s="224" t="s">
        <v>1005</v>
      </c>
      <c r="E405" s="175"/>
      <c r="F405" s="229"/>
      <c r="G405" s="163" t="s">
        <v>1006</v>
      </c>
      <c r="H405" s="164" t="s">
        <v>22</v>
      </c>
      <c r="I405" s="165"/>
      <c r="W405" s="215"/>
      <c r="X405" s="215"/>
      <c r="Y405" s="216"/>
      <c r="Z405" s="217"/>
      <c r="AA405" s="218"/>
      <c r="AB405" s="218"/>
      <c r="AC405" s="218"/>
      <c r="AD405" s="218"/>
      <c r="AE405" s="218"/>
      <c r="AF405" s="219"/>
      <c r="AG405" s="169"/>
      <c r="AH405" s="168"/>
      <c r="AI405" s="238"/>
      <c r="AJ405" s="39"/>
    </row>
    <row r="406" spans="1:36" s="33" customFormat="1" ht="34.5" hidden="1" customHeight="1">
      <c r="A406" s="39" t="s">
        <v>75</v>
      </c>
      <c r="B406" s="39" t="s">
        <v>66</v>
      </c>
      <c r="C406" s="49"/>
      <c r="D406" s="223" t="s">
        <v>1007</v>
      </c>
      <c r="E406" s="153" t="s">
        <v>69</v>
      </c>
      <c r="F406" s="51"/>
      <c r="G406" s="231" t="s">
        <v>1008</v>
      </c>
      <c r="H406" s="53"/>
      <c r="I406" s="54" t="s">
        <v>4</v>
      </c>
      <c r="J406" s="178"/>
      <c r="K406" s="178"/>
      <c r="L406" s="178"/>
      <c r="M406" s="178"/>
      <c r="N406" s="178"/>
      <c r="O406" s="178"/>
      <c r="P406" s="178"/>
      <c r="Q406" s="178"/>
      <c r="R406" s="178"/>
      <c r="S406" s="178"/>
      <c r="T406" s="178"/>
      <c r="U406" s="178"/>
      <c r="V406" s="178"/>
      <c r="W406" s="55"/>
      <c r="X406" s="55"/>
      <c r="Y406" s="49"/>
      <c r="Z406" s="197"/>
      <c r="AA406" s="52"/>
      <c r="AB406" s="52"/>
      <c r="AC406" s="52"/>
      <c r="AD406" s="52"/>
      <c r="AE406" s="52"/>
      <c r="AF406" s="194"/>
      <c r="AG406" s="65"/>
      <c r="AH406" s="52"/>
      <c r="AI406" s="220"/>
      <c r="AJ406" s="34"/>
    </row>
    <row r="407" spans="1:36" s="33" customFormat="1" ht="34.5" hidden="1" customHeight="1">
      <c r="A407" s="39" t="s">
        <v>75</v>
      </c>
      <c r="B407" s="39"/>
      <c r="C407" s="49"/>
      <c r="D407" s="223" t="s">
        <v>1009</v>
      </c>
      <c r="E407" s="223"/>
      <c r="F407" s="51" t="s">
        <v>77</v>
      </c>
      <c r="G407" s="250" t="s">
        <v>1010</v>
      </c>
      <c r="H407" s="53"/>
      <c r="I407" s="54"/>
      <c r="J407" s="178"/>
      <c r="K407" s="178"/>
      <c r="L407" s="178"/>
      <c r="M407" s="178"/>
      <c r="N407" s="178"/>
      <c r="O407" s="178"/>
      <c r="P407" s="178"/>
      <c r="Q407" s="178"/>
      <c r="R407" s="178"/>
      <c r="S407" s="178"/>
      <c r="T407" s="178"/>
      <c r="U407" s="178"/>
      <c r="V407" s="178"/>
      <c r="W407" s="55"/>
      <c r="X407" s="55"/>
      <c r="Y407" s="49"/>
      <c r="Z407" s="197"/>
      <c r="AA407" s="52"/>
      <c r="AB407" s="52"/>
      <c r="AC407" s="52"/>
      <c r="AD407" s="52"/>
      <c r="AE407" s="52"/>
      <c r="AF407" s="194"/>
      <c r="AG407" s="65"/>
      <c r="AH407" s="52"/>
      <c r="AI407" s="220"/>
      <c r="AJ407" s="34"/>
    </row>
    <row r="408" spans="1:36" s="33" customFormat="1" ht="94.35" hidden="1" customHeight="1">
      <c r="A408" s="39" t="s">
        <v>75</v>
      </c>
      <c r="B408" s="39"/>
      <c r="C408" s="162"/>
      <c r="D408" s="177" t="s">
        <v>1011</v>
      </c>
      <c r="E408" s="175"/>
      <c r="F408" s="176"/>
      <c r="G408" s="163" t="s">
        <v>1012</v>
      </c>
      <c r="H408" s="164" t="s">
        <v>22</v>
      </c>
      <c r="I408" s="165"/>
      <c r="J408" s="178"/>
      <c r="K408" s="178"/>
      <c r="L408" s="178"/>
      <c r="M408" s="178"/>
      <c r="N408" s="178"/>
      <c r="O408" s="178"/>
      <c r="P408" s="178"/>
      <c r="Q408" s="178"/>
      <c r="R408" s="178"/>
      <c r="S408" s="178"/>
      <c r="T408" s="178"/>
      <c r="U408" s="178"/>
      <c r="V408" s="178"/>
      <c r="W408" s="166"/>
      <c r="X408" s="166"/>
      <c r="Y408" s="167"/>
      <c r="Z408" s="196"/>
      <c r="AA408" s="168"/>
      <c r="AB408" s="168"/>
      <c r="AC408" s="168"/>
      <c r="AD408" s="168"/>
      <c r="AE408" s="168"/>
      <c r="AF408" s="163"/>
      <c r="AG408" s="169"/>
      <c r="AH408" s="168"/>
      <c r="AI408" s="170"/>
      <c r="AJ408" s="34"/>
    </row>
    <row r="409" spans="1:36" ht="27.6" hidden="1">
      <c r="A409" s="39" t="s">
        <v>75</v>
      </c>
      <c r="B409" s="39" t="s">
        <v>421</v>
      </c>
      <c r="D409" s="153" t="s">
        <v>1013</v>
      </c>
      <c r="E409" s="153" t="s">
        <v>69</v>
      </c>
      <c r="F409" s="59"/>
      <c r="G409" s="249" t="s">
        <v>1014</v>
      </c>
      <c r="H409" s="54"/>
      <c r="I409" s="54" t="s">
        <v>92</v>
      </c>
      <c r="W409" s="60"/>
      <c r="X409" s="60"/>
      <c r="Y409" s="66"/>
      <c r="Z409" s="199"/>
      <c r="AA409" s="59"/>
      <c r="AB409" s="59"/>
      <c r="AC409" s="59"/>
      <c r="AD409" s="59"/>
      <c r="AE409" s="59"/>
      <c r="AF409" s="69"/>
      <c r="AG409" s="65"/>
      <c r="AI409" s="63"/>
      <c r="AJ409" s="39"/>
    </row>
    <row r="410" spans="1:36" hidden="1">
      <c r="A410" s="39" t="s">
        <v>75</v>
      </c>
      <c r="B410" s="39" t="s">
        <v>421</v>
      </c>
      <c r="D410" s="153" t="s">
        <v>1015</v>
      </c>
      <c r="E410" s="153" t="s">
        <v>69</v>
      </c>
      <c r="F410" s="59"/>
      <c r="G410" s="249" t="s">
        <v>1016</v>
      </c>
      <c r="H410" s="54"/>
      <c r="I410" s="54" t="s">
        <v>92</v>
      </c>
      <c r="W410" s="60"/>
      <c r="X410" s="60"/>
      <c r="Y410" s="66"/>
      <c r="Z410" s="199"/>
      <c r="AA410" s="59"/>
      <c r="AB410" s="59"/>
      <c r="AC410" s="59"/>
      <c r="AD410" s="59"/>
      <c r="AE410" s="59"/>
      <c r="AF410" s="69"/>
      <c r="AG410" s="65"/>
      <c r="AI410" s="63"/>
      <c r="AJ410" s="39"/>
    </row>
    <row r="411" spans="1:36" hidden="1">
      <c r="A411" s="39" t="s">
        <v>75</v>
      </c>
      <c r="D411" s="153" t="s">
        <v>1017</v>
      </c>
      <c r="E411" s="153"/>
      <c r="F411" s="72" t="s">
        <v>77</v>
      </c>
      <c r="G411" s="265" t="s">
        <v>1018</v>
      </c>
      <c r="H411" s="54"/>
      <c r="W411" s="60"/>
      <c r="X411" s="60"/>
      <c r="Y411" s="66"/>
      <c r="Z411" s="199"/>
      <c r="AA411" s="59"/>
      <c r="AB411" s="59"/>
      <c r="AC411" s="59"/>
      <c r="AD411" s="59"/>
      <c r="AE411" s="59"/>
      <c r="AF411" s="69"/>
      <c r="AG411" s="65"/>
      <c r="AI411" s="63"/>
      <c r="AJ411" s="39"/>
    </row>
    <row r="412" spans="1:36" hidden="1">
      <c r="A412" s="39" t="s">
        <v>75</v>
      </c>
      <c r="D412" s="153" t="s">
        <v>1019</v>
      </c>
      <c r="E412" s="153"/>
      <c r="F412" s="72" t="s">
        <v>77</v>
      </c>
      <c r="G412" s="265" t="s">
        <v>1020</v>
      </c>
      <c r="H412" s="54"/>
      <c r="W412" s="60"/>
      <c r="X412" s="60"/>
      <c r="Y412" s="66"/>
      <c r="Z412" s="199"/>
      <c r="AA412" s="59"/>
      <c r="AB412" s="59"/>
      <c r="AC412" s="59"/>
      <c r="AD412" s="59"/>
      <c r="AE412" s="59"/>
      <c r="AF412" s="69"/>
      <c r="AG412" s="65"/>
      <c r="AI412" s="63"/>
      <c r="AJ412" s="39"/>
    </row>
    <row r="413" spans="1:36" hidden="1">
      <c r="A413" s="39" t="s">
        <v>75</v>
      </c>
      <c r="B413" s="39" t="s">
        <v>421</v>
      </c>
      <c r="D413" s="153" t="s">
        <v>1021</v>
      </c>
      <c r="E413" s="153" t="s">
        <v>69</v>
      </c>
      <c r="F413" s="59"/>
      <c r="G413" s="249" t="s">
        <v>1022</v>
      </c>
      <c r="H413" s="54"/>
      <c r="I413" s="54" t="s">
        <v>92</v>
      </c>
      <c r="W413" s="60"/>
      <c r="X413" s="60"/>
      <c r="Y413" s="66"/>
      <c r="Z413" s="199"/>
      <c r="AA413" s="59"/>
      <c r="AB413" s="59"/>
      <c r="AC413" s="59"/>
      <c r="AD413" s="59"/>
      <c r="AE413" s="59"/>
      <c r="AF413" s="69"/>
      <c r="AG413" s="65"/>
      <c r="AI413" s="63"/>
      <c r="AJ413" s="39"/>
    </row>
    <row r="414" spans="1:36" s="33" customFormat="1" ht="71.099999999999994" hidden="1" customHeight="1">
      <c r="A414" s="39"/>
      <c r="B414" s="39"/>
      <c r="C414" s="162"/>
      <c r="D414" s="177" t="s">
        <v>1023</v>
      </c>
      <c r="E414" s="175"/>
      <c r="F414" s="176"/>
      <c r="G414" s="163" t="s">
        <v>1024</v>
      </c>
      <c r="H414" s="164" t="s">
        <v>22</v>
      </c>
      <c r="I414" s="165"/>
      <c r="J414" s="178"/>
      <c r="K414" s="178"/>
      <c r="L414" s="178"/>
      <c r="M414" s="178"/>
      <c r="N414" s="178"/>
      <c r="O414" s="178"/>
      <c r="P414" s="178"/>
      <c r="Q414" s="178"/>
      <c r="R414" s="178"/>
      <c r="S414" s="178"/>
      <c r="T414" s="178"/>
      <c r="U414" s="178"/>
      <c r="V414" s="178"/>
      <c r="W414" s="166"/>
      <c r="X414" s="166"/>
      <c r="Y414" s="167"/>
      <c r="Z414" s="196"/>
      <c r="AA414" s="168"/>
      <c r="AB414" s="168"/>
      <c r="AC414" s="168"/>
      <c r="AD414" s="168"/>
      <c r="AE414" s="168"/>
      <c r="AF414" s="163"/>
      <c r="AG414" s="169"/>
      <c r="AH414" s="168"/>
      <c r="AI414" s="170"/>
      <c r="AJ414" s="34"/>
    </row>
    <row r="415" spans="1:36" s="33" customFormat="1" ht="158.4" hidden="1" customHeight="1">
      <c r="A415" s="39" t="s">
        <v>250</v>
      </c>
      <c r="B415" s="39" t="s">
        <v>421</v>
      </c>
      <c r="C415" s="71"/>
      <c r="D415" s="153" t="s">
        <v>1025</v>
      </c>
      <c r="E415" s="223"/>
      <c r="F415" s="179" t="s">
        <v>77</v>
      </c>
      <c r="G415" s="261" t="s">
        <v>1026</v>
      </c>
      <c r="H415" s="54"/>
      <c r="I415" s="54" t="s">
        <v>92</v>
      </c>
      <c r="J415" s="178"/>
      <c r="K415" s="178"/>
      <c r="L415" s="178"/>
      <c r="M415" s="178"/>
      <c r="N415" s="178"/>
      <c r="O415" s="178"/>
      <c r="P415" s="178"/>
      <c r="Q415" s="178"/>
      <c r="R415" s="178"/>
      <c r="S415" s="178"/>
      <c r="T415" s="178"/>
      <c r="U415" s="178"/>
      <c r="V415" s="178"/>
      <c r="W415" s="60"/>
      <c r="X415" s="60"/>
      <c r="Y415" s="66"/>
      <c r="Z415" s="199"/>
      <c r="AA415" s="59"/>
      <c r="AB415" s="34"/>
      <c r="AC415" s="34"/>
      <c r="AD415" s="34"/>
      <c r="AE415" s="34"/>
      <c r="AF415" s="47"/>
      <c r="AG415" s="244"/>
      <c r="AH415" s="34"/>
      <c r="AI415" s="245"/>
      <c r="AJ415" s="34"/>
    </row>
    <row r="416" spans="1:36" ht="39" hidden="1" customHeight="1">
      <c r="A416" s="39" t="s">
        <v>75</v>
      </c>
      <c r="C416" s="162"/>
      <c r="D416" s="224" t="s">
        <v>1027</v>
      </c>
      <c r="E416" s="228"/>
      <c r="F416" s="176"/>
      <c r="G416" s="219" t="s">
        <v>1028</v>
      </c>
      <c r="H416" s="164" t="s">
        <v>22</v>
      </c>
      <c r="I416" s="165"/>
      <c r="W416" s="215"/>
      <c r="X416" s="215"/>
      <c r="Y416" s="216"/>
      <c r="Z416" s="217"/>
      <c r="AA416" s="218"/>
      <c r="AB416" s="236"/>
      <c r="AC416" s="236"/>
      <c r="AD416" s="236"/>
      <c r="AE416" s="236"/>
      <c r="AF416" s="214"/>
      <c r="AG416" s="237"/>
      <c r="AH416" s="236"/>
      <c r="AI416" s="242"/>
      <c r="AJ416" s="39"/>
    </row>
    <row r="417" spans="1:36" s="33" customFormat="1" ht="34.5" hidden="1" customHeight="1">
      <c r="A417" s="33" t="s">
        <v>75</v>
      </c>
      <c r="B417" s="39" t="s">
        <v>659</v>
      </c>
      <c r="C417" s="49"/>
      <c r="D417" s="223" t="s">
        <v>1029</v>
      </c>
      <c r="E417" s="153" t="s">
        <v>69</v>
      </c>
      <c r="F417" s="52"/>
      <c r="G417" s="52" t="s">
        <v>1030</v>
      </c>
      <c r="H417" s="53"/>
      <c r="I417" s="54" t="s">
        <v>71</v>
      </c>
      <c r="J417" s="178"/>
      <c r="K417" s="178"/>
      <c r="L417" s="178"/>
      <c r="M417" s="178"/>
      <c r="N417" s="178"/>
      <c r="O417" s="178"/>
      <c r="P417" s="178"/>
      <c r="Q417" s="178"/>
      <c r="R417" s="178"/>
      <c r="S417" s="178"/>
      <c r="T417" s="178"/>
      <c r="U417" s="178"/>
      <c r="V417" s="178"/>
      <c r="W417" s="55"/>
      <c r="X417" s="55"/>
      <c r="Y417" s="49"/>
      <c r="Z417" s="197" t="s">
        <v>1031</v>
      </c>
      <c r="AA417" s="52"/>
      <c r="AB417" s="52"/>
      <c r="AC417" s="52"/>
      <c r="AD417" s="52"/>
      <c r="AE417" s="52"/>
      <c r="AF417" s="57"/>
      <c r="AG417" s="65"/>
      <c r="AH417" s="52"/>
      <c r="AI417" s="220"/>
      <c r="AJ417" s="34"/>
    </row>
    <row r="418" spans="1:36" hidden="1">
      <c r="A418" s="39" t="s">
        <v>75</v>
      </c>
      <c r="B418" s="39" t="s">
        <v>421</v>
      </c>
      <c r="D418" s="153" t="s">
        <v>1032</v>
      </c>
      <c r="E418" s="153" t="s">
        <v>69</v>
      </c>
      <c r="F418" s="52"/>
      <c r="G418" s="59" t="s">
        <v>1033</v>
      </c>
      <c r="H418" s="54"/>
      <c r="I418" s="54" t="s">
        <v>92</v>
      </c>
      <c r="W418" s="60"/>
      <c r="X418" s="60"/>
      <c r="Y418" s="66"/>
      <c r="Z418" s="197"/>
      <c r="AA418" s="59"/>
      <c r="AB418" s="59"/>
      <c r="AC418" s="59"/>
      <c r="AD418" s="59"/>
      <c r="AE418" s="59"/>
      <c r="AF418" s="62"/>
      <c r="AG418" s="65"/>
      <c r="AI418" s="63"/>
      <c r="AJ418" s="39"/>
    </row>
    <row r="419" spans="1:36" s="33" customFormat="1" ht="34.5" hidden="1" customHeight="1">
      <c r="A419" s="39" t="s">
        <v>75</v>
      </c>
      <c r="B419" s="39"/>
      <c r="C419" s="162"/>
      <c r="D419" s="177" t="s">
        <v>1034</v>
      </c>
      <c r="E419" s="175"/>
      <c r="F419" s="176"/>
      <c r="G419" s="163" t="s">
        <v>1035</v>
      </c>
      <c r="H419" s="164" t="s">
        <v>22</v>
      </c>
      <c r="I419" s="165"/>
      <c r="J419" s="178"/>
      <c r="K419" s="178"/>
      <c r="L419" s="178"/>
      <c r="M419" s="178"/>
      <c r="N419" s="178"/>
      <c r="O419" s="178"/>
      <c r="P419" s="178"/>
      <c r="Q419" s="178"/>
      <c r="R419" s="178"/>
      <c r="S419" s="178"/>
      <c r="T419" s="178"/>
      <c r="U419" s="178"/>
      <c r="V419" s="178"/>
      <c r="W419" s="166"/>
      <c r="X419" s="166"/>
      <c r="Y419" s="167"/>
      <c r="Z419" s="196"/>
      <c r="AA419" s="168"/>
      <c r="AB419" s="168"/>
      <c r="AC419" s="168"/>
      <c r="AD419" s="168"/>
      <c r="AE419" s="168"/>
      <c r="AF419" s="163"/>
      <c r="AG419" s="169"/>
      <c r="AH419" s="168"/>
      <c r="AI419" s="170"/>
      <c r="AJ419" s="34"/>
    </row>
    <row r="420" spans="1:36" ht="27.6" hidden="1">
      <c r="A420" s="33" t="s">
        <v>75</v>
      </c>
      <c r="B420" s="39" t="s">
        <v>421</v>
      </c>
      <c r="C420" s="71"/>
      <c r="D420" s="153" t="s">
        <v>1036</v>
      </c>
      <c r="E420" s="153" t="s">
        <v>69</v>
      </c>
      <c r="F420" s="52"/>
      <c r="G420" s="52" t="s">
        <v>1037</v>
      </c>
      <c r="H420" s="54"/>
      <c r="I420" s="54" t="s">
        <v>92</v>
      </c>
      <c r="W420" s="60"/>
      <c r="X420" s="60"/>
      <c r="Y420" s="66"/>
      <c r="Z420" s="199"/>
      <c r="AA420" s="59"/>
      <c r="AB420" s="59"/>
      <c r="AC420" s="59"/>
      <c r="AD420" s="59"/>
      <c r="AE420" s="62"/>
      <c r="AF420" s="69"/>
      <c r="AG420" s="65"/>
      <c r="AI420" s="63"/>
      <c r="AJ420" s="39"/>
    </row>
    <row r="421" spans="1:36" s="33" customFormat="1" ht="34.5" hidden="1" customHeight="1">
      <c r="A421" s="39" t="s">
        <v>75</v>
      </c>
      <c r="B421" s="39"/>
      <c r="C421" s="162"/>
      <c r="D421" s="177" t="s">
        <v>1038</v>
      </c>
      <c r="E421" s="175"/>
      <c r="F421" s="176"/>
      <c r="G421" s="163" t="s">
        <v>1039</v>
      </c>
      <c r="H421" s="164" t="s">
        <v>22</v>
      </c>
      <c r="I421" s="165"/>
      <c r="J421" s="178"/>
      <c r="K421" s="178"/>
      <c r="L421" s="178"/>
      <c r="M421" s="178"/>
      <c r="N421" s="178"/>
      <c r="O421" s="178"/>
      <c r="P421" s="178"/>
      <c r="Q421" s="178"/>
      <c r="R421" s="178"/>
      <c r="S421" s="178"/>
      <c r="T421" s="178"/>
      <c r="U421" s="178"/>
      <c r="V421" s="178"/>
      <c r="W421" s="166"/>
      <c r="X421" s="166"/>
      <c r="Y421" s="167"/>
      <c r="Z421" s="196"/>
      <c r="AA421" s="168"/>
      <c r="AB421" s="168"/>
      <c r="AC421" s="168"/>
      <c r="AD421" s="168"/>
      <c r="AE421" s="168"/>
      <c r="AF421" s="163"/>
      <c r="AG421" s="169"/>
      <c r="AH421" s="168"/>
      <c r="AI421" s="170"/>
      <c r="AJ421" s="34"/>
    </row>
    <row r="422" spans="1:36" ht="27.6" hidden="1">
      <c r="A422" s="33" t="s">
        <v>75</v>
      </c>
      <c r="B422" s="39" t="s">
        <v>66</v>
      </c>
      <c r="D422" s="153" t="s">
        <v>1040</v>
      </c>
      <c r="E422" s="153" t="s">
        <v>69</v>
      </c>
      <c r="F422" s="68"/>
      <c r="G422" s="59" t="s">
        <v>1041</v>
      </c>
      <c r="H422" s="54"/>
      <c r="I422" s="54" t="s">
        <v>71</v>
      </c>
      <c r="W422" s="60"/>
      <c r="X422" s="60"/>
      <c r="Y422" s="66"/>
      <c r="Z422" s="199"/>
      <c r="AA422" s="59"/>
      <c r="AB422" s="59"/>
      <c r="AC422" s="59"/>
      <c r="AD422" s="59"/>
      <c r="AE422" s="59"/>
      <c r="AF422" s="69"/>
      <c r="AG422" s="65"/>
      <c r="AI422" s="63"/>
      <c r="AJ422" s="39"/>
    </row>
    <row r="423" spans="1:36" hidden="1">
      <c r="A423" s="33" t="s">
        <v>75</v>
      </c>
      <c r="B423" s="39" t="s">
        <v>421</v>
      </c>
      <c r="D423" s="153"/>
      <c r="E423" s="153" t="s">
        <v>69</v>
      </c>
      <c r="F423" s="68"/>
      <c r="G423" s="59" t="s">
        <v>1042</v>
      </c>
      <c r="H423" s="54"/>
      <c r="I423" s="54" t="s">
        <v>92</v>
      </c>
      <c r="W423" s="60"/>
      <c r="X423" s="60"/>
      <c r="Y423" s="66"/>
      <c r="Z423" s="199"/>
      <c r="AA423" s="59"/>
      <c r="AB423" s="59"/>
      <c r="AC423" s="59"/>
      <c r="AD423" s="59"/>
      <c r="AE423" s="59"/>
      <c r="AF423" s="69"/>
      <c r="AG423" s="65"/>
      <c r="AI423" s="63"/>
      <c r="AJ423" s="39"/>
    </row>
    <row r="424" spans="1:36" s="33" customFormat="1" ht="34.5" hidden="1" customHeight="1">
      <c r="A424" s="33" t="s">
        <v>75</v>
      </c>
      <c r="C424" s="162"/>
      <c r="D424" s="177" t="s">
        <v>1043</v>
      </c>
      <c r="E424" s="175"/>
      <c r="F424" s="176"/>
      <c r="G424" s="163" t="s">
        <v>1044</v>
      </c>
      <c r="H424" s="164" t="s">
        <v>22</v>
      </c>
      <c r="I424" s="165"/>
      <c r="J424" s="178"/>
      <c r="K424" s="178"/>
      <c r="L424" s="178"/>
      <c r="M424" s="178"/>
      <c r="N424" s="178"/>
      <c r="O424" s="178"/>
      <c r="P424" s="178"/>
      <c r="Q424" s="178"/>
      <c r="R424" s="178"/>
      <c r="S424" s="178"/>
      <c r="T424" s="178"/>
      <c r="U424" s="178"/>
      <c r="V424" s="178"/>
      <c r="W424" s="166"/>
      <c r="X424" s="166"/>
      <c r="Y424" s="167"/>
      <c r="Z424" s="217"/>
      <c r="AA424" s="168"/>
      <c r="AB424" s="168"/>
      <c r="AC424" s="168"/>
      <c r="AD424" s="168"/>
      <c r="AE424" s="168"/>
      <c r="AF424" s="163"/>
      <c r="AG424" s="169"/>
      <c r="AH424" s="168"/>
      <c r="AI424" s="170"/>
      <c r="AJ424" s="34"/>
    </row>
    <row r="425" spans="1:36" s="78" customFormat="1" ht="55.2" hidden="1">
      <c r="A425" s="33" t="s">
        <v>75</v>
      </c>
      <c r="B425" s="39" t="s">
        <v>421</v>
      </c>
      <c r="C425" s="71"/>
      <c r="D425" s="153" t="s">
        <v>1045</v>
      </c>
      <c r="E425" s="153" t="s">
        <v>69</v>
      </c>
      <c r="F425" s="59"/>
      <c r="G425" s="262" t="s">
        <v>1046</v>
      </c>
      <c r="H425" s="54"/>
      <c r="I425" s="54" t="s">
        <v>92</v>
      </c>
      <c r="J425" s="178"/>
      <c r="K425" s="178"/>
      <c r="L425" s="178"/>
      <c r="M425" s="178"/>
      <c r="N425" s="178"/>
      <c r="O425" s="178"/>
      <c r="P425" s="178"/>
      <c r="Q425" s="178"/>
      <c r="R425" s="178"/>
      <c r="S425" s="178"/>
      <c r="T425" s="178"/>
      <c r="U425" s="178"/>
      <c r="V425" s="178"/>
      <c r="W425" s="60"/>
      <c r="X425" s="60"/>
      <c r="Y425" s="66"/>
      <c r="Z425" s="199" t="s">
        <v>1047</v>
      </c>
      <c r="AA425" s="59"/>
      <c r="AB425" s="59"/>
      <c r="AC425" s="59"/>
      <c r="AD425" s="59"/>
      <c r="AE425" s="59"/>
      <c r="AF425" s="69"/>
      <c r="AG425" s="65"/>
      <c r="AH425" s="52"/>
      <c r="AI425" s="63"/>
    </row>
    <row r="426" spans="1:36" s="78" customFormat="1" hidden="1">
      <c r="A426" s="33" t="s">
        <v>75</v>
      </c>
      <c r="B426" s="33"/>
      <c r="C426" s="71"/>
      <c r="D426" s="153" t="s">
        <v>1048</v>
      </c>
      <c r="E426" s="153"/>
      <c r="F426" s="72" t="s">
        <v>1049</v>
      </c>
      <c r="G426" s="266" t="s">
        <v>1050</v>
      </c>
      <c r="H426" s="54"/>
      <c r="I426" s="54"/>
      <c r="J426" s="178"/>
      <c r="K426" s="178"/>
      <c r="L426" s="178"/>
      <c r="M426" s="178"/>
      <c r="N426" s="178"/>
      <c r="O426" s="178"/>
      <c r="P426" s="178"/>
      <c r="Q426" s="178"/>
      <c r="R426" s="178"/>
      <c r="S426" s="178"/>
      <c r="T426" s="178"/>
      <c r="U426" s="178"/>
      <c r="V426" s="178"/>
      <c r="W426" s="60"/>
      <c r="X426" s="60"/>
      <c r="Y426" s="66"/>
      <c r="Z426" s="199"/>
      <c r="AA426" s="59"/>
      <c r="AB426" s="59"/>
      <c r="AC426" s="59"/>
      <c r="AD426" s="59"/>
      <c r="AE426" s="59"/>
      <c r="AF426" s="69"/>
      <c r="AG426" s="65"/>
      <c r="AH426" s="52"/>
      <c r="AI426" s="63"/>
    </row>
    <row r="427" spans="1:36" s="33" customFormat="1" ht="34.5" hidden="1" customHeight="1">
      <c r="A427" s="33" t="s">
        <v>75</v>
      </c>
      <c r="C427" s="162"/>
      <c r="D427" s="177" t="s">
        <v>1051</v>
      </c>
      <c r="E427" s="175"/>
      <c r="F427" s="176"/>
      <c r="G427" s="163" t="s">
        <v>1052</v>
      </c>
      <c r="H427" s="164" t="s">
        <v>22</v>
      </c>
      <c r="I427" s="165"/>
      <c r="J427" s="178"/>
      <c r="K427" s="178"/>
      <c r="L427" s="178"/>
      <c r="M427" s="178"/>
      <c r="N427" s="178"/>
      <c r="O427" s="178"/>
      <c r="P427" s="178"/>
      <c r="Q427" s="178"/>
      <c r="R427" s="178"/>
      <c r="S427" s="178"/>
      <c r="T427" s="178"/>
      <c r="U427" s="178"/>
      <c r="V427" s="178"/>
      <c r="W427" s="166"/>
      <c r="X427" s="166"/>
      <c r="Y427" s="167"/>
      <c r="Z427" s="217"/>
      <c r="AA427" s="168"/>
      <c r="AB427" s="168"/>
      <c r="AC427" s="168"/>
      <c r="AD427" s="168"/>
      <c r="AE427" s="168"/>
      <c r="AF427" s="163"/>
      <c r="AG427" s="169"/>
      <c r="AH427" s="168"/>
      <c r="AI427" s="170"/>
      <c r="AJ427" s="34"/>
    </row>
    <row r="428" spans="1:36" ht="32.1" hidden="1" customHeight="1">
      <c r="A428" s="33" t="s">
        <v>75</v>
      </c>
      <c r="B428" s="39" t="s">
        <v>421</v>
      </c>
      <c r="D428" s="153" t="s">
        <v>1053</v>
      </c>
      <c r="E428" s="153" t="s">
        <v>69</v>
      </c>
      <c r="F428" s="59"/>
      <c r="G428" s="52" t="s">
        <v>1054</v>
      </c>
      <c r="H428" s="54"/>
      <c r="I428" s="54" t="s">
        <v>92</v>
      </c>
      <c r="W428" s="60"/>
      <c r="X428" s="60"/>
      <c r="Y428" s="61"/>
      <c r="Z428" s="256"/>
      <c r="AA428" s="59"/>
      <c r="AB428" s="59"/>
      <c r="AC428" s="59"/>
      <c r="AD428" s="59"/>
      <c r="AE428" s="62"/>
      <c r="AF428" s="69"/>
      <c r="AG428" s="65"/>
      <c r="AI428" s="63"/>
      <c r="AJ428" s="39"/>
    </row>
    <row r="429" spans="1:36" ht="32.1" hidden="1" customHeight="1">
      <c r="D429" s="153" t="s">
        <v>1055</v>
      </c>
      <c r="E429" s="153"/>
      <c r="F429" s="72" t="s">
        <v>1049</v>
      </c>
      <c r="G429" s="70" t="s">
        <v>1056</v>
      </c>
      <c r="H429" s="54"/>
      <c r="W429" s="60"/>
      <c r="X429" s="60"/>
      <c r="Y429" s="61"/>
      <c r="Z429" s="256"/>
      <c r="AA429" s="59"/>
      <c r="AB429" s="59"/>
      <c r="AC429" s="59"/>
      <c r="AD429" s="59"/>
      <c r="AE429" s="62"/>
      <c r="AF429" s="69"/>
      <c r="AG429" s="65"/>
      <c r="AI429" s="63"/>
      <c r="AJ429" s="39"/>
    </row>
    <row r="430" spans="1:36" ht="41.4" hidden="1">
      <c r="A430" s="33" t="s">
        <v>75</v>
      </c>
      <c r="B430" s="33"/>
      <c r="C430" s="162"/>
      <c r="D430" s="224" t="s">
        <v>1057</v>
      </c>
      <c r="E430" s="175"/>
      <c r="F430" s="229" t="s">
        <v>1058</v>
      </c>
      <c r="G430" s="163" t="s">
        <v>1059</v>
      </c>
      <c r="H430" s="164" t="s">
        <v>22</v>
      </c>
      <c r="I430" s="165"/>
      <c r="W430" s="215"/>
      <c r="X430" s="215"/>
      <c r="Y430" s="216"/>
      <c r="Z430" s="217"/>
      <c r="AA430" s="218"/>
      <c r="AB430" s="218"/>
      <c r="AC430" s="218"/>
      <c r="AD430" s="218"/>
      <c r="AE430" s="218"/>
      <c r="AF430" s="219"/>
      <c r="AG430" s="169"/>
      <c r="AH430" s="168"/>
      <c r="AI430" s="238"/>
      <c r="AJ430" s="39"/>
    </row>
    <row r="431" spans="1:36" s="33" customFormat="1" ht="34.5" hidden="1" customHeight="1">
      <c r="A431" s="33" t="s">
        <v>75</v>
      </c>
      <c r="B431" s="39" t="s">
        <v>66</v>
      </c>
      <c r="C431" s="71"/>
      <c r="D431" s="225" t="s">
        <v>1060</v>
      </c>
      <c r="E431" s="49" t="s">
        <v>69</v>
      </c>
      <c r="F431" s="52"/>
      <c r="G431" s="52" t="s">
        <v>1061</v>
      </c>
      <c r="H431" s="53" t="s">
        <v>22</v>
      </c>
      <c r="I431" s="54" t="s">
        <v>71</v>
      </c>
      <c r="J431" s="178"/>
      <c r="K431" s="178"/>
      <c r="L431" s="178"/>
      <c r="M431" s="178"/>
      <c r="N431" s="178"/>
      <c r="O431" s="178"/>
      <c r="P431" s="178"/>
      <c r="Q431" s="178"/>
      <c r="R431" s="178"/>
      <c r="S431" s="178"/>
      <c r="T431" s="178"/>
      <c r="U431" s="178"/>
      <c r="V431" s="178"/>
      <c r="W431" s="55"/>
      <c r="X431" s="55"/>
      <c r="Y431" s="49"/>
      <c r="Z431" s="235" t="s">
        <v>1062</v>
      </c>
      <c r="AA431" s="52"/>
      <c r="AB431" s="52"/>
      <c r="AC431" s="52"/>
      <c r="AD431" s="52"/>
      <c r="AE431" s="52"/>
      <c r="AF431" s="194"/>
      <c r="AG431" s="65"/>
      <c r="AH431" s="52"/>
      <c r="AI431" s="220"/>
      <c r="AJ431" s="34"/>
    </row>
    <row r="432" spans="1:36" hidden="1">
      <c r="A432" s="33" t="s">
        <v>75</v>
      </c>
      <c r="B432" s="39" t="s">
        <v>66</v>
      </c>
      <c r="C432" s="71"/>
      <c r="D432" s="154" t="s">
        <v>1063</v>
      </c>
      <c r="E432" s="49" t="s">
        <v>69</v>
      </c>
      <c r="F432" s="72"/>
      <c r="G432" s="59" t="s">
        <v>1064</v>
      </c>
      <c r="H432" s="54"/>
      <c r="I432" s="54" t="s">
        <v>4</v>
      </c>
      <c r="W432" s="60"/>
      <c r="X432" s="60"/>
      <c r="Y432" s="66"/>
      <c r="Z432" s="256"/>
      <c r="AA432" s="59"/>
      <c r="AB432" s="59"/>
      <c r="AC432" s="59"/>
      <c r="AD432" s="59"/>
      <c r="AE432" s="59"/>
      <c r="AF432" s="69"/>
      <c r="AG432" s="65"/>
      <c r="AI432" s="63"/>
      <c r="AJ432" s="39"/>
    </row>
    <row r="433" spans="1:36" s="33" customFormat="1" ht="75" hidden="1" customHeight="1">
      <c r="A433" s="33" t="s">
        <v>75</v>
      </c>
      <c r="C433" s="162"/>
      <c r="D433" s="177" t="s">
        <v>1065</v>
      </c>
      <c r="E433" s="175"/>
      <c r="F433" s="176"/>
      <c r="G433" s="163" t="s">
        <v>1066</v>
      </c>
      <c r="H433" s="164" t="s">
        <v>22</v>
      </c>
      <c r="I433" s="165"/>
      <c r="J433" s="178"/>
      <c r="K433" s="178"/>
      <c r="L433" s="178"/>
      <c r="M433" s="178"/>
      <c r="N433" s="178"/>
      <c r="O433" s="178"/>
      <c r="P433" s="178"/>
      <c r="Q433" s="178"/>
      <c r="R433" s="178"/>
      <c r="S433" s="178"/>
      <c r="T433" s="178"/>
      <c r="U433" s="178"/>
      <c r="V433" s="178"/>
      <c r="W433" s="166"/>
      <c r="X433" s="166"/>
      <c r="Y433" s="167"/>
      <c r="Z433" s="196"/>
      <c r="AA433" s="168"/>
      <c r="AB433" s="168"/>
      <c r="AC433" s="168"/>
      <c r="AD433" s="168"/>
      <c r="AE433" s="168"/>
      <c r="AF433" s="163"/>
      <c r="AG433" s="169"/>
      <c r="AH433" s="168"/>
      <c r="AI433" s="170"/>
      <c r="AJ433" s="34"/>
    </row>
    <row r="434" spans="1:36" ht="15.6" hidden="1" customHeight="1">
      <c r="A434" s="33" t="s">
        <v>75</v>
      </c>
      <c r="B434" s="39" t="s">
        <v>162</v>
      </c>
      <c r="D434" s="154" t="s">
        <v>1067</v>
      </c>
      <c r="E434" s="49" t="s">
        <v>69</v>
      </c>
      <c r="F434" s="59"/>
      <c r="G434" s="52" t="s">
        <v>1068</v>
      </c>
      <c r="H434" s="54"/>
      <c r="I434" s="54" t="s">
        <v>71</v>
      </c>
      <c r="W434" s="60"/>
      <c r="X434" s="60"/>
      <c r="Y434" s="61"/>
      <c r="Z434" s="199" t="s">
        <v>1069</v>
      </c>
      <c r="AA434" s="59"/>
      <c r="AB434" s="59"/>
      <c r="AC434" s="59"/>
      <c r="AD434" s="59"/>
      <c r="AE434" s="62"/>
      <c r="AF434" s="62"/>
      <c r="AG434" s="65"/>
      <c r="AI434" s="63"/>
      <c r="AJ434" s="39"/>
    </row>
    <row r="435" spans="1:36" ht="35.85" hidden="1" customHeight="1">
      <c r="A435" s="33" t="s">
        <v>75</v>
      </c>
      <c r="B435" s="33"/>
      <c r="C435" s="162"/>
      <c r="D435" s="224" t="s">
        <v>1070</v>
      </c>
      <c r="E435" s="228"/>
      <c r="F435" s="229"/>
      <c r="G435" s="163" t="s">
        <v>1071</v>
      </c>
      <c r="H435" s="164" t="s">
        <v>22</v>
      </c>
      <c r="I435" s="165"/>
      <c r="W435" s="215"/>
      <c r="X435" s="215"/>
      <c r="Y435" s="216"/>
      <c r="Z435" s="217"/>
      <c r="AA435" s="218"/>
      <c r="AB435" s="218"/>
      <c r="AC435" s="218"/>
      <c r="AD435" s="218"/>
      <c r="AE435" s="218"/>
      <c r="AF435" s="219"/>
      <c r="AG435" s="169"/>
      <c r="AH435" s="168"/>
      <c r="AI435" s="238"/>
      <c r="AJ435" s="39"/>
    </row>
    <row r="436" spans="1:36" s="33" customFormat="1" ht="34.5" hidden="1" customHeight="1">
      <c r="A436" s="33" t="s">
        <v>75</v>
      </c>
      <c r="B436" s="39" t="s">
        <v>66</v>
      </c>
      <c r="C436" s="49"/>
      <c r="D436" s="225" t="s">
        <v>1072</v>
      </c>
      <c r="E436" s="49" t="s">
        <v>69</v>
      </c>
      <c r="F436" s="52"/>
      <c r="G436" s="52" t="s">
        <v>1073</v>
      </c>
      <c r="H436" s="53"/>
      <c r="I436" s="54" t="s">
        <v>4</v>
      </c>
      <c r="J436" s="178"/>
      <c r="K436" s="178"/>
      <c r="L436" s="178"/>
      <c r="M436" s="178"/>
      <c r="N436" s="178"/>
      <c r="O436" s="178"/>
      <c r="P436" s="178"/>
      <c r="Q436" s="178"/>
      <c r="R436" s="178"/>
      <c r="S436" s="178"/>
      <c r="T436" s="178"/>
      <c r="U436" s="178"/>
      <c r="V436" s="178"/>
      <c r="W436" s="55"/>
      <c r="X436" s="55"/>
      <c r="Y436" s="56"/>
      <c r="Z436" s="199" t="s">
        <v>1074</v>
      </c>
      <c r="AA436" s="52"/>
      <c r="AB436" s="52"/>
      <c r="AC436" s="52"/>
      <c r="AD436" s="52"/>
      <c r="AE436" s="57"/>
      <c r="AF436" s="57"/>
      <c r="AG436" s="65"/>
      <c r="AH436" s="52"/>
      <c r="AI436" s="220"/>
      <c r="AJ436" s="34"/>
    </row>
    <row r="437" spans="1:36" ht="35.1" hidden="1" customHeight="1">
      <c r="A437" s="39" t="s">
        <v>75</v>
      </c>
      <c r="D437" s="154" t="s">
        <v>1075</v>
      </c>
      <c r="E437" s="154"/>
      <c r="F437" s="72" t="s">
        <v>1076</v>
      </c>
      <c r="G437" s="70" t="s">
        <v>1077</v>
      </c>
      <c r="H437" s="54"/>
      <c r="W437" s="60"/>
      <c r="X437" s="60"/>
      <c r="Y437" s="61"/>
      <c r="Z437" s="199"/>
      <c r="AA437" s="59"/>
      <c r="AB437" s="59"/>
      <c r="AC437" s="59"/>
      <c r="AD437" s="59"/>
      <c r="AE437" s="62"/>
      <c r="AF437" s="62"/>
      <c r="AG437" s="65"/>
      <c r="AI437" s="63"/>
    </row>
    <row r="438" spans="1:36" s="33" customFormat="1" ht="34.5" hidden="1" customHeight="1">
      <c r="A438" s="33" t="s">
        <v>75</v>
      </c>
      <c r="C438" s="162"/>
      <c r="D438" s="177" t="s">
        <v>1078</v>
      </c>
      <c r="E438" s="175"/>
      <c r="F438" s="176"/>
      <c r="G438" s="163" t="s">
        <v>1079</v>
      </c>
      <c r="H438" s="164" t="s">
        <v>22</v>
      </c>
      <c r="I438" s="165"/>
      <c r="J438" s="178"/>
      <c r="K438" s="178"/>
      <c r="L438" s="178"/>
      <c r="M438" s="178"/>
      <c r="N438" s="178"/>
      <c r="O438" s="178"/>
      <c r="P438" s="178"/>
      <c r="Q438" s="178"/>
      <c r="R438" s="178"/>
      <c r="S438" s="178"/>
      <c r="T438" s="178"/>
      <c r="U438" s="178"/>
      <c r="V438" s="178"/>
      <c r="W438" s="166"/>
      <c r="X438" s="166"/>
      <c r="Y438" s="167"/>
      <c r="Z438" s="217"/>
      <c r="AA438" s="168"/>
      <c r="AB438" s="168"/>
      <c r="AC438" s="168"/>
      <c r="AD438" s="168"/>
      <c r="AE438" s="168"/>
      <c r="AF438" s="163"/>
      <c r="AG438" s="169"/>
      <c r="AH438" s="168"/>
      <c r="AI438" s="170"/>
      <c r="AJ438" s="34"/>
    </row>
    <row r="439" spans="1:36" ht="41.4" hidden="1">
      <c r="A439" s="33" t="s">
        <v>75</v>
      </c>
      <c r="B439" s="33"/>
      <c r="C439" s="71"/>
      <c r="D439" s="154" t="s">
        <v>1080</v>
      </c>
      <c r="E439" s="66"/>
      <c r="F439" s="243" t="s">
        <v>1081</v>
      </c>
      <c r="G439" s="192" t="s">
        <v>1082</v>
      </c>
      <c r="H439" s="54"/>
      <c r="W439" s="60"/>
      <c r="X439" s="60"/>
      <c r="Y439" s="61"/>
      <c r="Z439" s="199"/>
      <c r="AA439" s="59"/>
      <c r="AB439" s="59"/>
      <c r="AC439" s="59"/>
      <c r="AD439" s="59"/>
      <c r="AE439" s="62"/>
      <c r="AF439" s="62"/>
      <c r="AG439" s="65"/>
      <c r="AI439" s="63"/>
    </row>
    <row r="440" spans="1:36" hidden="1">
      <c r="A440" s="33" t="s">
        <v>75</v>
      </c>
      <c r="B440" s="39" t="s">
        <v>66</v>
      </c>
      <c r="C440" s="71"/>
      <c r="D440" s="153" t="s">
        <v>1083</v>
      </c>
      <c r="E440" s="49" t="s">
        <v>69</v>
      </c>
      <c r="F440" s="72"/>
      <c r="G440" s="70" t="s">
        <v>1084</v>
      </c>
      <c r="H440" s="73"/>
      <c r="I440" s="73" t="s">
        <v>4</v>
      </c>
      <c r="J440" s="185"/>
      <c r="K440" s="185"/>
      <c r="L440" s="185"/>
      <c r="M440" s="185"/>
      <c r="N440" s="185"/>
      <c r="O440" s="185"/>
      <c r="P440" s="185"/>
      <c r="Q440" s="185"/>
      <c r="R440" s="185"/>
      <c r="S440" s="185"/>
      <c r="T440" s="185"/>
      <c r="U440" s="185"/>
      <c r="V440" s="185"/>
      <c r="W440" s="74"/>
      <c r="X440" s="74"/>
      <c r="Y440" s="251"/>
      <c r="Z440" s="199"/>
      <c r="AA440" s="72"/>
      <c r="AB440" s="72"/>
      <c r="AC440" s="72"/>
      <c r="AD440" s="72"/>
      <c r="AE440" s="76"/>
      <c r="AF440" s="76"/>
      <c r="AG440" s="65"/>
      <c r="AH440" s="70"/>
      <c r="AI440" s="77"/>
    </row>
    <row r="441" spans="1:36" s="33" customFormat="1" ht="34.5" hidden="1" customHeight="1">
      <c r="A441" s="33" t="s">
        <v>75</v>
      </c>
      <c r="C441" s="162"/>
      <c r="D441" s="177" t="s">
        <v>1085</v>
      </c>
      <c r="E441" s="175"/>
      <c r="F441" s="176"/>
      <c r="G441" s="163" t="s">
        <v>1086</v>
      </c>
      <c r="H441" s="164" t="s">
        <v>22</v>
      </c>
      <c r="I441" s="165"/>
      <c r="J441" s="178"/>
      <c r="K441" s="178"/>
      <c r="L441" s="178"/>
      <c r="M441" s="178"/>
      <c r="N441" s="178"/>
      <c r="O441" s="178"/>
      <c r="P441" s="178"/>
      <c r="Q441" s="178"/>
      <c r="R441" s="178"/>
      <c r="S441" s="178"/>
      <c r="T441" s="178"/>
      <c r="U441" s="178"/>
      <c r="V441" s="178"/>
      <c r="W441" s="166"/>
      <c r="X441" s="166"/>
      <c r="Y441" s="167"/>
      <c r="Z441" s="196"/>
      <c r="AA441" s="168"/>
      <c r="AB441" s="168"/>
      <c r="AC441" s="168"/>
      <c r="AD441" s="168"/>
      <c r="AE441" s="168"/>
      <c r="AF441" s="163"/>
      <c r="AG441" s="169"/>
      <c r="AH441" s="168"/>
      <c r="AI441" s="170"/>
      <c r="AJ441" s="34"/>
    </row>
    <row r="442" spans="1:36" hidden="1">
      <c r="A442" s="33" t="s">
        <v>75</v>
      </c>
      <c r="B442" s="39" t="s">
        <v>66</v>
      </c>
      <c r="D442" s="154" t="s">
        <v>1087</v>
      </c>
      <c r="E442" s="49" t="s">
        <v>69</v>
      </c>
      <c r="F442" s="68"/>
      <c r="G442" s="52" t="s">
        <v>1088</v>
      </c>
      <c r="H442" s="54"/>
      <c r="I442" s="54" t="s">
        <v>4</v>
      </c>
      <c r="W442" s="60"/>
      <c r="X442" s="60"/>
      <c r="Y442" s="61"/>
      <c r="Z442" s="199" t="s">
        <v>1089</v>
      </c>
      <c r="AA442" s="59"/>
      <c r="AB442" s="59"/>
      <c r="AC442" s="59"/>
      <c r="AD442" s="59"/>
      <c r="AE442" s="62"/>
      <c r="AF442" s="62"/>
      <c r="AG442" s="65"/>
      <c r="AI442" s="63"/>
    </row>
    <row r="443" spans="1:36" s="78" customFormat="1" ht="21" hidden="1" customHeight="1">
      <c r="A443" s="33" t="s">
        <v>75</v>
      </c>
      <c r="B443" s="33"/>
      <c r="C443" s="162"/>
      <c r="D443" s="224" t="s">
        <v>1090</v>
      </c>
      <c r="E443" s="228"/>
      <c r="F443" s="229"/>
      <c r="G443" s="163" t="s">
        <v>1091</v>
      </c>
      <c r="H443" s="164" t="s">
        <v>22</v>
      </c>
      <c r="I443" s="165"/>
      <c r="J443" s="178"/>
      <c r="K443" s="178"/>
      <c r="L443" s="178"/>
      <c r="M443" s="178"/>
      <c r="N443" s="178"/>
      <c r="O443" s="178"/>
      <c r="P443" s="178"/>
      <c r="Q443" s="178"/>
      <c r="R443" s="178"/>
      <c r="S443" s="178"/>
      <c r="T443" s="178"/>
      <c r="U443" s="178"/>
      <c r="V443" s="178"/>
      <c r="W443" s="215"/>
      <c r="X443" s="215"/>
      <c r="Y443" s="216"/>
      <c r="Z443" s="217"/>
      <c r="AA443" s="218"/>
      <c r="AB443" s="218"/>
      <c r="AC443" s="218"/>
      <c r="AD443" s="218"/>
      <c r="AE443" s="218"/>
      <c r="AF443" s="219"/>
      <c r="AG443" s="169"/>
      <c r="AH443" s="168"/>
      <c r="AI443" s="238"/>
      <c r="AJ443" s="211"/>
    </row>
    <row r="444" spans="1:36" s="33" customFormat="1" ht="34.5" hidden="1" customHeight="1">
      <c r="A444" s="33" t="s">
        <v>75</v>
      </c>
      <c r="B444" s="39" t="s">
        <v>162</v>
      </c>
      <c r="C444" s="71"/>
      <c r="D444" s="225" t="s">
        <v>1092</v>
      </c>
      <c r="E444" s="49" t="s">
        <v>69</v>
      </c>
      <c r="F444" s="51"/>
      <c r="G444" s="52" t="s">
        <v>1093</v>
      </c>
      <c r="H444" s="53"/>
      <c r="I444" s="54" t="s">
        <v>71</v>
      </c>
      <c r="J444" s="178"/>
      <c r="K444" s="178"/>
      <c r="L444" s="178"/>
      <c r="M444" s="178"/>
      <c r="N444" s="178"/>
      <c r="O444" s="178"/>
      <c r="P444" s="178"/>
      <c r="Q444" s="178"/>
      <c r="R444" s="178"/>
      <c r="S444" s="178"/>
      <c r="T444" s="178"/>
      <c r="U444" s="178"/>
      <c r="V444" s="178"/>
      <c r="W444" s="55"/>
      <c r="X444" s="55"/>
      <c r="Y444" s="49"/>
      <c r="Z444" s="197" t="s">
        <v>1094</v>
      </c>
      <c r="AA444" s="52"/>
      <c r="AB444" s="52"/>
      <c r="AC444" s="52"/>
      <c r="AD444" s="52"/>
      <c r="AE444" s="52"/>
      <c r="AF444" s="194"/>
      <c r="AG444" s="65"/>
      <c r="AH444" s="52"/>
      <c r="AI444" s="220"/>
      <c r="AJ444" s="34"/>
    </row>
    <row r="445" spans="1:36" ht="27.6" hidden="1">
      <c r="A445" s="33" t="s">
        <v>75</v>
      </c>
      <c r="B445" s="33"/>
      <c r="C445" s="71"/>
      <c r="D445" s="154" t="s">
        <v>1095</v>
      </c>
      <c r="E445" s="154"/>
      <c r="F445" s="51" t="s">
        <v>1096</v>
      </c>
      <c r="G445" s="70" t="s">
        <v>1097</v>
      </c>
      <c r="H445" s="54"/>
      <c r="W445" s="60"/>
      <c r="X445" s="60"/>
      <c r="Y445" s="66"/>
      <c r="Z445" s="199"/>
      <c r="AA445" s="59"/>
      <c r="AB445" s="59"/>
      <c r="AC445" s="59"/>
      <c r="AD445" s="59"/>
      <c r="AE445" s="59"/>
      <c r="AF445" s="69"/>
      <c r="AG445" s="65"/>
      <c r="AI445" s="63"/>
    </row>
    <row r="446" spans="1:36" s="33" customFormat="1" ht="62.1" hidden="1" customHeight="1">
      <c r="A446" s="33" t="s">
        <v>75</v>
      </c>
      <c r="C446" s="162"/>
      <c r="D446" s="177" t="s">
        <v>1098</v>
      </c>
      <c r="E446" s="175"/>
      <c r="F446" s="176" t="s">
        <v>1099</v>
      </c>
      <c r="G446" s="163" t="s">
        <v>1100</v>
      </c>
      <c r="H446" s="164" t="s">
        <v>22</v>
      </c>
      <c r="I446" s="165"/>
      <c r="J446" s="178"/>
      <c r="K446" s="178"/>
      <c r="L446" s="178"/>
      <c r="M446" s="178"/>
      <c r="N446" s="178"/>
      <c r="O446" s="178"/>
      <c r="P446" s="178"/>
      <c r="Q446" s="178"/>
      <c r="R446" s="178"/>
      <c r="S446" s="178"/>
      <c r="T446" s="178"/>
      <c r="U446" s="178"/>
      <c r="V446" s="178"/>
      <c r="W446" s="166"/>
      <c r="X446" s="166"/>
      <c r="Y446" s="167"/>
      <c r="Z446" s="196"/>
      <c r="AA446" s="168"/>
      <c r="AB446" s="168"/>
      <c r="AC446" s="168"/>
      <c r="AD446" s="168"/>
      <c r="AE446" s="168"/>
      <c r="AF446" s="163"/>
      <c r="AG446" s="169"/>
      <c r="AH446" s="168"/>
      <c r="AI446" s="170"/>
      <c r="AJ446" s="34"/>
    </row>
    <row r="447" spans="1:36" ht="27.6" hidden="1">
      <c r="A447" s="33" t="s">
        <v>75</v>
      </c>
      <c r="B447" s="39" t="s">
        <v>66</v>
      </c>
      <c r="D447" s="154" t="s">
        <v>1101</v>
      </c>
      <c r="E447" s="66" t="s">
        <v>69</v>
      </c>
      <c r="F447" s="51"/>
      <c r="G447" s="52" t="s">
        <v>1102</v>
      </c>
      <c r="H447" s="54"/>
      <c r="I447" s="54" t="s">
        <v>92</v>
      </c>
      <c r="W447" s="60"/>
      <c r="X447" s="60"/>
      <c r="Y447" s="66"/>
      <c r="Z447" s="199" t="s">
        <v>1103</v>
      </c>
      <c r="AA447" s="59"/>
      <c r="AB447" s="59"/>
      <c r="AC447" s="59"/>
      <c r="AD447" s="59"/>
      <c r="AE447" s="59"/>
      <c r="AF447" s="69"/>
      <c r="AG447" s="65"/>
      <c r="AH447" s="70"/>
      <c r="AI447" s="63"/>
    </row>
    <row r="448" spans="1:36" ht="41.4" hidden="1">
      <c r="A448" s="33" t="s">
        <v>75</v>
      </c>
      <c r="B448" s="33"/>
      <c r="C448" s="162"/>
      <c r="D448" s="224" t="s">
        <v>1104</v>
      </c>
      <c r="E448" s="175"/>
      <c r="F448" s="229"/>
      <c r="G448" s="163" t="s">
        <v>1105</v>
      </c>
      <c r="H448" s="164" t="s">
        <v>22</v>
      </c>
      <c r="I448" s="165"/>
      <c r="W448" s="215"/>
      <c r="X448" s="215"/>
      <c r="Y448" s="216"/>
      <c r="Z448" s="217"/>
      <c r="AA448" s="218"/>
      <c r="AB448" s="218"/>
      <c r="AC448" s="218"/>
      <c r="AD448" s="218"/>
      <c r="AE448" s="218"/>
      <c r="AF448" s="219"/>
      <c r="AG448" s="169"/>
      <c r="AH448" s="168"/>
      <c r="AI448" s="238"/>
    </row>
    <row r="449" spans="1:36" s="33" customFormat="1" ht="34.5" hidden="1" customHeight="1">
      <c r="A449" s="33" t="s">
        <v>75</v>
      </c>
      <c r="B449" s="39" t="s">
        <v>162</v>
      </c>
      <c r="C449" s="49"/>
      <c r="D449" s="225" t="s">
        <v>1106</v>
      </c>
      <c r="E449" s="49" t="s">
        <v>69</v>
      </c>
      <c r="F449" s="51"/>
      <c r="G449" s="52" t="s">
        <v>1107</v>
      </c>
      <c r="H449" s="53"/>
      <c r="I449" s="54" t="s">
        <v>4</v>
      </c>
      <c r="J449" s="178"/>
      <c r="K449" s="178"/>
      <c r="L449" s="178"/>
      <c r="M449" s="178"/>
      <c r="N449" s="178"/>
      <c r="O449" s="178"/>
      <c r="P449" s="178"/>
      <c r="Q449" s="178"/>
      <c r="R449" s="178"/>
      <c r="S449" s="178"/>
      <c r="T449" s="178"/>
      <c r="U449" s="178"/>
      <c r="V449" s="178"/>
      <c r="W449" s="55"/>
      <c r="X449" s="55"/>
      <c r="Y449" s="56"/>
      <c r="Z449" s="197" t="s">
        <v>1108</v>
      </c>
      <c r="AA449" s="52"/>
      <c r="AB449" s="52"/>
      <c r="AC449" s="52"/>
      <c r="AD449" s="52"/>
      <c r="AE449" s="57"/>
      <c r="AF449" s="57"/>
      <c r="AG449" s="65"/>
      <c r="AH449" s="52"/>
      <c r="AI449" s="220"/>
      <c r="AJ449" s="34"/>
    </row>
    <row r="450" spans="1:36" hidden="1">
      <c r="A450" s="33" t="s">
        <v>75</v>
      </c>
      <c r="B450" s="39" t="s">
        <v>162</v>
      </c>
      <c r="D450" s="154" t="s">
        <v>1109</v>
      </c>
      <c r="E450" s="49" t="s">
        <v>69</v>
      </c>
      <c r="F450" s="68"/>
      <c r="G450" s="52" t="s">
        <v>1110</v>
      </c>
      <c r="H450" s="54"/>
      <c r="I450" s="54" t="s">
        <v>4</v>
      </c>
      <c r="W450" s="60"/>
      <c r="X450" s="60"/>
      <c r="Y450" s="61"/>
      <c r="Z450" s="252" t="s">
        <v>1108</v>
      </c>
      <c r="AA450" s="59"/>
      <c r="AB450" s="59"/>
      <c r="AC450" s="59"/>
      <c r="AD450" s="59"/>
      <c r="AE450" s="62"/>
      <c r="AF450" s="62"/>
      <c r="AG450" s="65"/>
      <c r="AI450" s="63"/>
      <c r="AJ450" s="39"/>
    </row>
    <row r="451" spans="1:36" ht="27.6" hidden="1">
      <c r="A451" s="33" t="s">
        <v>75</v>
      </c>
      <c r="B451" s="33"/>
      <c r="C451" s="162"/>
      <c r="D451" s="224" t="s">
        <v>1111</v>
      </c>
      <c r="E451" s="228"/>
      <c r="F451" s="229"/>
      <c r="G451" s="163" t="s">
        <v>1112</v>
      </c>
      <c r="H451" s="164" t="s">
        <v>22</v>
      </c>
      <c r="I451" s="165"/>
      <c r="W451" s="215"/>
      <c r="X451" s="215"/>
      <c r="Y451" s="216"/>
      <c r="Z451" s="217"/>
      <c r="AA451" s="218"/>
      <c r="AB451" s="218"/>
      <c r="AC451" s="218"/>
      <c r="AD451" s="218"/>
      <c r="AE451" s="218"/>
      <c r="AF451" s="219"/>
      <c r="AG451" s="169"/>
      <c r="AH451" s="168"/>
      <c r="AI451" s="238"/>
      <c r="AJ451" s="39"/>
    </row>
    <row r="452" spans="1:36" s="33" customFormat="1" ht="34.5" hidden="1" customHeight="1">
      <c r="A452" s="33" t="s">
        <v>75</v>
      </c>
      <c r="B452" s="39" t="s">
        <v>66</v>
      </c>
      <c r="C452" s="71"/>
      <c r="D452" s="225" t="s">
        <v>1113</v>
      </c>
      <c r="E452" s="49" t="s">
        <v>69</v>
      </c>
      <c r="F452" s="53"/>
      <c r="G452" s="52" t="s">
        <v>1114</v>
      </c>
      <c r="H452" s="53"/>
      <c r="I452" s="54" t="s">
        <v>4</v>
      </c>
      <c r="J452" s="178"/>
      <c r="K452" s="178"/>
      <c r="L452" s="178"/>
      <c r="M452" s="178"/>
      <c r="N452" s="178"/>
      <c r="O452" s="178"/>
      <c r="P452" s="178"/>
      <c r="Q452" s="178"/>
      <c r="R452" s="178"/>
      <c r="S452" s="178"/>
      <c r="T452" s="178"/>
      <c r="U452" s="178"/>
      <c r="V452" s="178"/>
      <c r="W452" s="55"/>
      <c r="X452" s="55"/>
      <c r="Y452" s="49"/>
      <c r="Z452" s="252" t="s">
        <v>127</v>
      </c>
      <c r="AA452" s="52"/>
      <c r="AB452" s="52"/>
      <c r="AC452" s="52"/>
      <c r="AD452" s="52"/>
      <c r="AE452" s="52"/>
      <c r="AF452" s="194"/>
      <c r="AG452" s="65"/>
      <c r="AH452" s="52"/>
      <c r="AI452" s="220"/>
      <c r="AJ452" s="34"/>
    </row>
    <row r="453" spans="1:36" ht="41.4" hidden="1">
      <c r="A453" s="33" t="s">
        <v>75</v>
      </c>
      <c r="B453" s="33"/>
      <c r="C453" s="162"/>
      <c r="D453" s="224" t="s">
        <v>1115</v>
      </c>
      <c r="E453" s="228"/>
      <c r="F453" s="229"/>
      <c r="G453" s="163" t="s">
        <v>1116</v>
      </c>
      <c r="H453" s="164" t="s">
        <v>22</v>
      </c>
      <c r="I453" s="165"/>
      <c r="W453" s="215"/>
      <c r="X453" s="215"/>
      <c r="Y453" s="216"/>
      <c r="Z453" s="217"/>
      <c r="AA453" s="218"/>
      <c r="AB453" s="218"/>
      <c r="AC453" s="218"/>
      <c r="AD453" s="218"/>
      <c r="AE453" s="218"/>
      <c r="AF453" s="219"/>
      <c r="AG453" s="169"/>
      <c r="AH453" s="168"/>
      <c r="AI453" s="238"/>
      <c r="AJ453" s="39"/>
    </row>
    <row r="454" spans="1:36" hidden="1">
      <c r="A454" s="33" t="s">
        <v>75</v>
      </c>
      <c r="B454" s="39" t="s">
        <v>66</v>
      </c>
      <c r="D454" s="154" t="s">
        <v>1117</v>
      </c>
      <c r="E454" s="49" t="s">
        <v>69</v>
      </c>
      <c r="F454" s="54"/>
      <c r="G454" s="52" t="s">
        <v>1118</v>
      </c>
      <c r="H454" s="54"/>
      <c r="I454" s="54" t="s">
        <v>4</v>
      </c>
      <c r="W454" s="60"/>
      <c r="X454" s="60"/>
      <c r="Y454" s="66"/>
      <c r="Z454" s="246" t="s">
        <v>127</v>
      </c>
      <c r="AA454" s="59"/>
      <c r="AB454" s="59"/>
      <c r="AC454" s="59"/>
      <c r="AD454" s="59"/>
      <c r="AE454" s="59"/>
      <c r="AF454" s="69"/>
      <c r="AG454" s="65"/>
      <c r="AI454" s="63"/>
      <c r="AJ454" s="39"/>
    </row>
    <row r="455" spans="1:36" s="33" customFormat="1" ht="34.5" hidden="1" customHeight="1">
      <c r="A455" s="33" t="s">
        <v>75</v>
      </c>
      <c r="B455" s="39" t="s">
        <v>66</v>
      </c>
      <c r="C455" s="49"/>
      <c r="D455" s="225" t="s">
        <v>1119</v>
      </c>
      <c r="E455" s="49" t="s">
        <v>69</v>
      </c>
      <c r="F455" s="53"/>
      <c r="G455" s="52" t="s">
        <v>1120</v>
      </c>
      <c r="H455" s="53"/>
      <c r="I455" s="54" t="s">
        <v>4</v>
      </c>
      <c r="J455" s="178"/>
      <c r="K455" s="178"/>
      <c r="L455" s="178"/>
      <c r="M455" s="178"/>
      <c r="N455" s="178"/>
      <c r="O455" s="178"/>
      <c r="P455" s="178"/>
      <c r="Q455" s="178"/>
      <c r="R455" s="178"/>
      <c r="S455" s="178"/>
      <c r="T455" s="178"/>
      <c r="U455" s="178"/>
      <c r="V455" s="178"/>
      <c r="W455" s="55"/>
      <c r="X455" s="55"/>
      <c r="Y455" s="49"/>
      <c r="Z455" s="51"/>
      <c r="AA455" s="52"/>
      <c r="AB455" s="52"/>
      <c r="AC455" s="52"/>
      <c r="AD455" s="52"/>
      <c r="AE455" s="52"/>
      <c r="AF455" s="194"/>
      <c r="AG455" s="65"/>
      <c r="AH455" s="52"/>
      <c r="AI455" s="220"/>
      <c r="AJ455" s="34"/>
    </row>
    <row r="456" spans="1:36" ht="27.6" hidden="1">
      <c r="A456" s="33" t="s">
        <v>75</v>
      </c>
      <c r="B456" s="33"/>
      <c r="C456" s="162"/>
      <c r="D456" s="224" t="s">
        <v>1121</v>
      </c>
      <c r="E456" s="175"/>
      <c r="F456" s="229"/>
      <c r="G456" s="163" t="s">
        <v>1122</v>
      </c>
      <c r="H456" s="164" t="s">
        <v>22</v>
      </c>
      <c r="I456" s="165"/>
      <c r="W456" s="215"/>
      <c r="X456" s="215"/>
      <c r="Y456" s="216"/>
      <c r="Z456" s="217"/>
      <c r="AA456" s="218"/>
      <c r="AB456" s="218"/>
      <c r="AC456" s="218"/>
      <c r="AD456" s="218"/>
      <c r="AE456" s="218"/>
      <c r="AF456" s="219"/>
      <c r="AG456" s="169"/>
      <c r="AH456" s="168"/>
      <c r="AI456" s="238"/>
      <c r="AJ456" s="39"/>
    </row>
    <row r="457" spans="1:36" s="33" customFormat="1" ht="54.75" hidden="1" customHeight="1">
      <c r="A457" s="33" t="s">
        <v>75</v>
      </c>
      <c r="C457" s="49"/>
      <c r="D457" s="225" t="s">
        <v>1123</v>
      </c>
      <c r="E457" s="225"/>
      <c r="F457" s="70" t="s">
        <v>1096</v>
      </c>
      <c r="G457" s="70" t="s">
        <v>1124</v>
      </c>
      <c r="H457" s="53"/>
      <c r="I457" s="54" t="s">
        <v>399</v>
      </c>
      <c r="J457" s="178"/>
      <c r="K457" s="178"/>
      <c r="L457" s="178"/>
      <c r="M457" s="178"/>
      <c r="N457" s="178"/>
      <c r="O457" s="178"/>
      <c r="P457" s="178"/>
      <c r="Q457" s="178"/>
      <c r="R457" s="178"/>
      <c r="S457" s="178"/>
      <c r="T457" s="178"/>
      <c r="U457" s="178"/>
      <c r="V457" s="178"/>
      <c r="W457" s="55"/>
      <c r="X457" s="55"/>
      <c r="Y457" s="49"/>
      <c r="Z457" s="197"/>
      <c r="AA457" s="52"/>
      <c r="AB457" s="52"/>
      <c r="AC457" s="52"/>
      <c r="AD457" s="52"/>
      <c r="AE457" s="52"/>
      <c r="AF457" s="194"/>
      <c r="AG457" s="65"/>
      <c r="AH457" s="52"/>
      <c r="AI457" s="56"/>
      <c r="AJ457" s="34"/>
    </row>
    <row r="458" spans="1:36" ht="31.35" hidden="1" customHeight="1">
      <c r="A458" s="33" t="s">
        <v>75</v>
      </c>
      <c r="B458" s="33"/>
      <c r="C458" s="162"/>
      <c r="D458" s="224" t="s">
        <v>1125</v>
      </c>
      <c r="E458" s="175"/>
      <c r="F458" s="229"/>
      <c r="G458" s="163" t="s">
        <v>1126</v>
      </c>
      <c r="H458" s="164" t="s">
        <v>22</v>
      </c>
      <c r="I458" s="165"/>
      <c r="W458" s="215"/>
      <c r="X458" s="215"/>
      <c r="Y458" s="216"/>
      <c r="Z458" s="217"/>
      <c r="AA458" s="218"/>
      <c r="AB458" s="218"/>
      <c r="AC458" s="218"/>
      <c r="AD458" s="218"/>
      <c r="AE458" s="218"/>
      <c r="AF458" s="219"/>
      <c r="AG458" s="169"/>
      <c r="AH458" s="168"/>
      <c r="AI458" s="238"/>
    </row>
    <row r="459" spans="1:36" s="33" customFormat="1" ht="116.25" hidden="1" customHeight="1">
      <c r="A459" s="33" t="s">
        <v>75</v>
      </c>
      <c r="B459" s="39" t="s">
        <v>66</v>
      </c>
      <c r="C459" s="71"/>
      <c r="D459" s="225" t="s">
        <v>1127</v>
      </c>
      <c r="E459" s="49" t="s">
        <v>69</v>
      </c>
      <c r="F459" s="52"/>
      <c r="G459" s="52" t="s">
        <v>1128</v>
      </c>
      <c r="H459" s="53"/>
      <c r="I459" s="54" t="s">
        <v>4</v>
      </c>
      <c r="J459" s="178"/>
      <c r="K459" s="178"/>
      <c r="L459" s="178"/>
      <c r="M459" s="178"/>
      <c r="N459" s="178"/>
      <c r="O459" s="178"/>
      <c r="P459" s="178"/>
      <c r="Q459" s="178"/>
      <c r="R459" s="178"/>
      <c r="S459" s="178"/>
      <c r="T459" s="178"/>
      <c r="U459" s="178"/>
      <c r="V459" s="178"/>
      <c r="W459" s="55"/>
      <c r="X459" s="55"/>
      <c r="Y459" s="49"/>
      <c r="Z459" s="197" t="s">
        <v>127</v>
      </c>
      <c r="AA459" s="52"/>
      <c r="AB459" s="52"/>
      <c r="AC459" s="52"/>
      <c r="AD459" s="52"/>
      <c r="AE459" s="52"/>
      <c r="AF459" s="194"/>
      <c r="AG459" s="65"/>
      <c r="AH459" s="52"/>
      <c r="AI459" s="220"/>
      <c r="AJ459" s="34"/>
    </row>
    <row r="460" spans="1:36" ht="27.6" hidden="1">
      <c r="A460" s="33" t="s">
        <v>75</v>
      </c>
      <c r="B460" s="33"/>
      <c r="C460" s="162"/>
      <c r="D460" s="224" t="s">
        <v>1129</v>
      </c>
      <c r="E460" s="175"/>
      <c r="F460" s="229"/>
      <c r="G460" s="163" t="s">
        <v>1130</v>
      </c>
      <c r="H460" s="164" t="s">
        <v>22</v>
      </c>
      <c r="I460" s="165"/>
      <c r="W460" s="215"/>
      <c r="X460" s="215"/>
      <c r="Y460" s="216"/>
      <c r="Z460" s="217"/>
      <c r="AA460" s="218"/>
      <c r="AB460" s="218"/>
      <c r="AC460" s="218"/>
      <c r="AD460" s="218"/>
      <c r="AE460" s="218"/>
      <c r="AF460" s="219"/>
      <c r="AG460" s="169"/>
      <c r="AH460" s="168"/>
      <c r="AI460" s="238"/>
      <c r="AJ460" s="39"/>
    </row>
    <row r="461" spans="1:36" hidden="1">
      <c r="A461" s="33" t="s">
        <v>75</v>
      </c>
      <c r="B461" s="39" t="s">
        <v>66</v>
      </c>
      <c r="D461" s="154" t="s">
        <v>1131</v>
      </c>
      <c r="E461" s="66" t="s">
        <v>69</v>
      </c>
      <c r="F461" s="59"/>
      <c r="G461" s="52" t="s">
        <v>1132</v>
      </c>
      <c r="H461" s="54"/>
      <c r="I461" s="54" t="s">
        <v>4</v>
      </c>
      <c r="W461" s="60"/>
      <c r="X461" s="60"/>
      <c r="Y461" s="66"/>
      <c r="Z461" s="246" t="s">
        <v>127</v>
      </c>
      <c r="AA461" s="59"/>
      <c r="AB461" s="59"/>
      <c r="AC461" s="59"/>
      <c r="AD461" s="59"/>
      <c r="AE461" s="59"/>
      <c r="AF461" s="62"/>
      <c r="AG461" s="65"/>
      <c r="AI461" s="63"/>
      <c r="AJ461" s="39"/>
    </row>
    <row r="462" spans="1:36" ht="41.4" hidden="1">
      <c r="A462" s="33" t="s">
        <v>75</v>
      </c>
      <c r="D462" s="154" t="s">
        <v>1133</v>
      </c>
      <c r="E462" s="225"/>
      <c r="F462" s="72" t="s">
        <v>1096</v>
      </c>
      <c r="G462" s="70" t="s">
        <v>1134</v>
      </c>
      <c r="H462" s="54"/>
      <c r="W462" s="60"/>
      <c r="X462" s="60"/>
      <c r="Y462" s="66"/>
      <c r="Z462" s="255"/>
      <c r="AA462" s="59"/>
      <c r="AB462" s="59"/>
      <c r="AC462" s="59"/>
      <c r="AD462" s="59"/>
      <c r="AE462" s="59"/>
      <c r="AF462" s="62"/>
      <c r="AG462" s="65"/>
      <c r="AI462" s="63"/>
      <c r="AJ462" s="39"/>
    </row>
    <row r="463" spans="1:36" ht="32.1" hidden="1" customHeight="1">
      <c r="A463" s="33" t="s">
        <v>75</v>
      </c>
      <c r="B463" s="33"/>
      <c r="C463" s="162"/>
      <c r="D463" s="224" t="s">
        <v>1135</v>
      </c>
      <c r="E463" s="228"/>
      <c r="F463" s="229"/>
      <c r="G463" s="163" t="s">
        <v>1136</v>
      </c>
      <c r="H463" s="164" t="s">
        <v>22</v>
      </c>
      <c r="I463" s="165"/>
      <c r="W463" s="215"/>
      <c r="X463" s="215"/>
      <c r="Y463" s="216"/>
      <c r="Z463" s="217"/>
      <c r="AA463" s="218"/>
      <c r="AB463" s="218"/>
      <c r="AC463" s="218"/>
      <c r="AD463" s="218"/>
      <c r="AE463" s="218"/>
      <c r="AF463" s="219"/>
      <c r="AG463" s="169"/>
      <c r="AH463" s="168"/>
      <c r="AI463" s="238"/>
      <c r="AJ463" s="39"/>
    </row>
    <row r="464" spans="1:36" ht="31.35" hidden="1" customHeight="1">
      <c r="A464" s="33" t="s">
        <v>75</v>
      </c>
      <c r="B464" s="39" t="s">
        <v>66</v>
      </c>
      <c r="C464" s="71"/>
      <c r="D464" s="154" t="s">
        <v>1137</v>
      </c>
      <c r="E464" s="49" t="s">
        <v>69</v>
      </c>
      <c r="F464" s="59"/>
      <c r="G464" s="52" t="s">
        <v>1138</v>
      </c>
      <c r="H464" s="54"/>
      <c r="I464" s="54" t="s">
        <v>4</v>
      </c>
      <c r="W464" s="60"/>
      <c r="X464" s="60"/>
      <c r="Y464" s="66"/>
      <c r="Z464" s="199" t="s">
        <v>1139</v>
      </c>
      <c r="AA464" s="59"/>
      <c r="AB464" s="59"/>
      <c r="AC464" s="59"/>
      <c r="AD464" s="59"/>
      <c r="AE464" s="59"/>
      <c r="AF464" s="62"/>
      <c r="AG464" s="65"/>
      <c r="AI464" s="63"/>
      <c r="AJ464" s="39"/>
    </row>
    <row r="465" spans="1:36" s="33" customFormat="1" ht="50.25" hidden="1" customHeight="1">
      <c r="A465" s="33" t="s">
        <v>75</v>
      </c>
      <c r="C465" s="71"/>
      <c r="D465" s="225" t="s">
        <v>1140</v>
      </c>
      <c r="E465" s="225"/>
      <c r="F465" s="192" t="s">
        <v>1141</v>
      </c>
      <c r="G465" s="192" t="s">
        <v>1142</v>
      </c>
      <c r="H465" s="53"/>
      <c r="I465" s="54"/>
      <c r="J465" s="178"/>
      <c r="K465" s="178"/>
      <c r="L465" s="178"/>
      <c r="M465" s="178"/>
      <c r="N465" s="178"/>
      <c r="O465" s="178"/>
      <c r="P465" s="178"/>
      <c r="Q465" s="178"/>
      <c r="R465" s="178"/>
      <c r="S465" s="178"/>
      <c r="T465" s="178"/>
      <c r="U465" s="178"/>
      <c r="V465" s="178"/>
      <c r="W465" s="55"/>
      <c r="X465" s="55"/>
      <c r="Y465" s="49"/>
      <c r="Z465" s="197"/>
      <c r="AA465" s="52"/>
      <c r="AB465" s="52"/>
      <c r="AC465" s="52"/>
      <c r="AD465" s="52"/>
      <c r="AE465" s="52"/>
      <c r="AF465" s="57"/>
      <c r="AG465" s="65"/>
      <c r="AH465" s="52"/>
      <c r="AI465" s="220"/>
      <c r="AJ465" s="34"/>
    </row>
    <row r="466" spans="1:36" ht="27.6" hidden="1">
      <c r="A466" s="33" t="s">
        <v>75</v>
      </c>
      <c r="B466" s="33"/>
      <c r="C466" s="162"/>
      <c r="D466" s="224" t="s">
        <v>1143</v>
      </c>
      <c r="E466" s="175"/>
      <c r="F466" s="229"/>
      <c r="G466" s="163" t="s">
        <v>1144</v>
      </c>
      <c r="H466" s="164" t="s">
        <v>22</v>
      </c>
      <c r="I466" s="165"/>
      <c r="W466" s="215"/>
      <c r="X466" s="215"/>
      <c r="Y466" s="216"/>
      <c r="Z466" s="217"/>
      <c r="AA466" s="218"/>
      <c r="AB466" s="218"/>
      <c r="AC466" s="218"/>
      <c r="AD466" s="218"/>
      <c r="AE466" s="218"/>
      <c r="AF466" s="219"/>
      <c r="AG466" s="169"/>
      <c r="AH466" s="168"/>
      <c r="AI466" s="238"/>
    </row>
    <row r="467" spans="1:36" s="33" customFormat="1" ht="72" hidden="1" customHeight="1">
      <c r="A467" s="33" t="s">
        <v>75</v>
      </c>
      <c r="B467" s="39" t="s">
        <v>66</v>
      </c>
      <c r="C467" s="49"/>
      <c r="D467" s="225" t="s">
        <v>1145</v>
      </c>
      <c r="E467" s="49" t="s">
        <v>69</v>
      </c>
      <c r="F467" s="52"/>
      <c r="G467" s="52" t="s">
        <v>1146</v>
      </c>
      <c r="H467" s="53"/>
      <c r="I467" s="54" t="s">
        <v>4</v>
      </c>
      <c r="J467" s="178"/>
      <c r="K467" s="178"/>
      <c r="L467" s="178"/>
      <c r="M467" s="178"/>
      <c r="N467" s="178"/>
      <c r="O467" s="178"/>
      <c r="P467" s="178"/>
      <c r="Q467" s="178"/>
      <c r="R467" s="178"/>
      <c r="S467" s="178"/>
      <c r="T467" s="178"/>
      <c r="U467" s="178"/>
      <c r="V467" s="178"/>
      <c r="W467" s="55"/>
      <c r="X467" s="55"/>
      <c r="Y467" s="49"/>
      <c r="Z467" s="197" t="s">
        <v>127</v>
      </c>
      <c r="AA467" s="52"/>
      <c r="AB467" s="52"/>
      <c r="AC467" s="52"/>
      <c r="AD467" s="52"/>
      <c r="AE467" s="52"/>
      <c r="AF467" s="194"/>
      <c r="AG467" s="65"/>
      <c r="AH467" s="52"/>
      <c r="AI467" s="220"/>
      <c r="AJ467" s="34"/>
    </row>
    <row r="468" spans="1:36" ht="27.6" hidden="1">
      <c r="A468" s="33" t="s">
        <v>75</v>
      </c>
      <c r="B468" s="33"/>
      <c r="C468" s="162"/>
      <c r="D468" s="224" t="s">
        <v>1147</v>
      </c>
      <c r="E468" s="175"/>
      <c r="F468" s="176"/>
      <c r="G468" s="163" t="s">
        <v>1148</v>
      </c>
      <c r="H468" s="164" t="s">
        <v>22</v>
      </c>
      <c r="I468" s="165"/>
      <c r="W468" s="215"/>
      <c r="X468" s="215"/>
      <c r="Y468" s="216"/>
      <c r="Z468" s="217"/>
      <c r="AA468" s="218"/>
      <c r="AB468" s="218"/>
      <c r="AC468" s="218"/>
      <c r="AD468" s="218"/>
      <c r="AE468" s="218"/>
      <c r="AF468" s="219"/>
      <c r="AG468" s="169"/>
      <c r="AH468" s="168"/>
      <c r="AI468" s="238"/>
    </row>
    <row r="469" spans="1:36" s="33" customFormat="1" ht="60.75" hidden="1" customHeight="1">
      <c r="A469" s="33" t="s">
        <v>75</v>
      </c>
      <c r="B469" s="39" t="s">
        <v>66</v>
      </c>
      <c r="C469" s="71"/>
      <c r="D469" s="225" t="s">
        <v>1149</v>
      </c>
      <c r="E469" s="49" t="s">
        <v>69</v>
      </c>
      <c r="F469" s="52"/>
      <c r="G469" s="52" t="s">
        <v>1150</v>
      </c>
      <c r="H469" s="53"/>
      <c r="I469" s="54" t="s">
        <v>4</v>
      </c>
      <c r="J469" s="178"/>
      <c r="K469" s="178"/>
      <c r="L469" s="178"/>
      <c r="M469" s="178"/>
      <c r="N469" s="178"/>
      <c r="O469" s="178"/>
      <c r="P469" s="178"/>
      <c r="Q469" s="178"/>
      <c r="R469" s="178"/>
      <c r="S469" s="178"/>
      <c r="T469" s="178"/>
      <c r="U469" s="178"/>
      <c r="V469" s="178"/>
      <c r="W469" s="55"/>
      <c r="X469" s="55"/>
      <c r="Y469" s="49"/>
      <c r="Z469" s="252" t="s">
        <v>127</v>
      </c>
      <c r="AA469" s="52"/>
      <c r="AB469" s="52"/>
      <c r="AC469" s="52"/>
      <c r="AD469" s="52"/>
      <c r="AE469" s="52"/>
      <c r="AF469" s="194"/>
      <c r="AG469" s="65"/>
      <c r="AH469" s="52"/>
      <c r="AI469" s="220"/>
      <c r="AJ469" s="34"/>
    </row>
    <row r="470" spans="1:36" ht="82.8" hidden="1">
      <c r="A470" s="33" t="s">
        <v>75</v>
      </c>
      <c r="B470" s="33"/>
      <c r="C470" s="162"/>
      <c r="D470" s="224" t="s">
        <v>1151</v>
      </c>
      <c r="E470" s="175"/>
      <c r="F470" s="176"/>
      <c r="G470" s="163" t="s">
        <v>1152</v>
      </c>
      <c r="H470" s="164" t="s">
        <v>22</v>
      </c>
      <c r="I470" s="165"/>
      <c r="W470" s="215"/>
      <c r="X470" s="215"/>
      <c r="Y470" s="216"/>
      <c r="Z470" s="217"/>
      <c r="AA470" s="218"/>
      <c r="AB470" s="218"/>
      <c r="AC470" s="218"/>
      <c r="AD470" s="218"/>
      <c r="AE470" s="218"/>
      <c r="AF470" s="219"/>
      <c r="AG470" s="169"/>
      <c r="AH470" s="168"/>
      <c r="AI470" s="238"/>
      <c r="AJ470" s="39"/>
    </row>
    <row r="471" spans="1:36" s="33" customFormat="1" ht="58.5" hidden="1" customHeight="1">
      <c r="A471" s="33" t="s">
        <v>75</v>
      </c>
      <c r="B471" s="39" t="s">
        <v>162</v>
      </c>
      <c r="C471" s="49"/>
      <c r="D471" s="225" t="s">
        <v>1153</v>
      </c>
      <c r="E471" s="49" t="s">
        <v>69</v>
      </c>
      <c r="F471" s="52"/>
      <c r="G471" s="52" t="s">
        <v>1154</v>
      </c>
      <c r="H471" s="53"/>
      <c r="I471" s="54" t="s">
        <v>4</v>
      </c>
      <c r="J471" s="178"/>
      <c r="K471" s="178"/>
      <c r="L471" s="178"/>
      <c r="M471" s="178"/>
      <c r="N471" s="178"/>
      <c r="O471" s="178"/>
      <c r="P471" s="178"/>
      <c r="Q471" s="178"/>
      <c r="R471" s="178"/>
      <c r="S471" s="178"/>
      <c r="T471" s="178"/>
      <c r="U471" s="178"/>
      <c r="V471" s="178"/>
      <c r="W471" s="55"/>
      <c r="X471" s="55"/>
      <c r="Y471" s="49"/>
      <c r="Z471" s="252" t="s">
        <v>127</v>
      </c>
      <c r="AA471" s="52"/>
      <c r="AB471" s="52"/>
      <c r="AC471" s="52"/>
      <c r="AD471" s="52"/>
      <c r="AE471" s="57"/>
      <c r="AF471" s="194"/>
      <c r="AG471" s="65"/>
      <c r="AH471" s="52"/>
      <c r="AI471" s="220"/>
      <c r="AJ471" s="34"/>
    </row>
    <row r="472" spans="1:36" ht="27.6" hidden="1">
      <c r="A472" s="33" t="s">
        <v>75</v>
      </c>
      <c r="B472" s="39" t="s">
        <v>162</v>
      </c>
      <c r="D472" s="154" t="s">
        <v>1155</v>
      </c>
      <c r="E472" s="49" t="s">
        <v>69</v>
      </c>
      <c r="F472" s="52"/>
      <c r="G472" s="52" t="s">
        <v>1156</v>
      </c>
      <c r="H472" s="54"/>
      <c r="I472" s="54" t="s">
        <v>4</v>
      </c>
      <c r="W472" s="60"/>
      <c r="X472" s="60"/>
      <c r="Y472" s="66"/>
      <c r="Z472" s="252" t="s">
        <v>127</v>
      </c>
      <c r="AA472" s="59"/>
      <c r="AB472" s="59"/>
      <c r="AC472" s="59"/>
      <c r="AD472" s="59"/>
      <c r="AE472" s="62"/>
      <c r="AF472" s="69"/>
      <c r="AG472" s="65"/>
      <c r="AI472" s="63"/>
      <c r="AJ472" s="39"/>
    </row>
    <row r="473" spans="1:36" ht="27.6" hidden="1">
      <c r="A473" s="33" t="s">
        <v>75</v>
      </c>
      <c r="D473" s="154" t="s">
        <v>1157</v>
      </c>
      <c r="E473" s="49"/>
      <c r="F473" s="70" t="s">
        <v>77</v>
      </c>
      <c r="G473" s="70" t="s">
        <v>1158</v>
      </c>
      <c r="H473" s="54"/>
      <c r="W473" s="60"/>
      <c r="X473" s="60"/>
      <c r="Y473" s="66"/>
      <c r="Z473" s="252"/>
      <c r="AA473" s="59"/>
      <c r="AB473" s="59"/>
      <c r="AC473" s="59"/>
      <c r="AD473" s="59"/>
      <c r="AE473" s="62"/>
      <c r="AF473" s="69"/>
      <c r="AG473" s="65"/>
      <c r="AI473" s="63"/>
      <c r="AJ473" s="39"/>
    </row>
    <row r="474" spans="1:36" s="33" customFormat="1" ht="34.5" hidden="1" customHeight="1">
      <c r="A474" s="33" t="s">
        <v>75</v>
      </c>
      <c r="B474" s="39" t="s">
        <v>162</v>
      </c>
      <c r="C474" s="49"/>
      <c r="D474" s="225" t="s">
        <v>1159</v>
      </c>
      <c r="E474" s="49" t="s">
        <v>69</v>
      </c>
      <c r="F474" s="52"/>
      <c r="G474" s="52" t="s">
        <v>1160</v>
      </c>
      <c r="H474" s="53"/>
      <c r="I474" s="54" t="s">
        <v>4</v>
      </c>
      <c r="J474" s="178"/>
      <c r="K474" s="178"/>
      <c r="L474" s="178"/>
      <c r="M474" s="178"/>
      <c r="N474" s="178"/>
      <c r="O474" s="178"/>
      <c r="P474" s="178"/>
      <c r="Q474" s="178"/>
      <c r="R474" s="178"/>
      <c r="S474" s="178"/>
      <c r="T474" s="178"/>
      <c r="U474" s="178"/>
      <c r="V474" s="178"/>
      <c r="W474" s="55"/>
      <c r="X474" s="55"/>
      <c r="Y474" s="49"/>
      <c r="Z474" s="252" t="s">
        <v>127</v>
      </c>
      <c r="AA474" s="52"/>
      <c r="AB474" s="52"/>
      <c r="AC474" s="52"/>
      <c r="AD474" s="52"/>
      <c r="AE474" s="57"/>
      <c r="AF474" s="194"/>
      <c r="AG474" s="65"/>
      <c r="AH474" s="52"/>
      <c r="AI474" s="220"/>
      <c r="AJ474" s="34"/>
    </row>
    <row r="475" spans="1:36" ht="27.6" hidden="1">
      <c r="A475" s="33" t="s">
        <v>75</v>
      </c>
      <c r="B475" s="39" t="s">
        <v>162</v>
      </c>
      <c r="D475" s="154" t="s">
        <v>1161</v>
      </c>
      <c r="E475" s="49" t="s">
        <v>69</v>
      </c>
      <c r="F475" s="52"/>
      <c r="G475" s="52" t="s">
        <v>1162</v>
      </c>
      <c r="H475" s="54"/>
      <c r="I475" s="54" t="s">
        <v>4</v>
      </c>
      <c r="W475" s="60"/>
      <c r="X475" s="60"/>
      <c r="Y475" s="66"/>
      <c r="Z475" s="252" t="s">
        <v>127</v>
      </c>
      <c r="AA475" s="59"/>
      <c r="AB475" s="59"/>
      <c r="AC475" s="59"/>
      <c r="AD475" s="59"/>
      <c r="AE475" s="62"/>
      <c r="AF475" s="69"/>
      <c r="AG475" s="65"/>
      <c r="AI475" s="63"/>
    </row>
    <row r="476" spans="1:36" s="33" customFormat="1" ht="60" hidden="1" customHeight="1">
      <c r="A476" s="33" t="s">
        <v>75</v>
      </c>
      <c r="C476" s="162"/>
      <c r="D476" s="177" t="s">
        <v>1163</v>
      </c>
      <c r="E476" s="175"/>
      <c r="F476" s="176"/>
      <c r="G476" s="163" t="s">
        <v>1164</v>
      </c>
      <c r="H476" s="164" t="s">
        <v>22</v>
      </c>
      <c r="I476" s="165"/>
      <c r="J476" s="178"/>
      <c r="K476" s="178"/>
      <c r="L476" s="178"/>
      <c r="M476" s="178"/>
      <c r="N476" s="178"/>
      <c r="O476" s="178"/>
      <c r="P476" s="178"/>
      <c r="Q476" s="178"/>
      <c r="R476" s="178"/>
      <c r="S476" s="178"/>
      <c r="T476" s="178"/>
      <c r="U476" s="178"/>
      <c r="V476" s="178"/>
      <c r="W476" s="166"/>
      <c r="X476" s="166"/>
      <c r="Y476" s="167"/>
      <c r="Z476" s="217"/>
      <c r="AA476" s="168"/>
      <c r="AB476" s="168"/>
      <c r="AC476" s="168"/>
      <c r="AD476" s="168"/>
      <c r="AE476" s="168"/>
      <c r="AF476" s="163"/>
      <c r="AG476" s="169"/>
      <c r="AH476" s="168"/>
      <c r="AI476" s="170"/>
      <c r="AJ476" s="34"/>
    </row>
    <row r="477" spans="1:36" ht="46.35" hidden="1" customHeight="1">
      <c r="A477" s="33" t="s">
        <v>75</v>
      </c>
      <c r="B477" s="39" t="s">
        <v>162</v>
      </c>
      <c r="C477" s="71"/>
      <c r="D477" s="154" t="s">
        <v>1165</v>
      </c>
      <c r="E477" s="66" t="s">
        <v>69</v>
      </c>
      <c r="F477" s="59"/>
      <c r="G477" s="52" t="s">
        <v>1166</v>
      </c>
      <c r="H477" s="54"/>
      <c r="I477" s="54" t="s">
        <v>4</v>
      </c>
      <c r="W477" s="60"/>
      <c r="X477" s="60"/>
      <c r="Y477" s="66"/>
      <c r="Z477" s="246" t="s">
        <v>127</v>
      </c>
      <c r="AA477" s="59"/>
      <c r="AB477" s="59"/>
      <c r="AC477" s="59"/>
      <c r="AD477" s="59"/>
      <c r="AE477" s="62"/>
      <c r="AF477" s="69"/>
      <c r="AG477" s="65"/>
      <c r="AI477" s="63"/>
      <c r="AJ477" s="39"/>
    </row>
    <row r="478" spans="1:36" hidden="1">
      <c r="A478" s="33" t="s">
        <v>75</v>
      </c>
      <c r="B478" s="33"/>
      <c r="C478" s="162"/>
      <c r="D478" s="224" t="s">
        <v>1167</v>
      </c>
      <c r="E478" s="175"/>
      <c r="F478" s="229"/>
      <c r="G478" s="163" t="s">
        <v>1168</v>
      </c>
      <c r="H478" s="164" t="s">
        <v>22</v>
      </c>
      <c r="I478" s="165"/>
      <c r="W478" s="215"/>
      <c r="X478" s="215"/>
      <c r="Y478" s="216"/>
      <c r="Z478" s="217"/>
      <c r="AA478" s="218"/>
      <c r="AB478" s="218"/>
      <c r="AC478" s="218"/>
      <c r="AD478" s="218"/>
      <c r="AE478" s="218"/>
      <c r="AF478" s="219"/>
      <c r="AG478" s="169"/>
      <c r="AH478" s="168"/>
      <c r="AI478" s="238"/>
      <c r="AJ478" s="39"/>
    </row>
    <row r="479" spans="1:36" s="33" customFormat="1" ht="34.5" hidden="1" customHeight="1">
      <c r="A479" s="33" t="s">
        <v>75</v>
      </c>
      <c r="B479" s="39" t="s">
        <v>162</v>
      </c>
      <c r="C479" s="49"/>
      <c r="D479" s="225" t="s">
        <v>1169</v>
      </c>
      <c r="E479" s="49" t="s">
        <v>69</v>
      </c>
      <c r="F479" s="52"/>
      <c r="G479" s="52" t="s">
        <v>1170</v>
      </c>
      <c r="H479" s="53"/>
      <c r="I479" s="54" t="s">
        <v>4</v>
      </c>
      <c r="J479" s="178"/>
      <c r="K479" s="178"/>
      <c r="L479" s="178"/>
      <c r="M479" s="178"/>
      <c r="N479" s="178"/>
      <c r="O479" s="178"/>
      <c r="P479" s="178"/>
      <c r="Q479" s="178"/>
      <c r="R479" s="178"/>
      <c r="S479" s="178"/>
      <c r="T479" s="178"/>
      <c r="U479" s="178"/>
      <c r="V479" s="178"/>
      <c r="W479" s="55"/>
      <c r="X479" s="55"/>
      <c r="Y479" s="49"/>
      <c r="Z479" s="252" t="s">
        <v>127</v>
      </c>
      <c r="AA479" s="52"/>
      <c r="AB479" s="52"/>
      <c r="AC479" s="52"/>
      <c r="AD479" s="52"/>
      <c r="AE479" s="52"/>
      <c r="AF479" s="57"/>
      <c r="AG479" s="65"/>
      <c r="AH479" s="52"/>
      <c r="AI479" s="220"/>
      <c r="AJ479" s="34"/>
    </row>
    <row r="480" spans="1:36" hidden="1">
      <c r="A480" s="33" t="s">
        <v>75</v>
      </c>
      <c r="B480" s="33"/>
      <c r="C480" s="162"/>
      <c r="D480" s="224" t="s">
        <v>1171</v>
      </c>
      <c r="E480" s="175"/>
      <c r="F480" s="229"/>
      <c r="G480" s="163" t="s">
        <v>1172</v>
      </c>
      <c r="H480" s="164" t="s">
        <v>22</v>
      </c>
      <c r="I480" s="165"/>
      <c r="W480" s="215"/>
      <c r="X480" s="215"/>
      <c r="Y480" s="216"/>
      <c r="Z480" s="217"/>
      <c r="AA480" s="218"/>
      <c r="AB480" s="218"/>
      <c r="AC480" s="218"/>
      <c r="AD480" s="218"/>
      <c r="AE480" s="218"/>
      <c r="AF480" s="219"/>
      <c r="AG480" s="169"/>
      <c r="AH480" s="168"/>
      <c r="AI480" s="238"/>
      <c r="AJ480" s="39"/>
    </row>
    <row r="481" spans="1:36" s="33" customFormat="1" ht="34.5" hidden="1" customHeight="1">
      <c r="A481" s="33" t="s">
        <v>75</v>
      </c>
      <c r="B481" s="39" t="s">
        <v>162</v>
      </c>
      <c r="C481" s="49"/>
      <c r="D481" s="225" t="s">
        <v>1173</v>
      </c>
      <c r="E481" s="49" t="s">
        <v>69</v>
      </c>
      <c r="F481" s="52"/>
      <c r="G481" s="52" t="s">
        <v>1174</v>
      </c>
      <c r="H481" s="53"/>
      <c r="I481" s="54" t="s">
        <v>4</v>
      </c>
      <c r="J481" s="178"/>
      <c r="K481" s="178"/>
      <c r="L481" s="178"/>
      <c r="M481" s="178"/>
      <c r="N481" s="178"/>
      <c r="O481" s="178"/>
      <c r="P481" s="178"/>
      <c r="Q481" s="178"/>
      <c r="R481" s="178"/>
      <c r="S481" s="178"/>
      <c r="T481" s="178"/>
      <c r="U481" s="178"/>
      <c r="V481" s="178"/>
      <c r="W481" s="55"/>
      <c r="X481" s="55"/>
      <c r="Y481" s="56"/>
      <c r="Z481" s="252" t="s">
        <v>127</v>
      </c>
      <c r="AA481" s="52"/>
      <c r="AB481" s="52"/>
      <c r="AC481" s="52"/>
      <c r="AD481" s="52"/>
      <c r="AE481" s="57"/>
      <c r="AF481" s="57"/>
      <c r="AG481" s="65"/>
      <c r="AH481" s="52"/>
      <c r="AI481" s="220"/>
      <c r="AJ481" s="34"/>
    </row>
    <row r="482" spans="1:36" ht="57" hidden="1" customHeight="1">
      <c r="A482" s="33" t="s">
        <v>75</v>
      </c>
      <c r="B482" s="33"/>
      <c r="C482" s="162"/>
      <c r="D482" s="224" t="s">
        <v>1175</v>
      </c>
      <c r="E482" s="228"/>
      <c r="F482" s="229" t="s">
        <v>1176</v>
      </c>
      <c r="G482" s="163" t="s">
        <v>1177</v>
      </c>
      <c r="H482" s="164" t="s">
        <v>22</v>
      </c>
      <c r="I482" s="165"/>
      <c r="W482" s="215"/>
      <c r="X482" s="215"/>
      <c r="Y482" s="216"/>
      <c r="Z482" s="217"/>
      <c r="AA482" s="218"/>
      <c r="AB482" s="218"/>
      <c r="AC482" s="218"/>
      <c r="AD482" s="218"/>
      <c r="AE482" s="218"/>
      <c r="AF482" s="219"/>
      <c r="AG482" s="169"/>
      <c r="AH482" s="168"/>
      <c r="AI482" s="238"/>
      <c r="AJ482" s="39"/>
    </row>
    <row r="483" spans="1:36" s="33" customFormat="1" ht="34.5" hidden="1" customHeight="1">
      <c r="A483" s="33" t="s">
        <v>75</v>
      </c>
      <c r="B483" s="39" t="s">
        <v>659</v>
      </c>
      <c r="C483" s="71"/>
      <c r="D483" s="87" t="s">
        <v>1178</v>
      </c>
      <c r="E483" s="49" t="s">
        <v>69</v>
      </c>
      <c r="F483" s="52"/>
      <c r="G483" s="52" t="s">
        <v>1179</v>
      </c>
      <c r="H483" s="53"/>
      <c r="I483" s="54" t="s">
        <v>4</v>
      </c>
      <c r="J483" s="178"/>
      <c r="K483" s="178"/>
      <c r="L483" s="178"/>
      <c r="M483" s="178"/>
      <c r="N483" s="178"/>
      <c r="O483" s="178"/>
      <c r="P483" s="178"/>
      <c r="Q483" s="178"/>
      <c r="R483" s="178"/>
      <c r="S483" s="178"/>
      <c r="T483" s="178"/>
      <c r="U483" s="178"/>
      <c r="V483" s="178"/>
      <c r="W483" s="55"/>
      <c r="X483" s="55"/>
      <c r="Y483" s="49"/>
      <c r="Z483" s="252" t="s">
        <v>127</v>
      </c>
      <c r="AA483" s="52"/>
      <c r="AB483" s="52"/>
      <c r="AC483" s="52"/>
      <c r="AD483" s="52"/>
      <c r="AE483" s="57"/>
      <c r="AF483" s="194"/>
      <c r="AG483" s="65"/>
      <c r="AH483" s="52"/>
      <c r="AI483" s="220"/>
      <c r="AJ483" s="34"/>
    </row>
    <row r="484" spans="1:36" s="33" customFormat="1" ht="34.5" hidden="1" customHeight="1">
      <c r="A484" s="33" t="s">
        <v>75</v>
      </c>
      <c r="B484" s="39" t="s">
        <v>659</v>
      </c>
      <c r="C484" s="71"/>
      <c r="D484" s="87" t="s">
        <v>1180</v>
      </c>
      <c r="E484" s="49" t="s">
        <v>69</v>
      </c>
      <c r="F484" s="59"/>
      <c r="G484" s="59" t="s">
        <v>1181</v>
      </c>
      <c r="H484" s="53"/>
      <c r="I484" s="54" t="s">
        <v>4</v>
      </c>
      <c r="J484" s="178"/>
      <c r="K484" s="178"/>
      <c r="L484" s="178"/>
      <c r="M484" s="178"/>
      <c r="N484" s="178"/>
      <c r="O484" s="178"/>
      <c r="P484" s="178"/>
      <c r="Q484" s="178"/>
      <c r="R484" s="178"/>
      <c r="S484" s="178"/>
      <c r="T484" s="178"/>
      <c r="U484" s="178"/>
      <c r="V484" s="178"/>
      <c r="W484" s="60"/>
      <c r="X484" s="60"/>
      <c r="Y484" s="66"/>
      <c r="Z484" s="246"/>
      <c r="AA484" s="59"/>
      <c r="AB484" s="59"/>
      <c r="AC484" s="59"/>
      <c r="AD484" s="59"/>
      <c r="AE484" s="62"/>
      <c r="AF484" s="69"/>
      <c r="AG484" s="65"/>
      <c r="AH484" s="52"/>
      <c r="AI484" s="63"/>
      <c r="AJ484" s="34"/>
    </row>
    <row r="485" spans="1:36" ht="41.4" hidden="1">
      <c r="A485" s="33" t="s">
        <v>75</v>
      </c>
      <c r="B485" s="33"/>
      <c r="C485" s="162"/>
      <c r="D485" s="224" t="s">
        <v>1182</v>
      </c>
      <c r="E485" s="228"/>
      <c r="F485" s="229"/>
      <c r="G485" s="219" t="s">
        <v>1183</v>
      </c>
      <c r="H485" s="164" t="s">
        <v>22</v>
      </c>
      <c r="I485" s="165"/>
      <c r="W485" s="215"/>
      <c r="X485" s="215"/>
      <c r="Y485" s="216"/>
      <c r="Z485" s="217"/>
      <c r="AA485" s="218"/>
      <c r="AB485" s="218"/>
      <c r="AC485" s="218"/>
      <c r="AD485" s="218"/>
      <c r="AE485" s="218"/>
      <c r="AF485" s="219"/>
      <c r="AG485" s="169"/>
      <c r="AH485" s="168"/>
      <c r="AI485" s="238"/>
      <c r="AJ485" s="39"/>
    </row>
    <row r="486" spans="1:36" s="33" customFormat="1" ht="36" hidden="1" customHeight="1">
      <c r="A486" s="33" t="s">
        <v>75</v>
      </c>
      <c r="B486" s="39" t="s">
        <v>659</v>
      </c>
      <c r="C486" s="49"/>
      <c r="D486" s="87" t="s">
        <v>1184</v>
      </c>
      <c r="E486" s="49" t="s">
        <v>69</v>
      </c>
      <c r="F486" s="51"/>
      <c r="G486" s="52" t="s">
        <v>1185</v>
      </c>
      <c r="H486" s="53"/>
      <c r="I486" s="54" t="s">
        <v>4</v>
      </c>
      <c r="J486" s="178"/>
      <c r="K486" s="178"/>
      <c r="L486" s="178"/>
      <c r="M486" s="178"/>
      <c r="N486" s="178"/>
      <c r="O486" s="178"/>
      <c r="P486" s="178"/>
      <c r="Q486" s="178"/>
      <c r="R486" s="178"/>
      <c r="S486" s="178"/>
      <c r="T486" s="178"/>
      <c r="U486" s="178"/>
      <c r="V486" s="178"/>
      <c r="W486" s="55"/>
      <c r="X486" s="55"/>
      <c r="Y486" s="49"/>
      <c r="Z486" s="252" t="s">
        <v>127</v>
      </c>
      <c r="AA486" s="52"/>
      <c r="AB486" s="52"/>
      <c r="AC486" s="52"/>
      <c r="AD486" s="52"/>
      <c r="AE486" s="57"/>
      <c r="AF486" s="194"/>
      <c r="AG486" s="65"/>
      <c r="AH486" s="52"/>
      <c r="AI486" s="220"/>
      <c r="AJ486" s="34"/>
    </row>
    <row r="487" spans="1:36" ht="29.85" hidden="1" customHeight="1">
      <c r="A487" s="33" t="s">
        <v>75</v>
      </c>
      <c r="B487" s="39" t="s">
        <v>659</v>
      </c>
      <c r="D487" s="155" t="s">
        <v>1186</v>
      </c>
      <c r="E487" s="49" t="s">
        <v>69</v>
      </c>
      <c r="F487" s="68"/>
      <c r="G487" s="52" t="s">
        <v>1187</v>
      </c>
      <c r="H487" s="54"/>
      <c r="I487" s="54" t="s">
        <v>71</v>
      </c>
      <c r="W487" s="60"/>
      <c r="X487" s="60"/>
      <c r="Y487" s="66"/>
      <c r="Z487" s="199" t="s">
        <v>548</v>
      </c>
      <c r="AA487" s="59"/>
      <c r="AB487" s="59"/>
      <c r="AC487" s="59"/>
      <c r="AD487" s="59"/>
      <c r="AE487" s="62"/>
      <c r="AF487" s="69"/>
      <c r="AG487" s="65"/>
      <c r="AI487" s="63"/>
      <c r="AJ487" s="39"/>
    </row>
    <row r="488" spans="1:36" s="33" customFormat="1" ht="80.099999999999994" hidden="1" customHeight="1">
      <c r="A488" s="33" t="s">
        <v>75</v>
      </c>
      <c r="B488" s="39"/>
      <c r="C488" s="49"/>
      <c r="D488" s="87" t="s">
        <v>1188</v>
      </c>
      <c r="E488" s="87"/>
      <c r="F488" s="191" t="s">
        <v>77</v>
      </c>
      <c r="G488" s="192" t="s">
        <v>1189</v>
      </c>
      <c r="H488" s="53"/>
      <c r="I488" s="54"/>
      <c r="J488" s="178"/>
      <c r="K488" s="178"/>
      <c r="L488" s="178"/>
      <c r="M488" s="178"/>
      <c r="N488" s="178"/>
      <c r="O488" s="178"/>
      <c r="P488" s="178"/>
      <c r="Q488" s="178"/>
      <c r="R488" s="178"/>
      <c r="S488" s="178"/>
      <c r="T488" s="178"/>
      <c r="U488" s="178"/>
      <c r="V488" s="178"/>
      <c r="W488" s="55"/>
      <c r="X488" s="55"/>
      <c r="Y488" s="49"/>
      <c r="Z488" s="197"/>
      <c r="AA488" s="52"/>
      <c r="AB488" s="52"/>
      <c r="AC488" s="52"/>
      <c r="AD488" s="52"/>
      <c r="AE488" s="57"/>
      <c r="AF488" s="194"/>
      <c r="AG488" s="65"/>
      <c r="AH488" s="52"/>
      <c r="AI488" s="220"/>
      <c r="AJ488" s="34"/>
    </row>
    <row r="489" spans="1:36" ht="27.6" hidden="1">
      <c r="A489" s="33" t="s">
        <v>75</v>
      </c>
      <c r="B489" s="33"/>
      <c r="C489" s="162"/>
      <c r="D489" s="224" t="s">
        <v>1190</v>
      </c>
      <c r="E489" s="228"/>
      <c r="F489" s="176"/>
      <c r="G489" s="163" t="s">
        <v>1191</v>
      </c>
      <c r="H489" s="164" t="s">
        <v>22</v>
      </c>
      <c r="I489" s="165"/>
      <c r="W489" s="215"/>
      <c r="X489" s="215"/>
      <c r="Y489" s="216"/>
      <c r="Z489" s="217"/>
      <c r="AA489" s="218"/>
      <c r="AB489" s="218"/>
      <c r="AC489" s="218"/>
      <c r="AD489" s="218"/>
      <c r="AE489" s="218"/>
      <c r="AF489" s="219"/>
      <c r="AG489" s="169"/>
      <c r="AH489" s="168"/>
      <c r="AI489" s="238"/>
      <c r="AJ489" s="39"/>
    </row>
    <row r="490" spans="1:36" ht="27.6" hidden="1">
      <c r="A490" s="33" t="s">
        <v>75</v>
      </c>
      <c r="B490" s="39" t="s">
        <v>659</v>
      </c>
      <c r="C490" s="71"/>
      <c r="D490" s="155" t="s">
        <v>1192</v>
      </c>
      <c r="E490" s="66" t="s">
        <v>69</v>
      </c>
      <c r="F490" s="51"/>
      <c r="G490" s="52" t="s">
        <v>1193</v>
      </c>
      <c r="H490" s="54"/>
      <c r="I490" s="54" t="s">
        <v>4</v>
      </c>
      <c r="W490" s="60"/>
      <c r="X490" s="60"/>
      <c r="Y490" s="66"/>
      <c r="Z490" s="199" t="s">
        <v>127</v>
      </c>
      <c r="AA490" s="59"/>
      <c r="AB490" s="59"/>
      <c r="AC490" s="59"/>
      <c r="AD490" s="59"/>
      <c r="AE490" s="62"/>
      <c r="AF490" s="69"/>
      <c r="AG490" s="65"/>
      <c r="AI490" s="63"/>
      <c r="AJ490" s="39"/>
    </row>
    <row r="491" spans="1:36" ht="27.6" hidden="1">
      <c r="A491" s="33" t="s">
        <v>75</v>
      </c>
      <c r="B491" s="33"/>
      <c r="C491" s="162"/>
      <c r="D491" s="224" t="s">
        <v>1194</v>
      </c>
      <c r="E491" s="228"/>
      <c r="F491" s="176"/>
      <c r="G491" s="163" t="s">
        <v>1195</v>
      </c>
      <c r="H491" s="164" t="s">
        <v>22</v>
      </c>
      <c r="I491" s="165"/>
      <c r="W491" s="215"/>
      <c r="X491" s="215"/>
      <c r="Y491" s="216"/>
      <c r="Z491" s="217"/>
      <c r="AA491" s="218"/>
      <c r="AB491" s="218"/>
      <c r="AC491" s="218"/>
      <c r="AD491" s="218"/>
      <c r="AE491" s="218"/>
      <c r="AF491" s="219"/>
      <c r="AG491" s="169"/>
      <c r="AH491" s="168"/>
      <c r="AI491" s="238"/>
      <c r="AJ491" s="39"/>
    </row>
    <row r="492" spans="1:36" s="33" customFormat="1" ht="45.75" hidden="1" customHeight="1">
      <c r="B492" s="39"/>
      <c r="C492" s="49"/>
      <c r="D492" s="87" t="s">
        <v>1196</v>
      </c>
      <c r="E492" s="49"/>
      <c r="F492" s="51"/>
      <c r="G492" s="52" t="s">
        <v>1197</v>
      </c>
      <c r="H492" s="53"/>
      <c r="I492" s="54" t="s">
        <v>399</v>
      </c>
      <c r="J492" s="178"/>
      <c r="K492" s="178"/>
      <c r="L492" s="178"/>
      <c r="M492" s="178"/>
      <c r="N492" s="178"/>
      <c r="O492" s="178"/>
      <c r="P492" s="178"/>
      <c r="Q492" s="178"/>
      <c r="R492" s="178"/>
      <c r="S492" s="178"/>
      <c r="T492" s="178"/>
      <c r="U492" s="178"/>
      <c r="V492" s="178"/>
      <c r="W492" s="55"/>
      <c r="X492" s="55"/>
      <c r="Y492" s="49"/>
      <c r="Z492" s="197" t="s">
        <v>1198</v>
      </c>
      <c r="AA492" s="52"/>
      <c r="AB492" s="52"/>
      <c r="AC492" s="52"/>
      <c r="AD492" s="52"/>
      <c r="AE492" s="57"/>
      <c r="AF492" s="194"/>
      <c r="AG492" s="65"/>
      <c r="AH492" s="52"/>
      <c r="AI492" s="220"/>
      <c r="AJ492" s="34"/>
    </row>
    <row r="493" spans="1:36" ht="41.4" hidden="1">
      <c r="A493" s="33" t="s">
        <v>75</v>
      </c>
      <c r="B493" s="33"/>
      <c r="C493" s="162"/>
      <c r="D493" s="224" t="s">
        <v>1199</v>
      </c>
      <c r="E493" s="228"/>
      <c r="F493" s="176"/>
      <c r="G493" s="163" t="s">
        <v>1200</v>
      </c>
      <c r="H493" s="164" t="s">
        <v>22</v>
      </c>
      <c r="I493" s="165"/>
      <c r="W493" s="215"/>
      <c r="X493" s="215"/>
      <c r="Y493" s="216"/>
      <c r="Z493" s="217"/>
      <c r="AA493" s="218"/>
      <c r="AB493" s="218"/>
      <c r="AC493" s="218"/>
      <c r="AD493" s="218"/>
      <c r="AE493" s="218"/>
      <c r="AF493" s="219"/>
      <c r="AG493" s="169"/>
      <c r="AH493" s="168"/>
      <c r="AI493" s="238"/>
      <c r="AJ493" s="39"/>
    </row>
    <row r="494" spans="1:36" s="33" customFormat="1" ht="54" hidden="1" customHeight="1">
      <c r="A494" s="33" t="s">
        <v>75</v>
      </c>
      <c r="B494" s="39" t="s">
        <v>66</v>
      </c>
      <c r="C494" s="71"/>
      <c r="D494" s="87" t="s">
        <v>1201</v>
      </c>
      <c r="E494" s="49" t="s">
        <v>69</v>
      </c>
      <c r="F494" s="51"/>
      <c r="G494" s="52" t="s">
        <v>1202</v>
      </c>
      <c r="H494" s="53"/>
      <c r="I494" s="54" t="s">
        <v>71</v>
      </c>
      <c r="J494" s="178"/>
      <c r="K494" s="178"/>
      <c r="L494" s="178"/>
      <c r="M494" s="178"/>
      <c r="N494" s="178"/>
      <c r="O494" s="178"/>
      <c r="P494" s="178"/>
      <c r="Q494" s="178"/>
      <c r="R494" s="178"/>
      <c r="S494" s="178"/>
      <c r="T494" s="178"/>
      <c r="U494" s="178"/>
      <c r="V494" s="178"/>
      <c r="W494" s="55"/>
      <c r="X494" s="55"/>
      <c r="Y494" s="49"/>
      <c r="Z494" s="197" t="s">
        <v>466</v>
      </c>
      <c r="AA494" s="52"/>
      <c r="AB494" s="52"/>
      <c r="AC494" s="52"/>
      <c r="AD494" s="52"/>
      <c r="AE494" s="52"/>
      <c r="AF494" s="57"/>
      <c r="AG494" s="65"/>
      <c r="AH494" s="52"/>
      <c r="AI494" s="220"/>
      <c r="AJ494" s="34"/>
    </row>
    <row r="495" spans="1:36" hidden="1">
      <c r="A495" s="33" t="s">
        <v>75</v>
      </c>
      <c r="B495" s="39" t="s">
        <v>88</v>
      </c>
      <c r="C495" s="81"/>
      <c r="D495" s="156" t="s">
        <v>1203</v>
      </c>
      <c r="E495" s="49" t="s">
        <v>96</v>
      </c>
      <c r="F495" s="51"/>
      <c r="G495" s="51" t="s">
        <v>1204</v>
      </c>
      <c r="H495" s="230"/>
      <c r="I495" s="54" t="s">
        <v>88</v>
      </c>
      <c r="W495" s="60"/>
      <c r="X495" s="60"/>
      <c r="Y495" s="66"/>
      <c r="Z495" s="68"/>
      <c r="AA495" s="59"/>
      <c r="AB495" s="59"/>
      <c r="AC495" s="59"/>
      <c r="AD495" s="59"/>
      <c r="AE495" s="59"/>
      <c r="AF495" s="62"/>
      <c r="AG495" s="65"/>
      <c r="AI495" s="240"/>
      <c r="AJ495" s="39"/>
    </row>
    <row r="496" spans="1:36" s="33" customFormat="1" ht="61.35" hidden="1" customHeight="1">
      <c r="A496" s="33" t="s">
        <v>75</v>
      </c>
      <c r="C496" s="162"/>
      <c r="D496" s="177" t="s">
        <v>1205</v>
      </c>
      <c r="E496" s="175"/>
      <c r="F496" s="176"/>
      <c r="G496" s="163" t="s">
        <v>1206</v>
      </c>
      <c r="H496" s="164" t="s">
        <v>22</v>
      </c>
      <c r="I496" s="165"/>
      <c r="J496" s="178"/>
      <c r="K496" s="178"/>
      <c r="L496" s="178"/>
      <c r="M496" s="178"/>
      <c r="N496" s="178"/>
      <c r="O496" s="178"/>
      <c r="P496" s="178"/>
      <c r="Q496" s="178"/>
      <c r="R496" s="178"/>
      <c r="S496" s="178"/>
      <c r="T496" s="178"/>
      <c r="U496" s="178"/>
      <c r="V496" s="178"/>
      <c r="W496" s="166"/>
      <c r="X496" s="166"/>
      <c r="Y496" s="167"/>
      <c r="Z496" s="196"/>
      <c r="AA496" s="168"/>
      <c r="AB496" s="168"/>
      <c r="AC496" s="168"/>
      <c r="AD496" s="168"/>
      <c r="AE496" s="168"/>
      <c r="AF496" s="163"/>
      <c r="AG496" s="169"/>
      <c r="AH496" s="168"/>
      <c r="AI496" s="170"/>
      <c r="AJ496" s="34"/>
    </row>
    <row r="497" spans="1:36" ht="27.6" hidden="1">
      <c r="A497" s="33" t="s">
        <v>75</v>
      </c>
      <c r="B497" s="39" t="s">
        <v>595</v>
      </c>
      <c r="D497" s="155" t="s">
        <v>1207</v>
      </c>
      <c r="E497" s="66" t="s">
        <v>69</v>
      </c>
      <c r="F497" s="51"/>
      <c r="G497" s="70" t="s">
        <v>1208</v>
      </c>
      <c r="H497" s="54"/>
      <c r="I497" s="54" t="s">
        <v>71</v>
      </c>
      <c r="W497" s="60"/>
      <c r="X497" s="60"/>
      <c r="Y497" s="66"/>
      <c r="Z497" s="199" t="s">
        <v>1209</v>
      </c>
      <c r="AA497" s="59"/>
      <c r="AB497" s="59"/>
      <c r="AC497" s="59"/>
      <c r="AD497" s="59"/>
      <c r="AE497" s="62"/>
      <c r="AF497" s="69"/>
      <c r="AG497" s="65"/>
      <c r="AI497" s="63"/>
      <c r="AJ497" s="39"/>
    </row>
    <row r="498" spans="1:36" ht="30" hidden="1" customHeight="1">
      <c r="A498" s="33" t="s">
        <v>75</v>
      </c>
      <c r="B498" s="39" t="s">
        <v>659</v>
      </c>
      <c r="D498" s="155" t="s">
        <v>1210</v>
      </c>
      <c r="E498" s="66" t="s">
        <v>69</v>
      </c>
      <c r="F498" s="51"/>
      <c r="G498" s="70" t="s">
        <v>1211</v>
      </c>
      <c r="H498" s="54"/>
      <c r="I498" s="54" t="s">
        <v>71</v>
      </c>
      <c r="W498" s="60"/>
      <c r="X498" s="60"/>
      <c r="Y498" s="66"/>
      <c r="Z498" s="199" t="s">
        <v>132</v>
      </c>
      <c r="AA498" s="59"/>
      <c r="AB498" s="59"/>
      <c r="AC498" s="59"/>
      <c r="AD498" s="59"/>
      <c r="AE498" s="62"/>
      <c r="AF498" s="69"/>
      <c r="AG498" s="65"/>
      <c r="AI498" s="63"/>
      <c r="AJ498" s="39"/>
    </row>
    <row r="499" spans="1:36" s="33" customFormat="1" ht="82.5" hidden="1" customHeight="1">
      <c r="A499" s="33" t="s">
        <v>75</v>
      </c>
      <c r="C499" s="49"/>
      <c r="D499" s="87" t="s">
        <v>1212</v>
      </c>
      <c r="E499" s="87"/>
      <c r="F499" s="191" t="s">
        <v>1213</v>
      </c>
      <c r="G499" s="192" t="s">
        <v>1214</v>
      </c>
      <c r="H499" s="53"/>
      <c r="I499" s="54"/>
      <c r="J499" s="178"/>
      <c r="K499" s="178"/>
      <c r="L499" s="178"/>
      <c r="M499" s="178"/>
      <c r="N499" s="178"/>
      <c r="O499" s="178"/>
      <c r="P499" s="178"/>
      <c r="Q499" s="178"/>
      <c r="R499" s="178"/>
      <c r="S499" s="178"/>
      <c r="T499" s="178"/>
      <c r="U499" s="178"/>
      <c r="V499" s="178"/>
      <c r="W499" s="55"/>
      <c r="X499" s="55"/>
      <c r="Y499" s="49"/>
      <c r="Z499" s="197"/>
      <c r="AA499" s="52"/>
      <c r="AB499" s="52"/>
      <c r="AC499" s="52"/>
      <c r="AD499" s="52"/>
      <c r="AE499" s="57"/>
      <c r="AF499" s="194"/>
      <c r="AG499" s="65"/>
      <c r="AH499" s="52"/>
      <c r="AI499" s="220"/>
      <c r="AJ499" s="34"/>
    </row>
    <row r="500" spans="1:36" ht="27.6" hidden="1">
      <c r="A500" s="33" t="s">
        <v>75</v>
      </c>
      <c r="B500" s="33"/>
      <c r="C500" s="162"/>
      <c r="D500" s="224" t="s">
        <v>1215</v>
      </c>
      <c r="E500" s="228"/>
      <c r="F500" s="229"/>
      <c r="G500" s="163" t="s">
        <v>1216</v>
      </c>
      <c r="H500" s="164" t="s">
        <v>22</v>
      </c>
      <c r="I500" s="165"/>
      <c r="W500" s="215"/>
      <c r="X500" s="215"/>
      <c r="Y500" s="216"/>
      <c r="Z500" s="217"/>
      <c r="AA500" s="218"/>
      <c r="AB500" s="218"/>
      <c r="AC500" s="218"/>
      <c r="AD500" s="218"/>
      <c r="AE500" s="218"/>
      <c r="AF500" s="219"/>
      <c r="AG500" s="169"/>
      <c r="AH500" s="168"/>
      <c r="AI500" s="238"/>
      <c r="AJ500" s="39"/>
    </row>
    <row r="501" spans="1:36" ht="27.6" hidden="1">
      <c r="A501" s="33" t="s">
        <v>75</v>
      </c>
      <c r="B501" s="39" t="s">
        <v>595</v>
      </c>
      <c r="C501" s="71"/>
      <c r="D501" s="155" t="s">
        <v>1217</v>
      </c>
      <c r="E501" s="66" t="s">
        <v>69</v>
      </c>
      <c r="F501" s="59"/>
      <c r="G501" s="52" t="s">
        <v>1218</v>
      </c>
      <c r="H501" s="54"/>
      <c r="I501" s="54" t="s">
        <v>4</v>
      </c>
      <c r="W501" s="60"/>
      <c r="X501" s="60"/>
      <c r="Y501" s="66"/>
      <c r="Z501" s="199" t="s">
        <v>127</v>
      </c>
      <c r="AA501" s="59"/>
      <c r="AB501" s="59"/>
      <c r="AC501" s="59"/>
      <c r="AD501" s="59"/>
      <c r="AE501" s="59"/>
      <c r="AF501" s="62"/>
      <c r="AG501" s="65"/>
      <c r="AI501" s="63"/>
      <c r="AJ501" s="39"/>
    </row>
    <row r="502" spans="1:36" ht="27.6" hidden="1">
      <c r="A502" s="33" t="s">
        <v>75</v>
      </c>
      <c r="B502" s="33"/>
      <c r="C502" s="162"/>
      <c r="D502" s="224" t="s">
        <v>1219</v>
      </c>
      <c r="E502" s="228"/>
      <c r="F502" s="229" t="s">
        <v>1220</v>
      </c>
      <c r="G502" s="163" t="s">
        <v>1221</v>
      </c>
      <c r="H502" s="164" t="s">
        <v>22</v>
      </c>
      <c r="I502" s="165"/>
      <c r="W502" s="215"/>
      <c r="X502" s="215"/>
      <c r="Y502" s="216"/>
      <c r="Z502" s="217"/>
      <c r="AA502" s="218"/>
      <c r="AB502" s="218"/>
      <c r="AC502" s="218"/>
      <c r="AD502" s="218"/>
      <c r="AE502" s="218"/>
      <c r="AF502" s="219"/>
      <c r="AG502" s="169"/>
      <c r="AH502" s="168"/>
      <c r="AI502" s="238"/>
      <c r="AJ502" s="39"/>
    </row>
    <row r="503" spans="1:36" s="33" customFormat="1" ht="34.5" hidden="1" customHeight="1">
      <c r="A503" s="33" t="s">
        <v>75</v>
      </c>
      <c r="B503" s="39" t="s">
        <v>162</v>
      </c>
      <c r="C503" s="49"/>
      <c r="D503" s="226" t="s">
        <v>1222</v>
      </c>
      <c r="E503" s="49" t="s">
        <v>69</v>
      </c>
      <c r="F503" s="52"/>
      <c r="G503" s="52" t="s">
        <v>1223</v>
      </c>
      <c r="H503" s="53"/>
      <c r="I503" s="54" t="s">
        <v>4</v>
      </c>
      <c r="J503" s="178"/>
      <c r="K503" s="178"/>
      <c r="L503" s="178"/>
      <c r="M503" s="178"/>
      <c r="N503" s="178"/>
      <c r="O503" s="178"/>
      <c r="P503" s="178"/>
      <c r="Q503" s="178"/>
      <c r="R503" s="178"/>
      <c r="S503" s="178"/>
      <c r="T503" s="178"/>
      <c r="U503" s="178"/>
      <c r="V503" s="178"/>
      <c r="W503" s="55"/>
      <c r="X503" s="55"/>
      <c r="Y503" s="49"/>
      <c r="Z503" s="197" t="s">
        <v>127</v>
      </c>
      <c r="AA503" s="52"/>
      <c r="AB503" s="52"/>
      <c r="AC503" s="52"/>
      <c r="AD503" s="52"/>
      <c r="AE503" s="52"/>
      <c r="AF503" s="194"/>
      <c r="AG503" s="65"/>
      <c r="AH503" s="52"/>
      <c r="AI503" s="220"/>
      <c r="AJ503" s="34"/>
    </row>
    <row r="504" spans="1:36" hidden="1">
      <c r="A504" s="33" t="s">
        <v>75</v>
      </c>
      <c r="B504" s="39" t="s">
        <v>162</v>
      </c>
      <c r="D504" s="156" t="s">
        <v>1224</v>
      </c>
      <c r="E504" s="49" t="s">
        <v>69</v>
      </c>
      <c r="F504" s="59"/>
      <c r="G504" s="52" t="s">
        <v>1225</v>
      </c>
      <c r="H504" s="54"/>
      <c r="I504" s="54" t="s">
        <v>4</v>
      </c>
      <c r="W504" s="60"/>
      <c r="X504" s="60"/>
      <c r="Y504" s="66"/>
      <c r="Z504" s="252" t="s">
        <v>127</v>
      </c>
      <c r="AA504" s="59"/>
      <c r="AB504" s="59"/>
      <c r="AC504" s="59"/>
      <c r="AD504" s="59"/>
      <c r="AE504" s="59"/>
      <c r="AF504" s="69"/>
      <c r="AG504" s="65"/>
      <c r="AI504" s="63"/>
      <c r="AJ504" s="39"/>
    </row>
    <row r="505" spans="1:36" s="33" customFormat="1" ht="42" hidden="1" customHeight="1">
      <c r="A505" s="33" t="s">
        <v>75</v>
      </c>
      <c r="C505" s="162"/>
      <c r="D505" s="177" t="s">
        <v>1226</v>
      </c>
      <c r="E505" s="175"/>
      <c r="F505" s="176"/>
      <c r="G505" s="163" t="s">
        <v>1227</v>
      </c>
      <c r="H505" s="164" t="s">
        <v>22</v>
      </c>
      <c r="I505" s="165"/>
      <c r="J505" s="178"/>
      <c r="K505" s="178"/>
      <c r="L505" s="178"/>
      <c r="M505" s="178"/>
      <c r="N505" s="178"/>
      <c r="O505" s="178"/>
      <c r="P505" s="178"/>
      <c r="Q505" s="178"/>
      <c r="R505" s="178"/>
      <c r="S505" s="178"/>
      <c r="T505" s="178"/>
      <c r="U505" s="178"/>
      <c r="V505" s="178"/>
      <c r="W505" s="166"/>
      <c r="X505" s="166"/>
      <c r="Y505" s="167"/>
      <c r="Z505" s="196"/>
      <c r="AA505" s="168"/>
      <c r="AB505" s="168"/>
      <c r="AC505" s="168"/>
      <c r="AD505" s="168"/>
      <c r="AE505" s="168"/>
      <c r="AF505" s="163"/>
      <c r="AG505" s="169"/>
      <c r="AH505" s="168"/>
      <c r="AI505" s="170"/>
      <c r="AJ505" s="34"/>
    </row>
    <row r="506" spans="1:36" hidden="1">
      <c r="A506" s="33" t="s">
        <v>75</v>
      </c>
      <c r="B506" s="39" t="s">
        <v>162</v>
      </c>
      <c r="C506" s="81"/>
      <c r="D506" s="156" t="s">
        <v>1228</v>
      </c>
      <c r="E506" s="66" t="s">
        <v>69</v>
      </c>
      <c r="F506" s="68"/>
      <c r="G506" s="52" t="s">
        <v>1229</v>
      </c>
      <c r="H506" s="230"/>
      <c r="I506" s="54" t="s">
        <v>4</v>
      </c>
      <c r="W506" s="60"/>
      <c r="X506" s="60"/>
      <c r="Y506" s="66"/>
      <c r="Z506" s="246" t="s">
        <v>127</v>
      </c>
      <c r="AA506" s="59"/>
      <c r="AB506" s="59"/>
      <c r="AC506" s="59"/>
      <c r="AD506" s="59"/>
      <c r="AE506" s="59"/>
      <c r="AF506" s="62"/>
      <c r="AG506" s="65"/>
      <c r="AI506" s="240"/>
      <c r="AJ506" s="39"/>
    </row>
    <row r="507" spans="1:36" hidden="1">
      <c r="A507" s="33" t="s">
        <v>75</v>
      </c>
      <c r="B507" s="39" t="s">
        <v>162</v>
      </c>
      <c r="C507" s="81"/>
      <c r="D507" s="156" t="s">
        <v>1230</v>
      </c>
      <c r="E507" s="66" t="s">
        <v>69</v>
      </c>
      <c r="F507" s="68"/>
      <c r="G507" s="52" t="s">
        <v>1231</v>
      </c>
      <c r="H507" s="230"/>
      <c r="I507" s="54" t="s">
        <v>4</v>
      </c>
      <c r="W507" s="60"/>
      <c r="X507" s="60"/>
      <c r="Y507" s="66"/>
      <c r="Z507" s="246" t="s">
        <v>127</v>
      </c>
      <c r="AA507" s="59"/>
      <c r="AB507" s="59"/>
      <c r="AC507" s="59"/>
      <c r="AD507" s="59"/>
      <c r="AE507" s="59"/>
      <c r="AF507" s="62"/>
      <c r="AG507" s="65"/>
      <c r="AI507" s="240"/>
      <c r="AJ507" s="39"/>
    </row>
    <row r="508" spans="1:36" s="33" customFormat="1" ht="63" hidden="1" customHeight="1">
      <c r="A508" s="33" t="s">
        <v>75</v>
      </c>
      <c r="C508" s="162"/>
      <c r="D508" s="177" t="s">
        <v>1232</v>
      </c>
      <c r="E508" s="175"/>
      <c r="F508" s="176"/>
      <c r="G508" s="163" t="s">
        <v>1233</v>
      </c>
      <c r="H508" s="164" t="s">
        <v>22</v>
      </c>
      <c r="I508" s="165"/>
      <c r="J508" s="178"/>
      <c r="K508" s="178"/>
      <c r="L508" s="178"/>
      <c r="M508" s="178"/>
      <c r="N508" s="178"/>
      <c r="O508" s="178"/>
      <c r="P508" s="178"/>
      <c r="Q508" s="178"/>
      <c r="R508" s="178"/>
      <c r="S508" s="178"/>
      <c r="T508" s="178"/>
      <c r="U508" s="178"/>
      <c r="V508" s="178"/>
      <c r="W508" s="166"/>
      <c r="X508" s="166"/>
      <c r="Y508" s="167"/>
      <c r="Z508" s="196"/>
      <c r="AA508" s="168"/>
      <c r="AB508" s="168"/>
      <c r="AC508" s="168"/>
      <c r="AD508" s="168"/>
      <c r="AE508" s="168"/>
      <c r="AF508" s="163"/>
      <c r="AG508" s="169"/>
      <c r="AH508" s="168"/>
      <c r="AI508" s="170"/>
      <c r="AJ508" s="34"/>
    </row>
    <row r="509" spans="1:36" ht="25.35" hidden="1" customHeight="1">
      <c r="A509" s="33"/>
      <c r="C509" s="81"/>
      <c r="D509" s="156" t="s">
        <v>1234</v>
      </c>
      <c r="E509" s="66"/>
      <c r="F509" s="51"/>
      <c r="G509" s="51" t="s">
        <v>1235</v>
      </c>
      <c r="H509" s="82"/>
      <c r="I509" s="54" t="s">
        <v>399</v>
      </c>
      <c r="W509" s="60"/>
      <c r="X509" s="60"/>
      <c r="Y509" s="66"/>
      <c r="Z509" s="247" t="s">
        <v>1236</v>
      </c>
      <c r="AA509" s="59"/>
      <c r="AB509" s="59"/>
      <c r="AC509" s="59"/>
      <c r="AD509" s="59"/>
      <c r="AE509" s="59"/>
      <c r="AF509" s="62"/>
      <c r="AG509" s="65"/>
      <c r="AI509" s="83"/>
    </row>
    <row r="510" spans="1:36" hidden="1">
      <c r="A510" s="33" t="s">
        <v>75</v>
      </c>
      <c r="B510" s="39" t="s">
        <v>88</v>
      </c>
      <c r="C510" s="71"/>
      <c r="D510" s="155" t="s">
        <v>1237</v>
      </c>
      <c r="E510" s="66" t="s">
        <v>96</v>
      </c>
      <c r="F510" s="51"/>
      <c r="G510" s="52" t="s">
        <v>1238</v>
      </c>
      <c r="I510" s="54" t="s">
        <v>88</v>
      </c>
      <c r="W510" s="60"/>
      <c r="X510" s="60"/>
      <c r="Y510" s="66"/>
      <c r="Z510" s="197"/>
      <c r="AA510" s="59"/>
      <c r="AB510" s="59"/>
      <c r="AC510" s="59"/>
      <c r="AD510" s="59"/>
      <c r="AE510" s="59"/>
      <c r="AF510" s="62"/>
      <c r="AG510" s="65"/>
      <c r="AI510" s="220"/>
    </row>
    <row r="511" spans="1:36" s="33" customFormat="1" ht="60.75" hidden="1" customHeight="1">
      <c r="A511" s="33" t="s">
        <v>75</v>
      </c>
      <c r="C511" s="81"/>
      <c r="D511" s="226" t="s">
        <v>1239</v>
      </c>
      <c r="E511" s="226"/>
      <c r="F511" s="191" t="s">
        <v>1213</v>
      </c>
      <c r="G511" s="191" t="s">
        <v>1240</v>
      </c>
      <c r="H511" s="82"/>
      <c r="I511" s="54" t="s">
        <v>399</v>
      </c>
      <c r="J511" s="178"/>
      <c r="K511" s="178"/>
      <c r="L511" s="178"/>
      <c r="M511" s="178"/>
      <c r="N511" s="178"/>
      <c r="O511" s="178"/>
      <c r="P511" s="178"/>
      <c r="Q511" s="178"/>
      <c r="R511" s="178"/>
      <c r="S511" s="178"/>
      <c r="T511" s="178"/>
      <c r="U511" s="178"/>
      <c r="V511" s="178"/>
      <c r="W511" s="55"/>
      <c r="X511" s="55"/>
      <c r="Y511" s="49"/>
      <c r="Z511" s="51"/>
      <c r="AA511" s="52"/>
      <c r="AB511" s="52"/>
      <c r="AC511" s="52"/>
      <c r="AD511" s="52"/>
      <c r="AE511" s="52"/>
      <c r="AF511" s="57"/>
      <c r="AG511" s="65"/>
      <c r="AH511" s="52"/>
      <c r="AI511" s="83"/>
      <c r="AJ511" s="34"/>
    </row>
    <row r="512" spans="1:36" ht="27.6" hidden="1">
      <c r="A512" s="33" t="s">
        <v>75</v>
      </c>
      <c r="B512" s="33"/>
      <c r="C512" s="162"/>
      <c r="D512" s="224" t="s">
        <v>1241</v>
      </c>
      <c r="E512" s="228"/>
      <c r="F512" s="176" t="s">
        <v>1242</v>
      </c>
      <c r="G512" s="163" t="s">
        <v>1243</v>
      </c>
      <c r="H512" s="164" t="s">
        <v>22</v>
      </c>
      <c r="I512" s="165"/>
      <c r="W512" s="215"/>
      <c r="X512" s="215"/>
      <c r="Y512" s="216"/>
      <c r="Z512" s="196"/>
      <c r="AA512" s="218"/>
      <c r="AB512" s="218"/>
      <c r="AC512" s="218"/>
      <c r="AD512" s="218"/>
      <c r="AE512" s="218"/>
      <c r="AF512" s="219"/>
      <c r="AG512" s="169"/>
      <c r="AH512" s="168"/>
      <c r="AI512" s="170"/>
    </row>
    <row r="513" spans="1:36" ht="27.6" hidden="1">
      <c r="A513" s="33" t="s">
        <v>75</v>
      </c>
      <c r="B513" s="39" t="s">
        <v>326</v>
      </c>
      <c r="C513" s="81"/>
      <c r="D513" s="227" t="s">
        <v>1244</v>
      </c>
      <c r="E513" s="66" t="s">
        <v>96</v>
      </c>
      <c r="F513" s="51"/>
      <c r="G513" s="52" t="s">
        <v>1245</v>
      </c>
      <c r="H513" s="82"/>
      <c r="I513" s="54" t="s">
        <v>4</v>
      </c>
      <c r="W513" s="60"/>
      <c r="X513" s="60"/>
      <c r="Y513" s="66"/>
      <c r="Z513" s="252" t="s">
        <v>127</v>
      </c>
      <c r="AA513" s="59"/>
      <c r="AB513" s="59"/>
      <c r="AC513" s="59"/>
      <c r="AD513" s="59"/>
      <c r="AE513" s="59"/>
      <c r="AF513" s="69"/>
      <c r="AG513" s="65"/>
      <c r="AI513" s="83"/>
    </row>
    <row r="514" spans="1:36" ht="23.1" hidden="1" customHeight="1">
      <c r="A514" s="33" t="s">
        <v>75</v>
      </c>
      <c r="B514" s="39" t="s">
        <v>326</v>
      </c>
      <c r="C514" s="81"/>
      <c r="D514" s="227" t="s">
        <v>1246</v>
      </c>
      <c r="E514" s="66" t="s">
        <v>96</v>
      </c>
      <c r="F514" s="51"/>
      <c r="G514" s="52" t="s">
        <v>1247</v>
      </c>
      <c r="H514" s="82"/>
      <c r="I514" s="54" t="s">
        <v>4</v>
      </c>
      <c r="W514" s="60"/>
      <c r="X514" s="60"/>
      <c r="Y514" s="66"/>
      <c r="Z514" s="51" t="s">
        <v>1089</v>
      </c>
      <c r="AA514" s="59"/>
      <c r="AB514" s="59"/>
      <c r="AC514" s="59"/>
      <c r="AD514" s="59"/>
      <c r="AE514" s="59"/>
      <c r="AF514" s="69"/>
      <c r="AG514" s="65"/>
      <c r="AI514" s="83"/>
    </row>
    <row r="515" spans="1:36" s="33" customFormat="1" ht="48.75" hidden="1" customHeight="1">
      <c r="A515" s="33" t="s">
        <v>75</v>
      </c>
      <c r="B515" s="39"/>
      <c r="C515" s="81"/>
      <c r="D515" s="157" t="s">
        <v>1248</v>
      </c>
      <c r="E515" s="157"/>
      <c r="F515" s="191" t="s">
        <v>77</v>
      </c>
      <c r="G515" s="192" t="s">
        <v>1249</v>
      </c>
      <c r="H515" s="82"/>
      <c r="I515" s="54"/>
      <c r="J515" s="178"/>
      <c r="K515" s="178"/>
      <c r="L515" s="178"/>
      <c r="M515" s="178"/>
      <c r="N515" s="178"/>
      <c r="O515" s="178"/>
      <c r="P515" s="178"/>
      <c r="Q515" s="178"/>
      <c r="R515" s="178"/>
      <c r="S515" s="178"/>
      <c r="T515" s="178"/>
      <c r="U515" s="178"/>
      <c r="V515" s="178"/>
      <c r="W515" s="55"/>
      <c r="X515" s="55"/>
      <c r="Y515" s="49"/>
      <c r="Z515" s="51"/>
      <c r="AA515" s="52"/>
      <c r="AB515" s="52"/>
      <c r="AC515" s="52"/>
      <c r="AD515" s="52"/>
      <c r="AE515" s="52"/>
      <c r="AF515" s="194"/>
      <c r="AG515" s="65"/>
      <c r="AH515" s="52"/>
      <c r="AI515" s="83"/>
      <c r="AJ515" s="34"/>
    </row>
    <row r="516" spans="1:36" hidden="1">
      <c r="A516" s="33" t="s">
        <v>75</v>
      </c>
      <c r="B516" s="33"/>
      <c r="C516" s="162"/>
      <c r="D516" s="177" t="s">
        <v>1250</v>
      </c>
      <c r="E516" s="175"/>
      <c r="F516" s="176"/>
      <c r="G516" s="163" t="s">
        <v>1251</v>
      </c>
      <c r="H516" s="164" t="s">
        <v>22</v>
      </c>
      <c r="I516" s="165"/>
      <c r="W516" s="215"/>
      <c r="X516" s="215"/>
      <c r="Y516" s="216"/>
      <c r="Z516" s="196"/>
      <c r="AA516" s="218"/>
      <c r="AB516" s="218"/>
      <c r="AC516" s="218"/>
      <c r="AD516" s="218"/>
      <c r="AE516" s="218"/>
      <c r="AF516" s="219"/>
      <c r="AG516" s="169"/>
      <c r="AH516" s="168"/>
      <c r="AI516" s="170"/>
      <c r="AJ516" s="39"/>
    </row>
    <row r="517" spans="1:36" hidden="1">
      <c r="A517" s="33" t="s">
        <v>75</v>
      </c>
      <c r="B517" s="39" t="s">
        <v>326</v>
      </c>
      <c r="C517" s="81"/>
      <c r="D517" s="157" t="s">
        <v>1252</v>
      </c>
      <c r="E517" s="49" t="s">
        <v>96</v>
      </c>
      <c r="F517" s="51"/>
      <c r="G517" s="52" t="s">
        <v>1253</v>
      </c>
      <c r="H517" s="82"/>
      <c r="I517" s="54" t="s">
        <v>71</v>
      </c>
      <c r="W517" s="60"/>
      <c r="X517" s="60"/>
      <c r="Y517" s="66"/>
      <c r="Z517" s="247" t="s">
        <v>1254</v>
      </c>
      <c r="AA517" s="59"/>
      <c r="AB517" s="59"/>
      <c r="AC517" s="59"/>
      <c r="AD517" s="59"/>
      <c r="AE517" s="59"/>
      <c r="AF517" s="69"/>
      <c r="AG517" s="65"/>
      <c r="AI517" s="83"/>
      <c r="AJ517" s="39"/>
    </row>
    <row r="518" spans="1:36" hidden="1">
      <c r="A518" s="33" t="s">
        <v>75</v>
      </c>
      <c r="B518" s="33"/>
      <c r="C518" s="162"/>
      <c r="D518" s="177" t="s">
        <v>1255</v>
      </c>
      <c r="E518" s="175"/>
      <c r="F518" s="176"/>
      <c r="G518" s="163" t="s">
        <v>1256</v>
      </c>
      <c r="H518" s="164" t="s">
        <v>22</v>
      </c>
      <c r="I518" s="165"/>
      <c r="W518" s="215"/>
      <c r="X518" s="215"/>
      <c r="Y518" s="216"/>
      <c r="Z518" s="196"/>
      <c r="AA518" s="218"/>
      <c r="AB518" s="218"/>
      <c r="AC518" s="218"/>
      <c r="AD518" s="218"/>
      <c r="AE518" s="218"/>
      <c r="AF518" s="219"/>
      <c r="AG518" s="169"/>
      <c r="AH518" s="168"/>
      <c r="AI518" s="170"/>
      <c r="AJ518" s="39"/>
    </row>
    <row r="519" spans="1:36" s="33" customFormat="1" ht="34.5" hidden="1" customHeight="1">
      <c r="A519" s="33" t="s">
        <v>75</v>
      </c>
      <c r="B519" s="39" t="s">
        <v>326</v>
      </c>
      <c r="C519" s="81"/>
      <c r="D519" s="157" t="s">
        <v>1257</v>
      </c>
      <c r="E519" s="49" t="s">
        <v>96</v>
      </c>
      <c r="F519" s="51"/>
      <c r="G519" s="51" t="s">
        <v>1258</v>
      </c>
      <c r="H519" s="82"/>
      <c r="I519" s="54" t="s">
        <v>4</v>
      </c>
      <c r="J519" s="178"/>
      <c r="K519" s="178"/>
      <c r="L519" s="178"/>
      <c r="M519" s="178"/>
      <c r="N519" s="178"/>
      <c r="O519" s="178"/>
      <c r="P519" s="178"/>
      <c r="Q519" s="178"/>
      <c r="R519" s="178"/>
      <c r="S519" s="178"/>
      <c r="T519" s="178"/>
      <c r="U519" s="178"/>
      <c r="V519" s="178"/>
      <c r="W519" s="55"/>
      <c r="X519" s="55"/>
      <c r="Y519" s="49"/>
      <c r="Z519" s="252" t="s">
        <v>127</v>
      </c>
      <c r="AA519" s="52"/>
      <c r="AB519" s="52"/>
      <c r="AC519" s="52"/>
      <c r="AD519" s="52"/>
      <c r="AE519" s="57"/>
      <c r="AF519" s="57"/>
      <c r="AG519" s="65"/>
      <c r="AH519" s="52"/>
      <c r="AI519" s="83"/>
      <c r="AJ519" s="34"/>
    </row>
    <row r="520" spans="1:36" hidden="1">
      <c r="A520" s="33" t="s">
        <v>75</v>
      </c>
      <c r="B520" s="39" t="s">
        <v>326</v>
      </c>
      <c r="C520" s="81"/>
      <c r="D520" s="157" t="s">
        <v>1259</v>
      </c>
      <c r="E520" s="49" t="s">
        <v>96</v>
      </c>
      <c r="F520" s="51"/>
      <c r="G520" s="51" t="s">
        <v>1260</v>
      </c>
      <c r="H520" s="82"/>
      <c r="I520" s="54" t="s">
        <v>4</v>
      </c>
      <c r="W520" s="60"/>
      <c r="X520" s="60"/>
      <c r="Y520" s="66"/>
      <c r="Z520" s="51"/>
      <c r="AA520" s="59"/>
      <c r="AB520" s="59"/>
      <c r="AC520" s="59"/>
      <c r="AD520" s="59"/>
      <c r="AE520" s="62"/>
      <c r="AF520" s="62"/>
      <c r="AG520" s="65"/>
      <c r="AI520" s="83"/>
    </row>
    <row r="521" spans="1:36" s="33" customFormat="1" ht="63.75" hidden="1" customHeight="1">
      <c r="A521" s="33" t="s">
        <v>75</v>
      </c>
      <c r="C521" s="162"/>
      <c r="D521" s="177" t="s">
        <v>1261</v>
      </c>
      <c r="E521" s="175"/>
      <c r="F521" s="176" t="s">
        <v>1262</v>
      </c>
      <c r="G521" s="163" t="s">
        <v>1263</v>
      </c>
      <c r="H521" s="164" t="s">
        <v>22</v>
      </c>
      <c r="I521" s="165"/>
      <c r="J521" s="178"/>
      <c r="K521" s="178"/>
      <c r="L521" s="178"/>
      <c r="M521" s="178"/>
      <c r="N521" s="178"/>
      <c r="O521" s="178"/>
      <c r="P521" s="178"/>
      <c r="Q521" s="178"/>
      <c r="R521" s="178"/>
      <c r="S521" s="178"/>
      <c r="T521" s="178"/>
      <c r="U521" s="178"/>
      <c r="V521" s="178"/>
      <c r="W521" s="166"/>
      <c r="X521" s="166"/>
      <c r="Y521" s="167"/>
      <c r="Z521" s="196"/>
      <c r="AA521" s="168"/>
      <c r="AB521" s="168"/>
      <c r="AC521" s="168"/>
      <c r="AD521" s="168"/>
      <c r="AE521" s="168"/>
      <c r="AF521" s="163"/>
      <c r="AG521" s="169"/>
      <c r="AH521" s="168"/>
      <c r="AI521" s="170"/>
      <c r="AJ521" s="34"/>
    </row>
    <row r="522" spans="1:36" hidden="1">
      <c r="A522" s="33" t="s">
        <v>75</v>
      </c>
      <c r="B522" s="39" t="s">
        <v>66</v>
      </c>
      <c r="C522" s="81"/>
      <c r="D522" s="157" t="s">
        <v>1264</v>
      </c>
      <c r="E522" s="49" t="s">
        <v>69</v>
      </c>
      <c r="F522" s="51"/>
      <c r="G522" s="52" t="s">
        <v>1265</v>
      </c>
      <c r="H522" s="82"/>
      <c r="I522" s="54" t="s">
        <v>4</v>
      </c>
      <c r="W522" s="60"/>
      <c r="X522" s="60"/>
      <c r="Y522" s="66"/>
      <c r="Z522" s="252" t="s">
        <v>127</v>
      </c>
      <c r="AA522" s="59"/>
      <c r="AB522" s="59"/>
      <c r="AC522" s="59"/>
      <c r="AD522" s="59"/>
      <c r="AE522" s="62"/>
      <c r="AF522" s="69"/>
      <c r="AG522" s="65"/>
      <c r="AI522" s="83"/>
    </row>
    <row r="523" spans="1:36">
      <c r="A523" s="33" t="s">
        <v>75</v>
      </c>
      <c r="B523" s="39" t="s">
        <v>88</v>
      </c>
      <c r="C523" s="81"/>
      <c r="D523" s="157" t="s">
        <v>1266</v>
      </c>
      <c r="E523" s="49" t="s">
        <v>69</v>
      </c>
      <c r="F523" s="51"/>
      <c r="G523" s="52" t="s">
        <v>1267</v>
      </c>
      <c r="H523" s="82"/>
      <c r="I523" s="54" t="s">
        <v>88</v>
      </c>
      <c r="W523" s="60"/>
      <c r="X523" s="60"/>
      <c r="Y523" s="66"/>
      <c r="Z523" s="84"/>
      <c r="AA523" s="59"/>
      <c r="AB523" s="59"/>
      <c r="AC523" s="59"/>
      <c r="AD523" s="59"/>
      <c r="AE523" s="62"/>
      <c r="AF523" s="69"/>
      <c r="AG523" s="65"/>
      <c r="AI523" s="83"/>
    </row>
    <row r="524" spans="1:36" s="33" customFormat="1" ht="55.35" hidden="1" customHeight="1">
      <c r="A524" s="33" t="s">
        <v>75</v>
      </c>
      <c r="C524" s="162"/>
      <c r="D524" s="177" t="s">
        <v>1268</v>
      </c>
      <c r="E524" s="175"/>
      <c r="F524" s="176"/>
      <c r="G524" s="163" t="s">
        <v>1269</v>
      </c>
      <c r="H524" s="164" t="s">
        <v>22</v>
      </c>
      <c r="I524" s="165"/>
      <c r="J524" s="178"/>
      <c r="K524" s="178"/>
      <c r="L524" s="178"/>
      <c r="M524" s="178"/>
      <c r="N524" s="178"/>
      <c r="O524" s="178"/>
      <c r="P524" s="178"/>
      <c r="Q524" s="178"/>
      <c r="R524" s="178"/>
      <c r="S524" s="178"/>
      <c r="T524" s="178"/>
      <c r="U524" s="178"/>
      <c r="V524" s="178"/>
      <c r="W524" s="166"/>
      <c r="X524" s="166"/>
      <c r="Y524" s="167"/>
      <c r="Z524" s="196"/>
      <c r="AA524" s="168"/>
      <c r="AB524" s="168"/>
      <c r="AC524" s="168"/>
      <c r="AD524" s="168"/>
      <c r="AE524" s="168"/>
      <c r="AF524" s="163"/>
      <c r="AG524" s="169"/>
      <c r="AH524" s="168"/>
      <c r="AI524" s="170"/>
      <c r="AJ524" s="34"/>
    </row>
    <row r="525" spans="1:36" ht="27.6" hidden="1">
      <c r="A525" s="33" t="s">
        <v>75</v>
      </c>
      <c r="B525" s="39" t="s">
        <v>66</v>
      </c>
      <c r="C525" s="81"/>
      <c r="D525" s="157" t="s">
        <v>1270</v>
      </c>
      <c r="E525" s="49" t="s">
        <v>69</v>
      </c>
      <c r="F525" s="51"/>
      <c r="G525" s="51" t="s">
        <v>1271</v>
      </c>
      <c r="H525" s="82"/>
      <c r="I525" s="54" t="s">
        <v>71</v>
      </c>
      <c r="W525" s="60"/>
      <c r="X525" s="60"/>
      <c r="Y525" s="66"/>
      <c r="Z525" s="51" t="s">
        <v>1272</v>
      </c>
      <c r="AA525" s="59"/>
      <c r="AB525" s="59"/>
      <c r="AC525" s="59"/>
      <c r="AD525" s="59"/>
      <c r="AE525" s="59"/>
      <c r="AF525" s="69"/>
      <c r="AG525" s="65"/>
      <c r="AI525" s="83"/>
    </row>
    <row r="526" spans="1:36" ht="60" hidden="1" customHeight="1">
      <c r="A526" s="33" t="s">
        <v>75</v>
      </c>
      <c r="B526" s="33"/>
      <c r="C526" s="162"/>
      <c r="D526" s="177" t="s">
        <v>1273</v>
      </c>
      <c r="E526" s="175"/>
      <c r="F526" s="176" t="s">
        <v>1274</v>
      </c>
      <c r="G526" s="163" t="s">
        <v>1275</v>
      </c>
      <c r="H526" s="164" t="s">
        <v>22</v>
      </c>
      <c r="I526" s="165"/>
      <c r="W526" s="215"/>
      <c r="X526" s="215"/>
      <c r="Y526" s="216"/>
      <c r="Z526" s="196"/>
      <c r="AA526" s="218"/>
      <c r="AB526" s="218"/>
      <c r="AC526" s="218"/>
      <c r="AD526" s="218"/>
      <c r="AE526" s="218"/>
      <c r="AF526" s="219"/>
      <c r="AG526" s="169"/>
      <c r="AH526" s="168"/>
      <c r="AI526" s="170"/>
    </row>
    <row r="527" spans="1:36" s="33" customFormat="1" ht="66.599999999999994" hidden="1" customHeight="1">
      <c r="A527" s="33" t="s">
        <v>75</v>
      </c>
      <c r="B527" s="39" t="s">
        <v>595</v>
      </c>
      <c r="C527" s="81"/>
      <c r="D527" s="157" t="s">
        <v>1276</v>
      </c>
      <c r="E527" s="49" t="s">
        <v>69</v>
      </c>
      <c r="F527" s="82"/>
      <c r="G527" s="84" t="s">
        <v>1277</v>
      </c>
      <c r="H527" s="82"/>
      <c r="I527" s="54" t="s">
        <v>71</v>
      </c>
      <c r="J527" s="178"/>
      <c r="K527" s="178"/>
      <c r="L527" s="178"/>
      <c r="M527" s="178"/>
      <c r="N527" s="178"/>
      <c r="O527" s="178"/>
      <c r="P527" s="178"/>
      <c r="Q527" s="178"/>
      <c r="R527" s="178"/>
      <c r="S527" s="178"/>
      <c r="T527" s="178"/>
      <c r="U527" s="178"/>
      <c r="V527" s="178"/>
      <c r="W527" s="55"/>
      <c r="X527" s="55"/>
      <c r="Y527" s="49"/>
      <c r="Z527" s="84" t="s">
        <v>1278</v>
      </c>
      <c r="AA527" s="52"/>
      <c r="AB527" s="52"/>
      <c r="AC527" s="52"/>
      <c r="AD527" s="52"/>
      <c r="AE527" s="52"/>
      <c r="AF527" s="57"/>
      <c r="AG527" s="65"/>
      <c r="AH527" s="52"/>
      <c r="AI527" s="83"/>
      <c r="AJ527" s="34"/>
    </row>
    <row r="528" spans="1:36" ht="31.35" hidden="1" customHeight="1">
      <c r="A528" s="33" t="s">
        <v>75</v>
      </c>
      <c r="B528" s="39" t="s">
        <v>595</v>
      </c>
      <c r="C528" s="81"/>
      <c r="D528" s="157" t="s">
        <v>1279</v>
      </c>
      <c r="E528" s="49" t="s">
        <v>69</v>
      </c>
      <c r="F528" s="82"/>
      <c r="G528" s="84" t="s">
        <v>1280</v>
      </c>
      <c r="H528" s="82"/>
      <c r="I528" s="54" t="s">
        <v>71</v>
      </c>
      <c r="W528" s="60"/>
      <c r="X528" s="60"/>
      <c r="Y528" s="66"/>
      <c r="Z528" s="84" t="s">
        <v>656</v>
      </c>
      <c r="AA528" s="59"/>
      <c r="AB528" s="59"/>
      <c r="AC528" s="59"/>
      <c r="AD528" s="59"/>
      <c r="AE528" s="59"/>
      <c r="AF528" s="62"/>
      <c r="AG528" s="65"/>
      <c r="AI528" s="83"/>
      <c r="AJ528" s="39"/>
    </row>
    <row r="529" spans="1:36" s="33" customFormat="1" ht="72.599999999999994" hidden="1" customHeight="1">
      <c r="A529" s="33" t="s">
        <v>75</v>
      </c>
      <c r="B529" s="39"/>
      <c r="C529" s="81"/>
      <c r="D529" s="157" t="s">
        <v>1281</v>
      </c>
      <c r="E529" s="157"/>
      <c r="F529" s="258" t="s">
        <v>77</v>
      </c>
      <c r="G529" s="259" t="s">
        <v>1282</v>
      </c>
      <c r="H529" s="82"/>
      <c r="I529" s="54"/>
      <c r="J529" s="178"/>
      <c r="K529" s="178"/>
      <c r="L529" s="178"/>
      <c r="M529" s="178"/>
      <c r="N529" s="178"/>
      <c r="O529" s="178"/>
      <c r="P529" s="178"/>
      <c r="Q529" s="178"/>
      <c r="R529" s="178"/>
      <c r="S529" s="178"/>
      <c r="T529" s="178"/>
      <c r="U529" s="178"/>
      <c r="V529" s="178"/>
      <c r="W529" s="55"/>
      <c r="X529" s="55"/>
      <c r="Y529" s="49"/>
      <c r="Z529" s="84"/>
      <c r="AA529" s="52"/>
      <c r="AB529" s="52"/>
      <c r="AC529" s="52"/>
      <c r="AD529" s="52"/>
      <c r="AE529" s="52"/>
      <c r="AF529" s="57"/>
      <c r="AG529" s="65"/>
      <c r="AH529" s="52"/>
      <c r="AI529" s="83"/>
      <c r="AJ529" s="34"/>
    </row>
    <row r="530" spans="1:36" hidden="1">
      <c r="A530" s="33" t="s">
        <v>75</v>
      </c>
      <c r="B530" s="39" t="s">
        <v>595</v>
      </c>
      <c r="C530" s="81"/>
      <c r="D530" s="157" t="s">
        <v>1283</v>
      </c>
      <c r="E530" s="49" t="s">
        <v>69</v>
      </c>
      <c r="F530" s="82"/>
      <c r="G530" s="84" t="s">
        <v>1284</v>
      </c>
      <c r="H530" s="82"/>
      <c r="I530" s="54" t="s">
        <v>4</v>
      </c>
      <c r="W530" s="60"/>
      <c r="X530" s="60"/>
      <c r="Y530" s="66"/>
      <c r="Z530" s="84" t="s">
        <v>1089</v>
      </c>
      <c r="AA530" s="59"/>
      <c r="AB530" s="59"/>
      <c r="AC530" s="59"/>
      <c r="AD530" s="59"/>
      <c r="AE530" s="59"/>
      <c r="AF530" s="62"/>
      <c r="AG530" s="65"/>
      <c r="AI530" s="83"/>
    </row>
    <row r="531" spans="1:36" hidden="1">
      <c r="A531" s="33" t="s">
        <v>75</v>
      </c>
      <c r="B531" s="39" t="s">
        <v>595</v>
      </c>
      <c r="C531" s="81"/>
      <c r="D531" s="157" t="s">
        <v>1285</v>
      </c>
      <c r="E531" s="49" t="s">
        <v>69</v>
      </c>
      <c r="F531" s="82"/>
      <c r="G531" s="84" t="s">
        <v>1286</v>
      </c>
      <c r="H531" s="82"/>
      <c r="I531" s="54" t="s">
        <v>92</v>
      </c>
      <c r="W531" s="60"/>
      <c r="X531" s="60"/>
      <c r="Y531" s="66"/>
      <c r="Z531" s="84"/>
      <c r="AA531" s="59"/>
      <c r="AB531" s="59"/>
      <c r="AC531" s="59"/>
      <c r="AD531" s="59"/>
      <c r="AE531" s="59"/>
      <c r="AF531" s="62"/>
      <c r="AG531" s="65"/>
      <c r="AI531" s="83"/>
    </row>
    <row r="532" spans="1:36" hidden="1">
      <c r="A532" s="33" t="s">
        <v>75</v>
      </c>
      <c r="B532" s="39" t="s">
        <v>595</v>
      </c>
      <c r="C532" s="81"/>
      <c r="D532" s="157" t="s">
        <v>1287</v>
      </c>
      <c r="E532" s="49" t="s">
        <v>69</v>
      </c>
      <c r="F532" s="82"/>
      <c r="G532" s="84" t="s">
        <v>1288</v>
      </c>
      <c r="H532" s="82"/>
      <c r="I532" s="54" t="s">
        <v>4</v>
      </c>
      <c r="W532" s="60"/>
      <c r="X532" s="60"/>
      <c r="Y532" s="66"/>
      <c r="Z532" s="84" t="s">
        <v>1089</v>
      </c>
      <c r="AA532" s="59"/>
      <c r="AB532" s="59"/>
      <c r="AC532" s="59"/>
      <c r="AD532" s="59"/>
      <c r="AE532" s="59"/>
      <c r="AF532" s="62"/>
      <c r="AG532" s="65"/>
      <c r="AI532" s="83"/>
    </row>
    <row r="533" spans="1:36" ht="55.2" hidden="1">
      <c r="A533" s="33" t="s">
        <v>75</v>
      </c>
      <c r="B533" s="39" t="s">
        <v>595</v>
      </c>
      <c r="C533" s="81"/>
      <c r="D533" s="157" t="s">
        <v>1289</v>
      </c>
      <c r="E533" s="49" t="s">
        <v>69</v>
      </c>
      <c r="F533" s="82"/>
      <c r="G533" s="84" t="s">
        <v>1290</v>
      </c>
      <c r="H533" s="82"/>
      <c r="I533" s="54" t="s">
        <v>71</v>
      </c>
      <c r="W533" s="60"/>
      <c r="X533" s="60"/>
      <c r="Y533" s="66"/>
      <c r="Z533" s="263" t="s">
        <v>1291</v>
      </c>
      <c r="AA533" s="59"/>
      <c r="AB533" s="59"/>
      <c r="AC533" s="59"/>
      <c r="AD533" s="59"/>
      <c r="AE533" s="59"/>
      <c r="AF533" s="62"/>
      <c r="AG533" s="65"/>
      <c r="AI533" s="83"/>
    </row>
    <row r="534" spans="1:36" ht="31.35" hidden="1" customHeight="1">
      <c r="A534" s="33" t="s">
        <v>75</v>
      </c>
      <c r="B534" s="33"/>
      <c r="C534" s="162"/>
      <c r="D534" s="177" t="s">
        <v>1292</v>
      </c>
      <c r="E534" s="175"/>
      <c r="F534" s="176"/>
      <c r="G534" s="163" t="s">
        <v>1293</v>
      </c>
      <c r="H534" s="164" t="s">
        <v>22</v>
      </c>
      <c r="I534" s="165"/>
      <c r="W534" s="215"/>
      <c r="X534" s="215"/>
      <c r="Y534" s="216"/>
      <c r="Z534" s="196"/>
      <c r="AA534" s="218"/>
      <c r="AB534" s="218"/>
      <c r="AC534" s="218"/>
      <c r="AD534" s="218"/>
      <c r="AE534" s="218"/>
      <c r="AF534" s="219"/>
      <c r="AG534" s="169"/>
      <c r="AH534" s="168"/>
      <c r="AI534" s="170"/>
    </row>
    <row r="535" spans="1:36" ht="44.25" hidden="1" customHeight="1">
      <c r="A535" s="33" t="s">
        <v>75</v>
      </c>
      <c r="B535" s="39" t="s">
        <v>326</v>
      </c>
      <c r="C535" s="81"/>
      <c r="D535" s="157" t="s">
        <v>1294</v>
      </c>
      <c r="E535" s="49" t="s">
        <v>96</v>
      </c>
      <c r="F535" s="51"/>
      <c r="G535" s="51" t="s">
        <v>1295</v>
      </c>
      <c r="H535" s="82"/>
      <c r="I535" s="54" t="s">
        <v>71</v>
      </c>
      <c r="W535" s="60"/>
      <c r="X535" s="60"/>
      <c r="Y535" s="66"/>
      <c r="Z535" s="51" t="s">
        <v>1296</v>
      </c>
      <c r="AA535" s="59"/>
      <c r="AB535" s="59"/>
      <c r="AC535" s="59"/>
      <c r="AD535" s="59"/>
      <c r="AE535" s="62"/>
      <c r="AF535" s="62"/>
      <c r="AG535" s="65"/>
      <c r="AI535" s="83"/>
    </row>
    <row r="536" spans="1:36" ht="27.6" hidden="1">
      <c r="A536" s="33" t="s">
        <v>75</v>
      </c>
      <c r="B536" s="33"/>
      <c r="C536" s="162"/>
      <c r="D536" s="177" t="s">
        <v>1297</v>
      </c>
      <c r="E536" s="175"/>
      <c r="F536" s="176"/>
      <c r="G536" s="163" t="s">
        <v>1298</v>
      </c>
      <c r="H536" s="164" t="s">
        <v>22</v>
      </c>
      <c r="I536" s="165"/>
      <c r="W536" s="215"/>
      <c r="X536" s="215"/>
      <c r="Y536" s="216"/>
      <c r="Z536" s="196"/>
      <c r="AA536" s="218"/>
      <c r="AB536" s="218"/>
      <c r="AC536" s="218"/>
      <c r="AD536" s="218"/>
      <c r="AE536" s="218"/>
      <c r="AF536" s="219"/>
      <c r="AG536" s="169"/>
      <c r="AH536" s="168"/>
      <c r="AI536" s="170"/>
    </row>
    <row r="537" spans="1:36" s="33" customFormat="1" ht="68.099999999999994" hidden="1" customHeight="1">
      <c r="A537" s="33" t="s">
        <v>75</v>
      </c>
      <c r="B537" s="39" t="s">
        <v>1299</v>
      </c>
      <c r="C537" s="49"/>
      <c r="D537" s="157" t="s">
        <v>1300</v>
      </c>
      <c r="E537" s="49" t="s">
        <v>69</v>
      </c>
      <c r="F537" s="53"/>
      <c r="G537" s="52" t="s">
        <v>1301</v>
      </c>
      <c r="H537" s="53"/>
      <c r="I537" s="54" t="s">
        <v>71</v>
      </c>
      <c r="J537" s="178"/>
      <c r="K537" s="178"/>
      <c r="L537" s="178"/>
      <c r="M537" s="178"/>
      <c r="N537" s="178"/>
      <c r="O537" s="178"/>
      <c r="P537" s="178"/>
      <c r="Q537" s="178"/>
      <c r="R537" s="178"/>
      <c r="S537" s="178"/>
      <c r="T537" s="178"/>
      <c r="U537" s="178"/>
      <c r="V537" s="178"/>
      <c r="W537" s="55"/>
      <c r="X537" s="55"/>
      <c r="Y537" s="49"/>
      <c r="Z537" s="252" t="s">
        <v>127</v>
      </c>
      <c r="AA537" s="52"/>
      <c r="AB537" s="52"/>
      <c r="AC537" s="52"/>
      <c r="AD537" s="52"/>
      <c r="AE537" s="52"/>
      <c r="AF537" s="52"/>
      <c r="AG537" s="58"/>
      <c r="AH537" s="52"/>
      <c r="AI537" s="56"/>
      <c r="AJ537" s="34"/>
    </row>
    <row r="538" spans="1:36" ht="58.35" hidden="1" customHeight="1">
      <c r="A538" s="33" t="s">
        <v>75</v>
      </c>
      <c r="B538" s="33"/>
      <c r="C538" s="162"/>
      <c r="D538" s="177" t="s">
        <v>1302</v>
      </c>
      <c r="E538" s="175"/>
      <c r="F538" s="176"/>
      <c r="G538" s="163" t="s">
        <v>1303</v>
      </c>
      <c r="H538" s="164" t="s">
        <v>22</v>
      </c>
      <c r="I538" s="165"/>
      <c r="W538" s="215"/>
      <c r="X538" s="215"/>
      <c r="Y538" s="216"/>
      <c r="Z538" s="196"/>
      <c r="AA538" s="218"/>
      <c r="AB538" s="218"/>
      <c r="AC538" s="218"/>
      <c r="AD538" s="218"/>
      <c r="AE538" s="218"/>
      <c r="AF538" s="219"/>
      <c r="AG538" s="169"/>
      <c r="AH538" s="168"/>
      <c r="AI538" s="170"/>
      <c r="AJ538" s="39"/>
    </row>
    <row r="539" spans="1:36" s="33" customFormat="1" ht="50.25" hidden="1" customHeight="1">
      <c r="A539" s="33" t="s">
        <v>75</v>
      </c>
      <c r="B539" s="39" t="s">
        <v>326</v>
      </c>
      <c r="C539" s="49"/>
      <c r="D539" s="157" t="s">
        <v>1304</v>
      </c>
      <c r="E539" s="49" t="s">
        <v>96</v>
      </c>
      <c r="F539" s="53"/>
      <c r="G539" s="52" t="s">
        <v>1305</v>
      </c>
      <c r="H539" s="53"/>
      <c r="I539" s="54" t="s">
        <v>71</v>
      </c>
      <c r="J539" s="178"/>
      <c r="K539" s="178"/>
      <c r="L539" s="178"/>
      <c r="M539" s="178"/>
      <c r="N539" s="178"/>
      <c r="O539" s="178"/>
      <c r="P539" s="178"/>
      <c r="Q539" s="178"/>
      <c r="R539" s="178"/>
      <c r="S539" s="178"/>
      <c r="T539" s="178"/>
      <c r="U539" s="178"/>
      <c r="V539" s="178"/>
      <c r="W539" s="55"/>
      <c r="X539" s="55"/>
      <c r="Y539" s="49"/>
      <c r="Z539" s="200" t="s">
        <v>1306</v>
      </c>
      <c r="AA539" s="52"/>
      <c r="AB539" s="52"/>
      <c r="AC539" s="52"/>
      <c r="AD539" s="52"/>
      <c r="AE539" s="52"/>
      <c r="AF539" s="52"/>
      <c r="AG539" s="58"/>
      <c r="AH539" s="52"/>
      <c r="AI539" s="56"/>
      <c r="AJ539" s="34"/>
    </row>
    <row r="540" spans="1:36" ht="45" hidden="1" customHeight="1">
      <c r="A540" s="33" t="s">
        <v>75</v>
      </c>
      <c r="B540" s="39" t="s">
        <v>326</v>
      </c>
      <c r="C540" s="66"/>
      <c r="D540" s="157" t="s">
        <v>1307</v>
      </c>
      <c r="E540" s="49" t="s">
        <v>96</v>
      </c>
      <c r="G540" s="52" t="s">
        <v>1308</v>
      </c>
      <c r="I540" s="54" t="s">
        <v>71</v>
      </c>
      <c r="Z540" s="200" t="s">
        <v>1309</v>
      </c>
    </row>
    <row r="541" spans="1:36" s="33" customFormat="1" ht="77.25" hidden="1" customHeight="1">
      <c r="C541" s="49"/>
      <c r="D541" s="157" t="s">
        <v>1310</v>
      </c>
      <c r="E541" s="157"/>
      <c r="F541" s="212" t="s">
        <v>77</v>
      </c>
      <c r="G541" s="192" t="s">
        <v>1311</v>
      </c>
      <c r="H541" s="53"/>
      <c r="I541" s="54"/>
      <c r="J541" s="178"/>
      <c r="K541" s="178"/>
      <c r="L541" s="178"/>
      <c r="M541" s="178"/>
      <c r="N541" s="178"/>
      <c r="O541" s="178"/>
      <c r="P541" s="178"/>
      <c r="Q541" s="178"/>
      <c r="R541" s="178"/>
      <c r="S541" s="178"/>
      <c r="T541" s="178"/>
      <c r="U541" s="178"/>
      <c r="V541" s="178"/>
      <c r="W541" s="55"/>
      <c r="X541" s="55"/>
      <c r="Y541" s="49"/>
      <c r="Z541" s="200"/>
      <c r="AA541" s="52"/>
      <c r="AB541" s="52"/>
      <c r="AC541" s="52"/>
      <c r="AD541" s="52"/>
      <c r="AE541" s="52"/>
      <c r="AF541" s="52"/>
      <c r="AG541" s="58"/>
      <c r="AH541" s="52"/>
      <c r="AI541" s="56"/>
      <c r="AJ541" s="34"/>
    </row>
    <row r="542" spans="1:36" ht="27.6" hidden="1">
      <c r="A542" s="33" t="s">
        <v>75</v>
      </c>
      <c r="B542" s="33"/>
      <c r="C542" s="248"/>
      <c r="D542" s="177" t="s">
        <v>1312</v>
      </c>
      <c r="E542" s="175"/>
      <c r="F542" s="176"/>
      <c r="G542" s="163" t="s">
        <v>1313</v>
      </c>
      <c r="H542" s="164" t="s">
        <v>22</v>
      </c>
      <c r="I542" s="165"/>
      <c r="W542" s="166"/>
      <c r="X542" s="166"/>
      <c r="Y542" s="167"/>
      <c r="Z542" s="196"/>
      <c r="AA542" s="168"/>
      <c r="AB542" s="168"/>
      <c r="AC542" s="168"/>
      <c r="AD542" s="168"/>
      <c r="AE542" s="168"/>
      <c r="AF542" s="163"/>
      <c r="AG542" s="169"/>
      <c r="AH542" s="168"/>
      <c r="AI542" s="170"/>
    </row>
    <row r="543" spans="1:36" hidden="1">
      <c r="A543" s="33" t="s">
        <v>75</v>
      </c>
      <c r="B543" s="39" t="s">
        <v>595</v>
      </c>
      <c r="C543" s="66"/>
      <c r="D543" s="157" t="s">
        <v>1314</v>
      </c>
      <c r="E543" s="49" t="s">
        <v>69</v>
      </c>
      <c r="G543" s="52" t="s">
        <v>1315</v>
      </c>
      <c r="I543" s="54" t="s">
        <v>4</v>
      </c>
      <c r="Z543" s="252" t="s">
        <v>127</v>
      </c>
    </row>
    <row r="544" spans="1:36" hidden="1">
      <c r="A544" s="33" t="s">
        <v>75</v>
      </c>
      <c r="B544" s="39" t="s">
        <v>595</v>
      </c>
      <c r="C544" s="66"/>
      <c r="D544" s="157" t="s">
        <v>1316</v>
      </c>
      <c r="E544" s="49" t="s">
        <v>69</v>
      </c>
      <c r="G544" s="52" t="s">
        <v>1317</v>
      </c>
      <c r="I544" s="54" t="s">
        <v>71</v>
      </c>
      <c r="Z544" s="200" t="s">
        <v>548</v>
      </c>
    </row>
    <row r="545" spans="1:36" s="33" customFormat="1" ht="34.5" hidden="1" customHeight="1">
      <c r="A545" s="33" t="s">
        <v>75</v>
      </c>
      <c r="C545" s="162"/>
      <c r="D545" s="177" t="s">
        <v>1318</v>
      </c>
      <c r="E545" s="175"/>
      <c r="F545" s="176"/>
      <c r="G545" s="163" t="s">
        <v>1319</v>
      </c>
      <c r="H545" s="164" t="s">
        <v>22</v>
      </c>
      <c r="I545" s="165"/>
      <c r="J545" s="178"/>
      <c r="K545" s="178"/>
      <c r="L545" s="178"/>
      <c r="M545" s="178"/>
      <c r="N545" s="178"/>
      <c r="O545" s="178"/>
      <c r="P545" s="178"/>
      <c r="Q545" s="178"/>
      <c r="R545" s="178"/>
      <c r="S545" s="178"/>
      <c r="T545" s="178"/>
      <c r="U545" s="178"/>
      <c r="V545" s="178"/>
      <c r="W545" s="166"/>
      <c r="X545" s="166"/>
      <c r="Y545" s="167"/>
      <c r="Z545" s="196"/>
      <c r="AA545" s="168"/>
      <c r="AB545" s="168"/>
      <c r="AC545" s="168"/>
      <c r="AD545" s="168"/>
      <c r="AE545" s="168"/>
      <c r="AF545" s="163"/>
      <c r="AG545" s="169"/>
      <c r="AH545" s="168"/>
      <c r="AI545" s="170"/>
      <c r="AJ545" s="34"/>
    </row>
    <row r="546" spans="1:36" hidden="1">
      <c r="A546" s="33" t="s">
        <v>75</v>
      </c>
      <c r="B546" s="39" t="s">
        <v>595</v>
      </c>
      <c r="C546" s="66"/>
      <c r="D546" s="157" t="s">
        <v>1320</v>
      </c>
      <c r="E546" s="49" t="s">
        <v>69</v>
      </c>
      <c r="G546" s="52" t="s">
        <v>1321</v>
      </c>
      <c r="I546" s="54" t="s">
        <v>4</v>
      </c>
      <c r="Z546" s="252" t="s">
        <v>127</v>
      </c>
    </row>
    <row r="547" spans="1:36" ht="28.35" hidden="1" customHeight="1">
      <c r="A547" s="33" t="s">
        <v>75</v>
      </c>
      <c r="B547" s="39" t="s">
        <v>595</v>
      </c>
      <c r="C547" s="66"/>
      <c r="D547" s="157" t="s">
        <v>1322</v>
      </c>
      <c r="E547" s="49" t="s">
        <v>69</v>
      </c>
      <c r="G547" s="52" t="s">
        <v>1323</v>
      </c>
      <c r="I547" s="54" t="s">
        <v>4</v>
      </c>
      <c r="Z547" s="252" t="s">
        <v>127</v>
      </c>
    </row>
    <row r="548" spans="1:36" ht="28.35" hidden="1" customHeight="1">
      <c r="A548" s="33" t="s">
        <v>75</v>
      </c>
      <c r="B548" s="39" t="s">
        <v>595</v>
      </c>
      <c r="C548" s="66"/>
      <c r="D548" s="157" t="s">
        <v>1324</v>
      </c>
      <c r="E548" s="49" t="s">
        <v>69</v>
      </c>
      <c r="G548" s="52" t="s">
        <v>1325</v>
      </c>
      <c r="I548" s="54" t="s">
        <v>92</v>
      </c>
      <c r="Z548" s="200" t="s">
        <v>656</v>
      </c>
    </row>
    <row r="549" spans="1:36" s="33" customFormat="1" ht="73.349999999999994" hidden="1" customHeight="1">
      <c r="A549" s="33" t="s">
        <v>75</v>
      </c>
      <c r="C549" s="49"/>
      <c r="D549" s="157" t="s">
        <v>1326</v>
      </c>
      <c r="E549" s="157"/>
      <c r="F549" s="212" t="s">
        <v>1213</v>
      </c>
      <c r="G549" s="192" t="s">
        <v>1327</v>
      </c>
      <c r="H549" s="53"/>
      <c r="I549" s="54"/>
      <c r="J549" s="178"/>
      <c r="K549" s="178"/>
      <c r="L549" s="178"/>
      <c r="M549" s="178"/>
      <c r="N549" s="178"/>
      <c r="O549" s="178"/>
      <c r="P549" s="178"/>
      <c r="Q549" s="178"/>
      <c r="R549" s="178"/>
      <c r="S549" s="178"/>
      <c r="T549" s="178"/>
      <c r="U549" s="178"/>
      <c r="V549" s="178"/>
      <c r="W549" s="55"/>
      <c r="X549" s="55"/>
      <c r="Y549" s="49"/>
      <c r="Z549" s="200"/>
      <c r="AA549" s="52"/>
      <c r="AB549" s="52"/>
      <c r="AC549" s="52"/>
      <c r="AD549" s="52"/>
      <c r="AE549" s="52"/>
      <c r="AF549" s="52"/>
      <c r="AG549" s="58"/>
      <c r="AH549" s="52"/>
      <c r="AI549" s="56"/>
      <c r="AJ549" s="34"/>
    </row>
    <row r="550" spans="1:36" ht="50.1" hidden="1" customHeight="1">
      <c r="A550" s="33" t="s">
        <v>75</v>
      </c>
      <c r="B550" s="33"/>
      <c r="C550" s="248"/>
      <c r="D550" s="177" t="s">
        <v>1328</v>
      </c>
      <c r="E550" s="175"/>
      <c r="F550" s="176"/>
      <c r="G550" s="163" t="s">
        <v>1329</v>
      </c>
      <c r="H550" s="164" t="s">
        <v>22</v>
      </c>
      <c r="I550" s="165"/>
      <c r="W550" s="166"/>
      <c r="X550" s="166"/>
      <c r="Y550" s="167"/>
      <c r="Z550" s="196"/>
      <c r="AA550" s="168"/>
      <c r="AB550" s="168"/>
      <c r="AC550" s="168"/>
      <c r="AD550" s="168"/>
      <c r="AE550" s="168"/>
      <c r="AF550" s="163"/>
      <c r="AG550" s="169"/>
      <c r="AH550" s="168"/>
      <c r="AI550" s="170"/>
    </row>
    <row r="551" spans="1:36" ht="27.6" hidden="1">
      <c r="A551" s="33" t="s">
        <v>75</v>
      </c>
      <c r="C551" s="66"/>
      <c r="D551" s="157" t="s">
        <v>1330</v>
      </c>
      <c r="E551" s="49"/>
      <c r="F551" s="212" t="s">
        <v>1213</v>
      </c>
      <c r="G551" s="192" t="s">
        <v>1331</v>
      </c>
    </row>
    <row r="552" spans="1:36" ht="30.6" hidden="1" customHeight="1">
      <c r="A552" s="33" t="s">
        <v>75</v>
      </c>
      <c r="B552" s="39" t="s">
        <v>326</v>
      </c>
      <c r="C552" s="66"/>
      <c r="D552" s="157" t="s">
        <v>1332</v>
      </c>
      <c r="E552" s="49" t="s">
        <v>96</v>
      </c>
      <c r="F552" s="212"/>
      <c r="G552" s="192" t="s">
        <v>1333</v>
      </c>
      <c r="H552" s="82"/>
      <c r="I552" s="54" t="s">
        <v>92</v>
      </c>
      <c r="Z552" s="200" t="s">
        <v>1334</v>
      </c>
    </row>
    <row r="553" spans="1:36" ht="30.6" hidden="1" customHeight="1">
      <c r="A553" s="33" t="s">
        <v>75</v>
      </c>
      <c r="B553" s="39" t="s">
        <v>326</v>
      </c>
      <c r="C553" s="66"/>
      <c r="D553" s="157" t="s">
        <v>1335</v>
      </c>
      <c r="E553" s="49" t="s">
        <v>96</v>
      </c>
      <c r="F553" s="212"/>
      <c r="G553" s="192" t="s">
        <v>1336</v>
      </c>
      <c r="H553" s="82"/>
      <c r="I553" s="54" t="s">
        <v>71</v>
      </c>
      <c r="Z553" s="200" t="s">
        <v>567</v>
      </c>
    </row>
    <row r="554" spans="1:36" ht="30.6" hidden="1" customHeight="1">
      <c r="A554" s="33" t="s">
        <v>75</v>
      </c>
      <c r="B554" s="39" t="s">
        <v>326</v>
      </c>
      <c r="C554" s="66"/>
      <c r="D554" s="157" t="s">
        <v>1337</v>
      </c>
      <c r="E554" s="49" t="s">
        <v>96</v>
      </c>
      <c r="F554" s="212"/>
      <c r="G554" s="192" t="s">
        <v>1338</v>
      </c>
      <c r="H554" s="82"/>
      <c r="I554" s="54" t="s">
        <v>92</v>
      </c>
      <c r="Z554" s="200" t="s">
        <v>567</v>
      </c>
    </row>
    <row r="555" spans="1:36" ht="30.6" hidden="1" customHeight="1">
      <c r="A555" s="33" t="s">
        <v>75</v>
      </c>
      <c r="B555" s="39" t="s">
        <v>326</v>
      </c>
      <c r="C555" s="66"/>
      <c r="D555" s="157" t="s">
        <v>1339</v>
      </c>
      <c r="E555" s="49" t="s">
        <v>96</v>
      </c>
      <c r="F555" s="212"/>
      <c r="G555" s="192" t="s">
        <v>1340</v>
      </c>
      <c r="H555" s="82"/>
      <c r="I555" s="54" t="s">
        <v>71</v>
      </c>
      <c r="Z555" s="200" t="s">
        <v>567</v>
      </c>
    </row>
    <row r="556" spans="1:36" s="33" customFormat="1" ht="45.75" hidden="1" customHeight="1">
      <c r="A556" s="33" t="s">
        <v>75</v>
      </c>
      <c r="C556" s="49"/>
      <c r="D556" s="157" t="s">
        <v>1341</v>
      </c>
      <c r="E556" s="157"/>
      <c r="F556" s="212" t="s">
        <v>1213</v>
      </c>
      <c r="G556" s="192" t="s">
        <v>1342</v>
      </c>
      <c r="H556" s="53"/>
      <c r="I556" s="54"/>
      <c r="J556" s="178"/>
      <c r="K556" s="178"/>
      <c r="L556" s="178"/>
      <c r="M556" s="178"/>
      <c r="N556" s="178"/>
      <c r="O556" s="178"/>
      <c r="P556" s="178"/>
      <c r="Q556" s="178"/>
      <c r="R556" s="178"/>
      <c r="S556" s="178"/>
      <c r="T556" s="178"/>
      <c r="U556" s="178"/>
      <c r="V556" s="178"/>
      <c r="W556" s="55"/>
      <c r="X556" s="55"/>
      <c r="Y556" s="49"/>
      <c r="Z556" s="200"/>
      <c r="AA556" s="52"/>
      <c r="AB556" s="52"/>
      <c r="AC556" s="52"/>
      <c r="AD556" s="52"/>
      <c r="AE556" s="52"/>
      <c r="AF556" s="52"/>
      <c r="AG556" s="58"/>
      <c r="AH556" s="52"/>
      <c r="AI556" s="56"/>
      <c r="AJ556" s="34"/>
    </row>
    <row r="557" spans="1:36" ht="27.6" hidden="1">
      <c r="A557" s="33" t="s">
        <v>75</v>
      </c>
      <c r="B557" s="33"/>
      <c r="C557" s="248"/>
      <c r="D557" s="177" t="s">
        <v>1343</v>
      </c>
      <c r="E557" s="175"/>
      <c r="F557" s="176"/>
      <c r="G557" s="163" t="s">
        <v>1344</v>
      </c>
      <c r="H557" s="164" t="s">
        <v>22</v>
      </c>
      <c r="I557" s="165"/>
      <c r="W557" s="166"/>
      <c r="X557" s="166"/>
      <c r="Y557" s="167"/>
      <c r="Z557" s="196"/>
      <c r="AA557" s="168"/>
      <c r="AB557" s="168"/>
      <c r="AC557" s="168"/>
      <c r="AD557" s="168"/>
      <c r="AE557" s="168"/>
      <c r="AF557" s="163"/>
      <c r="AG557" s="169"/>
      <c r="AH557" s="168"/>
      <c r="AI557" s="238"/>
    </row>
    <row r="558" spans="1:36" ht="42" hidden="1" customHeight="1">
      <c r="A558" s="33" t="s">
        <v>75</v>
      </c>
      <c r="B558" s="39" t="s">
        <v>595</v>
      </c>
      <c r="C558" s="66"/>
      <c r="D558" s="157" t="s">
        <v>1345</v>
      </c>
      <c r="E558" s="49" t="s">
        <v>69</v>
      </c>
      <c r="G558" s="52" t="s">
        <v>1346</v>
      </c>
      <c r="I558" s="54" t="s">
        <v>71</v>
      </c>
      <c r="AI558" s="61"/>
    </row>
    <row r="559" spans="1:36" ht="42" customHeight="1">
      <c r="A559" s="33" t="s">
        <v>75</v>
      </c>
      <c r="B559" s="39" t="s">
        <v>88</v>
      </c>
      <c r="C559" s="66"/>
      <c r="D559" s="157" t="s">
        <v>1347</v>
      </c>
      <c r="E559" s="49" t="s">
        <v>69</v>
      </c>
      <c r="G559" s="52" t="s">
        <v>1348</v>
      </c>
      <c r="I559" s="54" t="s">
        <v>399</v>
      </c>
      <c r="AI559" s="61"/>
    </row>
    <row r="560" spans="1:36" ht="55.2" hidden="1">
      <c r="A560" s="33" t="s">
        <v>75</v>
      </c>
      <c r="B560" s="33"/>
      <c r="C560" s="248"/>
      <c r="D560" s="177" t="s">
        <v>1349</v>
      </c>
      <c r="E560" s="175"/>
      <c r="F560" s="176"/>
      <c r="G560" s="163" t="s">
        <v>1350</v>
      </c>
      <c r="H560" s="164" t="s">
        <v>22</v>
      </c>
      <c r="I560" s="165"/>
      <c r="W560" s="166"/>
      <c r="X560" s="166"/>
      <c r="Y560" s="167"/>
      <c r="Z560" s="196"/>
      <c r="AA560" s="168"/>
      <c r="AB560" s="168"/>
      <c r="AC560" s="168"/>
      <c r="AD560" s="168"/>
      <c r="AE560" s="168"/>
      <c r="AF560" s="163"/>
      <c r="AG560" s="169"/>
      <c r="AH560" s="168"/>
      <c r="AI560" s="238"/>
    </row>
    <row r="561" spans="1:36" s="33" customFormat="1" ht="49.35" hidden="1" customHeight="1">
      <c r="A561" s="33" t="s">
        <v>75</v>
      </c>
      <c r="B561" s="39" t="s">
        <v>162</v>
      </c>
      <c r="C561" s="49"/>
      <c r="D561" s="87" t="s">
        <v>1351</v>
      </c>
      <c r="E561" s="49" t="s">
        <v>69</v>
      </c>
      <c r="F561" s="53"/>
      <c r="G561" s="182" t="s">
        <v>1352</v>
      </c>
      <c r="H561" s="53"/>
      <c r="I561" s="54" t="s">
        <v>4</v>
      </c>
      <c r="J561" s="178"/>
      <c r="K561" s="178"/>
      <c r="L561" s="178"/>
      <c r="M561" s="178"/>
      <c r="N561" s="178"/>
      <c r="O561" s="178"/>
      <c r="P561" s="178"/>
      <c r="Q561" s="178"/>
      <c r="R561" s="178"/>
      <c r="S561" s="178"/>
      <c r="T561" s="178"/>
      <c r="U561" s="178"/>
      <c r="V561" s="178"/>
      <c r="W561" s="55"/>
      <c r="X561" s="55"/>
      <c r="Y561" s="49"/>
      <c r="Z561" s="200"/>
      <c r="AA561" s="52"/>
      <c r="AB561" s="52"/>
      <c r="AC561" s="52"/>
      <c r="AD561" s="52"/>
      <c r="AE561" s="52"/>
      <c r="AF561" s="52"/>
      <c r="AG561" s="58"/>
      <c r="AH561" s="52"/>
      <c r="AI561" s="56"/>
      <c r="AJ561" s="34"/>
    </row>
    <row r="562" spans="1:36" s="33" customFormat="1" ht="66.599999999999994" hidden="1" customHeight="1">
      <c r="A562" s="39" t="s">
        <v>75</v>
      </c>
      <c r="B562" s="39"/>
      <c r="C562" s="66"/>
      <c r="D562" s="87" t="s">
        <v>1353</v>
      </c>
      <c r="E562" s="49"/>
      <c r="F562" s="184" t="s">
        <v>1354</v>
      </c>
      <c r="G562" s="205" t="s">
        <v>1355</v>
      </c>
      <c r="H562" s="53"/>
      <c r="I562" s="54" t="s">
        <v>399</v>
      </c>
      <c r="J562" s="178"/>
      <c r="K562" s="178"/>
      <c r="L562" s="178"/>
      <c r="M562" s="178"/>
      <c r="N562" s="178"/>
      <c r="O562" s="178"/>
      <c r="P562" s="178"/>
      <c r="Q562" s="178"/>
      <c r="R562" s="178"/>
      <c r="S562" s="178"/>
      <c r="T562" s="178"/>
      <c r="U562" s="178"/>
      <c r="V562" s="178"/>
      <c r="W562" s="55"/>
      <c r="X562" s="55"/>
      <c r="Y562" s="49"/>
      <c r="Z562" s="200"/>
      <c r="AA562" s="52"/>
      <c r="AB562" s="52"/>
      <c r="AC562" s="52"/>
      <c r="AD562" s="52"/>
      <c r="AE562" s="52"/>
      <c r="AF562" s="52"/>
      <c r="AG562" s="58"/>
      <c r="AH562" s="52"/>
      <c r="AI562" s="56"/>
      <c r="AJ562" s="34"/>
    </row>
    <row r="563" spans="1:36" ht="67.5" hidden="1" customHeight="1">
      <c r="A563" s="33" t="s">
        <v>75</v>
      </c>
      <c r="B563" s="33"/>
      <c r="C563" s="248"/>
      <c r="D563" s="177" t="s">
        <v>1356</v>
      </c>
      <c r="E563" s="175"/>
      <c r="F563" s="176"/>
      <c r="G563" s="163" t="s">
        <v>1357</v>
      </c>
      <c r="H563" s="164" t="s">
        <v>22</v>
      </c>
      <c r="I563" s="165"/>
      <c r="W563" s="166"/>
      <c r="X563" s="166"/>
      <c r="Y563" s="167"/>
      <c r="Z563" s="196"/>
      <c r="AA563" s="168"/>
      <c r="AB563" s="168"/>
      <c r="AC563" s="168"/>
      <c r="AD563" s="168"/>
      <c r="AE563" s="168"/>
      <c r="AF563" s="163"/>
      <c r="AG563" s="169"/>
      <c r="AH563" s="168"/>
      <c r="AI563" s="170"/>
    </row>
    <row r="564" spans="1:36" s="33" customFormat="1" ht="57" hidden="1" customHeight="1">
      <c r="A564" s="33" t="s">
        <v>75</v>
      </c>
      <c r="B564" s="39" t="s">
        <v>162</v>
      </c>
      <c r="C564" s="49"/>
      <c r="D564" s="87" t="s">
        <v>1358</v>
      </c>
      <c r="E564" s="49" t="s">
        <v>69</v>
      </c>
      <c r="F564" s="53"/>
      <c r="G564" s="52" t="s">
        <v>1359</v>
      </c>
      <c r="H564" s="53"/>
      <c r="I564" s="54" t="s">
        <v>4</v>
      </c>
      <c r="J564" s="178"/>
      <c r="K564" s="178"/>
      <c r="L564" s="178"/>
      <c r="M564" s="178"/>
      <c r="N564" s="178"/>
      <c r="O564" s="178"/>
      <c r="P564" s="178"/>
      <c r="Q564" s="178"/>
      <c r="R564" s="178"/>
      <c r="S564" s="178"/>
      <c r="T564" s="178"/>
      <c r="U564" s="178"/>
      <c r="V564" s="178"/>
      <c r="W564" s="55"/>
      <c r="X564" s="55"/>
      <c r="Y564" s="49"/>
      <c r="Z564" s="200"/>
      <c r="AA564" s="52"/>
      <c r="AB564" s="52"/>
      <c r="AC564" s="52"/>
      <c r="AD564" s="52"/>
      <c r="AE564" s="52"/>
      <c r="AF564" s="52"/>
      <c r="AG564" s="58"/>
      <c r="AH564" s="52"/>
      <c r="AI564" s="56"/>
      <c r="AJ564" s="34"/>
    </row>
    <row r="565" spans="1:36" s="33" customFormat="1" ht="57" hidden="1" customHeight="1">
      <c r="A565" s="33" t="s">
        <v>75</v>
      </c>
      <c r="B565" s="39" t="s">
        <v>162</v>
      </c>
      <c r="C565" s="66"/>
      <c r="D565" s="87" t="s">
        <v>1360</v>
      </c>
      <c r="E565" s="49" t="s">
        <v>69</v>
      </c>
      <c r="F565" s="53"/>
      <c r="G565" s="52" t="s">
        <v>1361</v>
      </c>
      <c r="H565" s="53"/>
      <c r="I565" s="54" t="s">
        <v>4</v>
      </c>
      <c r="J565" s="178"/>
      <c r="K565" s="178"/>
      <c r="L565" s="178"/>
      <c r="M565" s="178"/>
      <c r="N565" s="178"/>
      <c r="O565" s="178"/>
      <c r="P565" s="178"/>
      <c r="Q565" s="178"/>
      <c r="R565" s="178"/>
      <c r="S565" s="178"/>
      <c r="T565" s="178"/>
      <c r="U565" s="178"/>
      <c r="V565" s="178"/>
      <c r="W565" s="55"/>
      <c r="X565" s="55"/>
      <c r="Y565" s="49"/>
      <c r="Z565" s="200"/>
      <c r="AA565" s="52"/>
      <c r="AB565" s="52"/>
      <c r="AC565" s="52"/>
      <c r="AD565" s="52"/>
      <c r="AE565" s="52"/>
      <c r="AF565" s="52"/>
      <c r="AG565" s="58"/>
      <c r="AH565" s="52"/>
      <c r="AI565" s="56"/>
      <c r="AJ565" s="34"/>
    </row>
    <row r="566" spans="1:36" ht="41.4" hidden="1">
      <c r="A566" s="33" t="s">
        <v>75</v>
      </c>
      <c r="B566" s="33"/>
      <c r="C566" s="248"/>
      <c r="D566" s="224" t="s">
        <v>1362</v>
      </c>
      <c r="E566" s="228"/>
      <c r="F566" s="176"/>
      <c r="G566" s="163" t="s">
        <v>1363</v>
      </c>
      <c r="H566" s="164" t="s">
        <v>22</v>
      </c>
      <c r="I566" s="165"/>
      <c r="W566" s="166"/>
      <c r="X566" s="166"/>
      <c r="Y566" s="167"/>
      <c r="Z566" s="196"/>
      <c r="AA566" s="168"/>
      <c r="AB566" s="168"/>
      <c r="AC566" s="168"/>
      <c r="AD566" s="168"/>
      <c r="AE566" s="168"/>
      <c r="AF566" s="163"/>
      <c r="AG566" s="169"/>
      <c r="AH566" s="168"/>
      <c r="AI566" s="170"/>
    </row>
    <row r="567" spans="1:36" s="33" customFormat="1" ht="34.5" hidden="1" customHeight="1">
      <c r="A567" s="33" t="s">
        <v>75</v>
      </c>
      <c r="B567" s="39" t="s">
        <v>162</v>
      </c>
      <c r="C567" s="49"/>
      <c r="D567" s="87" t="s">
        <v>1364</v>
      </c>
      <c r="E567" s="49" t="s">
        <v>69</v>
      </c>
      <c r="F567" s="53"/>
      <c r="G567" s="52" t="s">
        <v>1365</v>
      </c>
      <c r="H567" s="53"/>
      <c r="I567" s="54" t="s">
        <v>4</v>
      </c>
      <c r="J567" s="178"/>
      <c r="K567" s="178"/>
      <c r="L567" s="178"/>
      <c r="M567" s="178"/>
      <c r="N567" s="178"/>
      <c r="O567" s="178"/>
      <c r="P567" s="178"/>
      <c r="Q567" s="178"/>
      <c r="R567" s="178"/>
      <c r="S567" s="178"/>
      <c r="T567" s="178"/>
      <c r="U567" s="178"/>
      <c r="V567" s="178"/>
      <c r="W567" s="55"/>
      <c r="X567" s="55"/>
      <c r="Y567" s="49"/>
      <c r="Z567" s="200"/>
      <c r="AA567" s="52"/>
      <c r="AB567" s="52"/>
      <c r="AC567" s="52"/>
      <c r="AD567" s="52"/>
      <c r="AE567" s="52"/>
      <c r="AF567" s="52"/>
      <c r="AG567" s="58"/>
      <c r="AH567" s="52"/>
      <c r="AI567" s="56"/>
      <c r="AJ567" s="34"/>
    </row>
    <row r="568" spans="1:36" ht="55.2" hidden="1">
      <c r="A568" s="33" t="s">
        <v>75</v>
      </c>
      <c r="B568" s="33"/>
      <c r="C568" s="248"/>
      <c r="D568" s="224" t="s">
        <v>1366</v>
      </c>
      <c r="E568" s="228"/>
      <c r="F568" s="176"/>
      <c r="G568" s="163" t="s">
        <v>1367</v>
      </c>
      <c r="H568" s="164" t="s">
        <v>22</v>
      </c>
      <c r="I568" s="165"/>
      <c r="W568" s="166"/>
      <c r="X568" s="166"/>
      <c r="Y568" s="167"/>
      <c r="Z568" s="196"/>
      <c r="AA568" s="168"/>
      <c r="AB568" s="168"/>
      <c r="AC568" s="168"/>
      <c r="AD568" s="168"/>
      <c r="AE568" s="168"/>
      <c r="AF568" s="163"/>
      <c r="AG568" s="169"/>
      <c r="AH568" s="168"/>
      <c r="AI568" s="170"/>
    </row>
    <row r="569" spans="1:36" s="33" customFormat="1" ht="34.5" hidden="1" customHeight="1">
      <c r="A569" s="33" t="s">
        <v>75</v>
      </c>
      <c r="B569" s="39" t="s">
        <v>162</v>
      </c>
      <c r="C569" s="49"/>
      <c r="D569" s="87" t="s">
        <v>1368</v>
      </c>
      <c r="E569" s="49" t="s">
        <v>69</v>
      </c>
      <c r="F569" s="53"/>
      <c r="G569" s="52" t="s">
        <v>1369</v>
      </c>
      <c r="H569" s="53"/>
      <c r="I569" s="54" t="s">
        <v>4</v>
      </c>
      <c r="J569" s="178"/>
      <c r="K569" s="178"/>
      <c r="L569" s="178"/>
      <c r="M569" s="178"/>
      <c r="N569" s="178"/>
      <c r="O569" s="178"/>
      <c r="P569" s="178"/>
      <c r="Q569" s="178"/>
      <c r="R569" s="178"/>
      <c r="S569" s="178"/>
      <c r="T569" s="178"/>
      <c r="U569" s="178"/>
      <c r="V569" s="178"/>
      <c r="W569" s="55"/>
      <c r="X569" s="55"/>
      <c r="Y569" s="49"/>
      <c r="Z569" s="200"/>
      <c r="AA569" s="52"/>
      <c r="AB569" s="52"/>
      <c r="AC569" s="52"/>
      <c r="AD569" s="52"/>
      <c r="AE569" s="52"/>
      <c r="AF569" s="52"/>
      <c r="AG569" s="58"/>
      <c r="AH569" s="52"/>
      <c r="AI569" s="56"/>
      <c r="AJ569" s="34"/>
    </row>
    <row r="570" spans="1:36" s="33" customFormat="1" ht="34.5" hidden="1" customHeight="1">
      <c r="A570" s="33" t="s">
        <v>75</v>
      </c>
      <c r="B570" s="39" t="s">
        <v>162</v>
      </c>
      <c r="C570" s="66"/>
      <c r="D570" s="87" t="s">
        <v>1370</v>
      </c>
      <c r="E570" s="49" t="s">
        <v>69</v>
      </c>
      <c r="F570" s="53"/>
      <c r="G570" s="52" t="s">
        <v>1371</v>
      </c>
      <c r="H570" s="53"/>
      <c r="I570" s="54" t="s">
        <v>4</v>
      </c>
      <c r="J570" s="178"/>
      <c r="K570" s="178"/>
      <c r="L570" s="178"/>
      <c r="M570" s="178"/>
      <c r="N570" s="178"/>
      <c r="O570" s="178"/>
      <c r="P570" s="178"/>
      <c r="Q570" s="178"/>
      <c r="R570" s="178"/>
      <c r="S570" s="178"/>
      <c r="T570" s="178"/>
      <c r="U570" s="178"/>
      <c r="V570" s="178"/>
      <c r="W570" s="55"/>
      <c r="X570" s="55"/>
      <c r="Y570" s="49"/>
      <c r="Z570" s="200"/>
      <c r="AA570" s="52"/>
      <c r="AB570" s="52"/>
      <c r="AC570" s="52"/>
      <c r="AD570" s="52"/>
      <c r="AE570" s="52"/>
      <c r="AF570" s="52"/>
      <c r="AG570" s="58"/>
      <c r="AH570" s="52"/>
      <c r="AI570" s="56"/>
      <c r="AJ570" s="34"/>
    </row>
    <row r="571" spans="1:36" ht="41.4" hidden="1">
      <c r="A571" s="33" t="s">
        <v>75</v>
      </c>
      <c r="B571" s="33"/>
      <c r="C571" s="248"/>
      <c r="D571" s="224" t="s">
        <v>1372</v>
      </c>
      <c r="E571" s="228"/>
      <c r="F571" s="176"/>
      <c r="G571" s="163" t="s">
        <v>1373</v>
      </c>
      <c r="H571" s="164" t="s">
        <v>22</v>
      </c>
      <c r="I571" s="165"/>
      <c r="W571" s="166"/>
      <c r="X571" s="166"/>
      <c r="Y571" s="167"/>
      <c r="Z571" s="196"/>
      <c r="AA571" s="168"/>
      <c r="AB571" s="168"/>
      <c r="AC571" s="168"/>
      <c r="AD571" s="168"/>
      <c r="AE571" s="168"/>
      <c r="AF571" s="163"/>
      <c r="AG571" s="169"/>
      <c r="AH571" s="168"/>
      <c r="AI571" s="170"/>
    </row>
    <row r="572" spans="1:36" s="33" customFormat="1" ht="25.35" hidden="1" customHeight="1">
      <c r="A572" s="33" t="s">
        <v>75</v>
      </c>
      <c r="B572" s="39" t="s">
        <v>162</v>
      </c>
      <c r="C572" s="49"/>
      <c r="D572" s="87" t="s">
        <v>1374</v>
      </c>
      <c r="E572" s="49" t="s">
        <v>69</v>
      </c>
      <c r="F572" s="184"/>
      <c r="G572" s="70" t="s">
        <v>1375</v>
      </c>
      <c r="H572" s="53"/>
      <c r="I572" s="54" t="s">
        <v>4</v>
      </c>
      <c r="J572" s="178"/>
      <c r="K572" s="178"/>
      <c r="L572" s="178"/>
      <c r="M572" s="178"/>
      <c r="N572" s="178"/>
      <c r="O572" s="178"/>
      <c r="P572" s="178"/>
      <c r="Q572" s="178"/>
      <c r="R572" s="178"/>
      <c r="S572" s="178"/>
      <c r="T572" s="178"/>
      <c r="U572" s="178"/>
      <c r="V572" s="178"/>
      <c r="W572" s="55"/>
      <c r="X572" s="55"/>
      <c r="Y572" s="49"/>
      <c r="Z572" s="200"/>
      <c r="AA572" s="52"/>
      <c r="AB572" s="52"/>
      <c r="AC572" s="52"/>
      <c r="AD572" s="52"/>
      <c r="AE572" s="52"/>
      <c r="AF572" s="52"/>
      <c r="AG572" s="58"/>
      <c r="AH572" s="52"/>
      <c r="AI572" s="56"/>
      <c r="AJ572" s="34"/>
    </row>
    <row r="573" spans="1:36" s="33" customFormat="1" ht="51.6" hidden="1" customHeight="1">
      <c r="A573" s="33" t="s">
        <v>75</v>
      </c>
      <c r="C573" s="66"/>
      <c r="D573" s="87" t="s">
        <v>1376</v>
      </c>
      <c r="E573" s="49"/>
      <c r="F573" s="184" t="s">
        <v>77</v>
      </c>
      <c r="G573" s="70" t="s">
        <v>1377</v>
      </c>
      <c r="H573" s="53"/>
      <c r="I573" s="54"/>
      <c r="J573" s="178"/>
      <c r="K573" s="178"/>
      <c r="L573" s="178"/>
      <c r="M573" s="178"/>
      <c r="N573" s="178"/>
      <c r="O573" s="178"/>
      <c r="P573" s="178"/>
      <c r="Q573" s="178"/>
      <c r="R573" s="178"/>
      <c r="S573" s="178"/>
      <c r="T573" s="178"/>
      <c r="U573" s="178"/>
      <c r="V573" s="178"/>
      <c r="W573" s="55"/>
      <c r="X573" s="55"/>
      <c r="Y573" s="49"/>
      <c r="Z573" s="200"/>
      <c r="AA573" s="52"/>
      <c r="AB573" s="52"/>
      <c r="AC573" s="52"/>
      <c r="AD573" s="52"/>
      <c r="AE573" s="52"/>
      <c r="AF573" s="52"/>
      <c r="AG573" s="58"/>
      <c r="AH573" s="52"/>
      <c r="AI573" s="56"/>
      <c r="AJ573" s="34"/>
    </row>
    <row r="574" spans="1:36" s="33" customFormat="1" ht="34.5" hidden="1" customHeight="1">
      <c r="A574" s="33" t="s">
        <v>75</v>
      </c>
      <c r="B574" s="39" t="s">
        <v>162</v>
      </c>
      <c r="C574" s="66"/>
      <c r="D574" s="87" t="s">
        <v>1378</v>
      </c>
      <c r="E574" s="49" t="s">
        <v>69</v>
      </c>
      <c r="F574" s="53"/>
      <c r="G574" s="52" t="s">
        <v>1379</v>
      </c>
      <c r="H574" s="53"/>
      <c r="I574" s="54" t="s">
        <v>4</v>
      </c>
      <c r="J574" s="178"/>
      <c r="K574" s="178"/>
      <c r="L574" s="178"/>
      <c r="M574" s="178"/>
      <c r="N574" s="178"/>
      <c r="O574" s="178"/>
      <c r="P574" s="178"/>
      <c r="Q574" s="178"/>
      <c r="R574" s="178"/>
      <c r="S574" s="178"/>
      <c r="T574" s="178"/>
      <c r="U574" s="178"/>
      <c r="V574" s="178"/>
      <c r="W574" s="55"/>
      <c r="X574" s="55"/>
      <c r="Y574" s="49"/>
      <c r="Z574" s="200"/>
      <c r="AA574" s="52"/>
      <c r="AB574" s="52"/>
      <c r="AC574" s="52"/>
      <c r="AD574" s="52"/>
      <c r="AE574" s="52"/>
      <c r="AF574" s="52"/>
      <c r="AG574" s="58"/>
      <c r="AH574" s="52"/>
      <c r="AI574" s="56"/>
      <c r="AJ574" s="34"/>
    </row>
    <row r="575" spans="1:36" s="33" customFormat="1" ht="34.5" hidden="1" customHeight="1">
      <c r="A575" s="33" t="s">
        <v>75</v>
      </c>
      <c r="B575" s="39" t="s">
        <v>162</v>
      </c>
      <c r="C575" s="66"/>
      <c r="D575" s="87" t="s">
        <v>1380</v>
      </c>
      <c r="E575" s="49" t="s">
        <v>69</v>
      </c>
      <c r="F575" s="53"/>
      <c r="G575" s="52" t="s">
        <v>1381</v>
      </c>
      <c r="H575" s="53"/>
      <c r="I575" s="54" t="s">
        <v>4</v>
      </c>
      <c r="J575" s="178"/>
      <c r="K575" s="178"/>
      <c r="L575" s="178"/>
      <c r="M575" s="178"/>
      <c r="N575" s="178"/>
      <c r="O575" s="178"/>
      <c r="P575" s="178"/>
      <c r="Q575" s="178"/>
      <c r="R575" s="178"/>
      <c r="S575" s="178"/>
      <c r="T575" s="178"/>
      <c r="U575" s="178"/>
      <c r="V575" s="178"/>
      <c r="W575" s="55"/>
      <c r="X575" s="55"/>
      <c r="Y575" s="49"/>
      <c r="Z575" s="200"/>
      <c r="AA575" s="52"/>
      <c r="AB575" s="52"/>
      <c r="AC575" s="52"/>
      <c r="AD575" s="52"/>
      <c r="AE575" s="52"/>
      <c r="AF575" s="52"/>
      <c r="AG575" s="58"/>
      <c r="AH575" s="52"/>
      <c r="AI575" s="56"/>
      <c r="AJ575" s="34"/>
    </row>
    <row r="576" spans="1:36" s="33" customFormat="1" ht="44.1" hidden="1" customHeight="1">
      <c r="A576" s="33" t="s">
        <v>75</v>
      </c>
      <c r="C576" s="66"/>
      <c r="D576" s="87" t="s">
        <v>1382</v>
      </c>
      <c r="E576" s="49"/>
      <c r="F576" s="184" t="s">
        <v>1096</v>
      </c>
      <c r="G576" s="205" t="s">
        <v>1383</v>
      </c>
      <c r="H576" s="53"/>
      <c r="I576" s="54" t="s">
        <v>4</v>
      </c>
      <c r="J576" s="178"/>
      <c r="K576" s="178"/>
      <c r="L576" s="178"/>
      <c r="M576" s="178"/>
      <c r="N576" s="178"/>
      <c r="O576" s="178"/>
      <c r="P576" s="178"/>
      <c r="Q576" s="178"/>
      <c r="R576" s="178"/>
      <c r="S576" s="178"/>
      <c r="T576" s="178"/>
      <c r="U576" s="178"/>
      <c r="V576" s="178"/>
      <c r="W576" s="55"/>
      <c r="X576" s="55"/>
      <c r="Y576" s="49"/>
      <c r="Z576" s="200"/>
      <c r="AA576" s="52"/>
      <c r="AB576" s="52"/>
      <c r="AC576" s="52"/>
      <c r="AD576" s="52"/>
      <c r="AE576" s="52"/>
      <c r="AF576" s="52"/>
      <c r="AG576" s="58"/>
      <c r="AH576" s="52"/>
      <c r="AI576" s="56"/>
      <c r="AJ576" s="34"/>
    </row>
    <row r="577" spans="1:36" ht="55.35" hidden="1" customHeight="1">
      <c r="A577" s="33" t="s">
        <v>75</v>
      </c>
      <c r="B577" s="33"/>
      <c r="C577" s="248"/>
      <c r="D577" s="224" t="s">
        <v>1384</v>
      </c>
      <c r="E577" s="228"/>
      <c r="F577" s="176"/>
      <c r="G577" s="163" t="s">
        <v>1385</v>
      </c>
      <c r="H577" s="164" t="s">
        <v>22</v>
      </c>
      <c r="I577" s="165"/>
      <c r="W577" s="166"/>
      <c r="X577" s="166"/>
      <c r="Y577" s="167"/>
      <c r="Z577" s="196"/>
      <c r="AA577" s="168"/>
      <c r="AB577" s="168"/>
      <c r="AC577" s="168"/>
      <c r="AD577" s="168"/>
      <c r="AE577" s="168"/>
      <c r="AF577" s="163"/>
      <c r="AG577" s="169"/>
      <c r="AH577" s="168"/>
      <c r="AI577" s="170"/>
    </row>
    <row r="578" spans="1:36" s="33" customFormat="1" ht="48" hidden="1" customHeight="1">
      <c r="A578" s="33" t="s">
        <v>75</v>
      </c>
      <c r="B578" s="39" t="s">
        <v>162</v>
      </c>
      <c r="C578" s="49"/>
      <c r="D578" s="87" t="s">
        <v>1386</v>
      </c>
      <c r="E578" s="49" t="s">
        <v>69</v>
      </c>
      <c r="F578" s="53"/>
      <c r="G578" s="52" t="s">
        <v>1387</v>
      </c>
      <c r="H578" s="53"/>
      <c r="I578" s="54" t="s">
        <v>4</v>
      </c>
      <c r="J578" s="178"/>
      <c r="K578" s="178"/>
      <c r="L578" s="178"/>
      <c r="M578" s="178"/>
      <c r="N578" s="178"/>
      <c r="O578" s="178"/>
      <c r="P578" s="178"/>
      <c r="Q578" s="178"/>
      <c r="R578" s="178"/>
      <c r="S578" s="178"/>
      <c r="T578" s="178"/>
      <c r="U578" s="178"/>
      <c r="V578" s="178"/>
      <c r="W578" s="55"/>
      <c r="X578" s="55"/>
      <c r="Y578" s="49"/>
      <c r="Z578" s="200"/>
      <c r="AA578" s="52"/>
      <c r="AB578" s="52"/>
      <c r="AC578" s="52"/>
      <c r="AD578" s="52"/>
      <c r="AE578" s="52"/>
      <c r="AF578" s="52"/>
      <c r="AG578" s="58"/>
      <c r="AH578" s="52"/>
      <c r="AI578" s="56"/>
      <c r="AJ578" s="34"/>
    </row>
    <row r="579" spans="1:36" s="33" customFormat="1" ht="34.5" hidden="1" customHeight="1">
      <c r="A579" s="33" t="s">
        <v>75</v>
      </c>
      <c r="B579" s="39" t="s">
        <v>162</v>
      </c>
      <c r="C579" s="66"/>
      <c r="D579" s="87" t="s">
        <v>1388</v>
      </c>
      <c r="E579" s="49" t="s">
        <v>69</v>
      </c>
      <c r="F579" s="53"/>
      <c r="G579" s="52" t="s">
        <v>1389</v>
      </c>
      <c r="H579" s="53"/>
      <c r="I579" s="54" t="s">
        <v>4</v>
      </c>
      <c r="J579" s="178"/>
      <c r="K579" s="178"/>
      <c r="L579" s="178"/>
      <c r="M579" s="178"/>
      <c r="N579" s="178"/>
      <c r="O579" s="178"/>
      <c r="P579" s="178"/>
      <c r="Q579" s="178"/>
      <c r="R579" s="178"/>
      <c r="S579" s="178"/>
      <c r="T579" s="178"/>
      <c r="U579" s="178"/>
      <c r="V579" s="178"/>
      <c r="W579" s="55"/>
      <c r="X579" s="55"/>
      <c r="Y579" s="49"/>
      <c r="Z579" s="200"/>
      <c r="AA579" s="52"/>
      <c r="AB579" s="52"/>
      <c r="AC579" s="52"/>
      <c r="AD579" s="52"/>
      <c r="AE579" s="52"/>
      <c r="AF579" s="52"/>
      <c r="AG579" s="58"/>
      <c r="AH579" s="52"/>
      <c r="AI579" s="56"/>
      <c r="AJ579" s="34"/>
    </row>
    <row r="580" spans="1:36" ht="27.6" hidden="1">
      <c r="A580" s="33" t="s">
        <v>75</v>
      </c>
      <c r="C580" s="248"/>
      <c r="D580" s="224" t="s">
        <v>1390</v>
      </c>
      <c r="E580" s="228"/>
      <c r="F580" s="176"/>
      <c r="G580" s="163" t="s">
        <v>1391</v>
      </c>
      <c r="H580" s="164" t="s">
        <v>22</v>
      </c>
      <c r="I580" s="165"/>
      <c r="W580" s="166"/>
      <c r="X580" s="166"/>
      <c r="Y580" s="167"/>
      <c r="Z580" s="196"/>
      <c r="AA580" s="168"/>
      <c r="AB580" s="168"/>
      <c r="AC580" s="168"/>
      <c r="AD580" s="168"/>
      <c r="AE580" s="168"/>
      <c r="AF580" s="163"/>
      <c r="AG580" s="169"/>
      <c r="AH580" s="168"/>
      <c r="AI580" s="170"/>
    </row>
    <row r="581" spans="1:36" s="33" customFormat="1" ht="34.5" hidden="1" customHeight="1">
      <c r="A581" s="33" t="s">
        <v>75</v>
      </c>
      <c r="B581" s="39" t="s">
        <v>162</v>
      </c>
      <c r="C581" s="49"/>
      <c r="D581" s="87" t="s">
        <v>1392</v>
      </c>
      <c r="E581" s="49" t="s">
        <v>69</v>
      </c>
      <c r="F581" s="53"/>
      <c r="G581" s="52" t="s">
        <v>1393</v>
      </c>
      <c r="H581" s="53"/>
      <c r="I581" s="54" t="s">
        <v>71</v>
      </c>
      <c r="J581" s="178"/>
      <c r="K581" s="178"/>
      <c r="L581" s="178"/>
      <c r="M581" s="178"/>
      <c r="N581" s="178"/>
      <c r="O581" s="178"/>
      <c r="P581" s="178"/>
      <c r="Q581" s="178"/>
      <c r="R581" s="178"/>
      <c r="S581" s="178"/>
      <c r="T581" s="178"/>
      <c r="U581" s="178"/>
      <c r="V581" s="178"/>
      <c r="W581" s="55"/>
      <c r="X581" s="55"/>
      <c r="Y581" s="49"/>
      <c r="Z581" s="200" t="s">
        <v>1394</v>
      </c>
      <c r="AA581" s="52"/>
      <c r="AB581" s="52"/>
      <c r="AC581" s="52"/>
      <c r="AD581" s="52"/>
      <c r="AE581" s="52"/>
      <c r="AF581" s="52"/>
      <c r="AG581" s="58"/>
      <c r="AH581" s="52"/>
      <c r="AI581" s="56"/>
      <c r="AJ581" s="34"/>
    </row>
    <row r="582" spans="1:36" ht="41.4" hidden="1">
      <c r="A582" s="33" t="s">
        <v>75</v>
      </c>
      <c r="C582" s="248"/>
      <c r="D582" s="224" t="s">
        <v>1395</v>
      </c>
      <c r="E582" s="228"/>
      <c r="F582" s="176"/>
      <c r="G582" s="163" t="s">
        <v>1396</v>
      </c>
      <c r="H582" s="164" t="s">
        <v>22</v>
      </c>
      <c r="I582" s="165"/>
      <c r="W582" s="166"/>
      <c r="X582" s="166"/>
      <c r="Y582" s="167"/>
      <c r="Z582" s="196"/>
      <c r="AA582" s="168"/>
      <c r="AB582" s="168"/>
      <c r="AC582" s="168"/>
      <c r="AD582" s="168"/>
      <c r="AE582" s="168"/>
      <c r="AF582" s="163"/>
      <c r="AG582" s="169"/>
      <c r="AH582" s="168"/>
      <c r="AI582" s="170"/>
    </row>
    <row r="583" spans="1:36" s="33" customFormat="1" ht="34.5" hidden="1" customHeight="1">
      <c r="A583" s="33" t="s">
        <v>75</v>
      </c>
      <c r="B583" s="39" t="s">
        <v>162</v>
      </c>
      <c r="C583" s="49"/>
      <c r="D583" s="87" t="s">
        <v>1397</v>
      </c>
      <c r="E583" s="49" t="s">
        <v>69</v>
      </c>
      <c r="F583" s="53"/>
      <c r="G583" s="52" t="s">
        <v>1398</v>
      </c>
      <c r="H583" s="53"/>
      <c r="I583" s="54" t="s">
        <v>4</v>
      </c>
      <c r="J583" s="178"/>
      <c r="K583" s="178"/>
      <c r="L583" s="178"/>
      <c r="M583" s="178"/>
      <c r="N583" s="178"/>
      <c r="O583" s="178"/>
      <c r="P583" s="178"/>
      <c r="Q583" s="178"/>
      <c r="R583" s="178"/>
      <c r="S583" s="178"/>
      <c r="T583" s="178"/>
      <c r="U583" s="178"/>
      <c r="V583" s="178"/>
      <c r="W583" s="55"/>
      <c r="X583" s="55"/>
      <c r="Y583" s="49"/>
      <c r="Z583" s="200"/>
      <c r="AA583" s="52"/>
      <c r="AB583" s="52"/>
      <c r="AC583" s="52"/>
      <c r="AD583" s="52"/>
      <c r="AE583" s="52"/>
      <c r="AF583" s="52"/>
      <c r="AG583" s="58"/>
      <c r="AH583" s="52"/>
      <c r="AI583" s="56"/>
      <c r="AJ583" s="34"/>
    </row>
    <row r="584" spans="1:36" s="33" customFormat="1" ht="34.5" hidden="1" customHeight="1">
      <c r="A584" s="33" t="s">
        <v>75</v>
      </c>
      <c r="B584" s="39" t="s">
        <v>162</v>
      </c>
      <c r="C584" s="49"/>
      <c r="D584" s="87" t="s">
        <v>1399</v>
      </c>
      <c r="E584" s="49" t="s">
        <v>69</v>
      </c>
      <c r="F584" s="53"/>
      <c r="G584" s="52" t="s">
        <v>1400</v>
      </c>
      <c r="H584" s="53"/>
      <c r="I584" s="54" t="s">
        <v>4</v>
      </c>
      <c r="J584" s="178"/>
      <c r="K584" s="178"/>
      <c r="L584" s="178"/>
      <c r="M584" s="178"/>
      <c r="N584" s="178"/>
      <c r="O584" s="178"/>
      <c r="P584" s="178"/>
      <c r="Q584" s="178"/>
      <c r="R584" s="178"/>
      <c r="S584" s="178"/>
      <c r="T584" s="178"/>
      <c r="U584" s="178"/>
      <c r="V584" s="178"/>
      <c r="W584" s="55"/>
      <c r="X584" s="55"/>
      <c r="Y584" s="49"/>
      <c r="Z584" s="200"/>
      <c r="AA584" s="52"/>
      <c r="AB584" s="52"/>
      <c r="AC584" s="52"/>
      <c r="AD584" s="52"/>
      <c r="AE584" s="52"/>
      <c r="AF584" s="52"/>
      <c r="AG584" s="58"/>
      <c r="AH584" s="52"/>
      <c r="AI584" s="56"/>
      <c r="AJ584" s="34"/>
    </row>
    <row r="585" spans="1:36" s="33" customFormat="1" ht="34.5" hidden="1" customHeight="1">
      <c r="A585" s="33" t="s">
        <v>75</v>
      </c>
      <c r="B585" s="39" t="s">
        <v>162</v>
      </c>
      <c r="C585" s="49"/>
      <c r="D585" s="87" t="s">
        <v>1401</v>
      </c>
      <c r="E585" s="49" t="s">
        <v>69</v>
      </c>
      <c r="F585" s="53"/>
      <c r="G585" s="52" t="s">
        <v>1402</v>
      </c>
      <c r="H585" s="53"/>
      <c r="I585" s="54" t="s">
        <v>4</v>
      </c>
      <c r="J585" s="178"/>
      <c r="K585" s="178"/>
      <c r="L585" s="178"/>
      <c r="M585" s="178"/>
      <c r="N585" s="178"/>
      <c r="O585" s="178"/>
      <c r="P585" s="178"/>
      <c r="Q585" s="178"/>
      <c r="R585" s="178"/>
      <c r="S585" s="178"/>
      <c r="T585" s="178"/>
      <c r="U585" s="178"/>
      <c r="V585" s="178"/>
      <c r="W585" s="55"/>
      <c r="X585" s="55"/>
      <c r="Y585" s="49"/>
      <c r="Z585" s="200"/>
      <c r="AA585" s="52"/>
      <c r="AB585" s="52"/>
      <c r="AC585" s="52"/>
      <c r="AD585" s="52"/>
      <c r="AE585" s="52"/>
      <c r="AF585" s="52"/>
      <c r="AG585" s="58"/>
      <c r="AH585" s="52"/>
      <c r="AI585" s="56"/>
      <c r="AJ585" s="34"/>
    </row>
    <row r="586" spans="1:36" s="33" customFormat="1" ht="34.5" hidden="1" customHeight="1">
      <c r="A586" s="33" t="s">
        <v>75</v>
      </c>
      <c r="B586" s="39" t="s">
        <v>162</v>
      </c>
      <c r="C586" s="49"/>
      <c r="D586" s="87" t="s">
        <v>1403</v>
      </c>
      <c r="E586" s="49" t="s">
        <v>69</v>
      </c>
      <c r="F586" s="53"/>
      <c r="G586" s="52" t="s">
        <v>1404</v>
      </c>
      <c r="H586" s="53"/>
      <c r="I586" s="54" t="s">
        <v>4</v>
      </c>
      <c r="J586" s="178"/>
      <c r="K586" s="178"/>
      <c r="L586" s="178"/>
      <c r="M586" s="178"/>
      <c r="N586" s="178"/>
      <c r="O586" s="178"/>
      <c r="P586" s="178"/>
      <c r="Q586" s="178"/>
      <c r="R586" s="178"/>
      <c r="S586" s="178"/>
      <c r="T586" s="178"/>
      <c r="U586" s="178"/>
      <c r="V586" s="178"/>
      <c r="W586" s="55"/>
      <c r="X586" s="55"/>
      <c r="Y586" s="49"/>
      <c r="Z586" s="200"/>
      <c r="AA586" s="52"/>
      <c r="AB586" s="52"/>
      <c r="AC586" s="52"/>
      <c r="AD586" s="52"/>
      <c r="AE586" s="52"/>
      <c r="AF586" s="52"/>
      <c r="AG586" s="58"/>
      <c r="AH586" s="52"/>
      <c r="AI586" s="56"/>
      <c r="AJ586" s="34"/>
    </row>
    <row r="587" spans="1:36" s="33" customFormat="1" ht="82.35" hidden="1" customHeight="1">
      <c r="A587" s="39" t="s">
        <v>75</v>
      </c>
      <c r="B587" s="39"/>
      <c r="C587" s="49"/>
      <c r="D587" s="87" t="s">
        <v>1405</v>
      </c>
      <c r="E587" s="49"/>
      <c r="F587" s="302" t="s">
        <v>1096</v>
      </c>
      <c r="G587" s="209" t="s">
        <v>1406</v>
      </c>
      <c r="H587" s="53"/>
      <c r="I587" s="54"/>
      <c r="J587" s="178"/>
      <c r="K587" s="178"/>
      <c r="L587" s="178"/>
      <c r="M587" s="178"/>
      <c r="N587" s="178"/>
      <c r="O587" s="178"/>
      <c r="P587" s="178"/>
      <c r="Q587" s="178"/>
      <c r="R587" s="178"/>
      <c r="S587" s="178"/>
      <c r="T587" s="178"/>
      <c r="U587" s="178"/>
      <c r="V587" s="178"/>
      <c r="W587" s="55"/>
      <c r="X587" s="55"/>
      <c r="Y587" s="49"/>
      <c r="Z587" s="200"/>
      <c r="AA587" s="52"/>
      <c r="AB587" s="52"/>
      <c r="AC587" s="52"/>
      <c r="AD587" s="52"/>
      <c r="AE587" s="52"/>
      <c r="AF587" s="52"/>
      <c r="AG587" s="58"/>
      <c r="AH587" s="52"/>
      <c r="AI587" s="241"/>
      <c r="AJ587" s="34"/>
    </row>
    <row r="588" spans="1:36" s="161" customFormat="1" ht="228" hidden="1" customHeight="1">
      <c r="A588" s="33"/>
      <c r="B588" s="33"/>
      <c r="C588" s="162"/>
      <c r="D588" s="177" t="s">
        <v>1407</v>
      </c>
      <c r="E588" s="175"/>
      <c r="F588" s="176" t="s">
        <v>1408</v>
      </c>
      <c r="G588" s="163" t="s">
        <v>1409</v>
      </c>
      <c r="H588" s="164" t="s">
        <v>22</v>
      </c>
      <c r="I588" s="165" t="s">
        <v>1410</v>
      </c>
      <c r="J588" s="178"/>
      <c r="K588" s="178"/>
      <c r="L588" s="178"/>
      <c r="M588" s="178"/>
      <c r="N588" s="178"/>
      <c r="O588" s="178"/>
      <c r="P588" s="178"/>
      <c r="Q588" s="178"/>
      <c r="R588" s="178"/>
      <c r="S588" s="178"/>
      <c r="T588" s="178"/>
      <c r="U588" s="178"/>
      <c r="V588" s="178"/>
      <c r="W588" s="166"/>
      <c r="X588" s="166"/>
      <c r="Y588" s="167"/>
      <c r="Z588" s="196"/>
      <c r="AA588" s="168"/>
      <c r="AB588" s="168"/>
      <c r="AC588" s="168"/>
      <c r="AD588" s="168"/>
      <c r="AE588" s="168"/>
      <c r="AF588" s="163"/>
      <c r="AG588" s="169"/>
      <c r="AH588" s="168"/>
      <c r="AI588" s="221"/>
      <c r="AJ588" s="190"/>
    </row>
    <row r="589" spans="1:36" s="161" customFormat="1" hidden="1">
      <c r="A589" s="33"/>
      <c r="B589" s="33"/>
      <c r="C589" s="49"/>
      <c r="D589" s="87" t="s">
        <v>1411</v>
      </c>
      <c r="E589" s="87"/>
      <c r="F589" s="51"/>
      <c r="G589" s="57"/>
      <c r="H589" s="53"/>
      <c r="I589" s="54"/>
      <c r="J589" s="178"/>
      <c r="K589" s="178"/>
      <c r="L589" s="178"/>
      <c r="M589" s="178"/>
      <c r="N589" s="178"/>
      <c r="O589" s="178"/>
      <c r="P589" s="178"/>
      <c r="Q589" s="178"/>
      <c r="R589" s="178"/>
      <c r="S589" s="178"/>
      <c r="T589" s="178"/>
      <c r="U589" s="178"/>
      <c r="V589" s="178"/>
      <c r="W589" s="55"/>
      <c r="X589" s="55"/>
      <c r="Y589" s="49"/>
      <c r="Z589" s="200"/>
      <c r="AA589" s="52"/>
      <c r="AB589" s="52"/>
      <c r="AC589" s="52"/>
      <c r="AD589" s="52"/>
      <c r="AE589" s="52"/>
      <c r="AF589" s="52"/>
      <c r="AG589" s="58"/>
      <c r="AH589" s="52"/>
      <c r="AI589" s="241"/>
      <c r="AJ589" s="190"/>
    </row>
    <row r="590" spans="1:36" s="161" customFormat="1" ht="179.4" hidden="1">
      <c r="A590" s="33"/>
      <c r="B590" s="33"/>
      <c r="C590" s="162"/>
      <c r="D590" s="177" t="s">
        <v>1412</v>
      </c>
      <c r="E590" s="175"/>
      <c r="F590" s="176" t="s">
        <v>1413</v>
      </c>
      <c r="G590" s="163" t="s">
        <v>1414</v>
      </c>
      <c r="H590" s="164" t="s">
        <v>22</v>
      </c>
      <c r="I590" s="165" t="s">
        <v>1410</v>
      </c>
      <c r="J590" s="178"/>
      <c r="K590" s="178"/>
      <c r="L590" s="178"/>
      <c r="M590" s="178"/>
      <c r="N590" s="178"/>
      <c r="O590" s="178"/>
      <c r="P590" s="178"/>
      <c r="Q590" s="178"/>
      <c r="R590" s="178"/>
      <c r="S590" s="178"/>
      <c r="T590" s="178"/>
      <c r="U590" s="178"/>
      <c r="V590" s="178"/>
      <c r="W590" s="166"/>
      <c r="X590" s="166"/>
      <c r="Y590" s="167"/>
      <c r="Z590" s="196"/>
      <c r="AA590" s="168"/>
      <c r="AB590" s="168"/>
      <c r="AC590" s="168"/>
      <c r="AD590" s="168"/>
      <c r="AE590" s="168"/>
      <c r="AF590" s="163"/>
      <c r="AG590" s="169"/>
      <c r="AH590" s="168"/>
      <c r="AI590" s="221"/>
      <c r="AJ590" s="190"/>
    </row>
    <row r="591" spans="1:36" s="161" customFormat="1" hidden="1">
      <c r="A591" s="33"/>
      <c r="B591" s="33"/>
      <c r="C591" s="49"/>
      <c r="D591" s="87" t="s">
        <v>1415</v>
      </c>
      <c r="E591" s="87"/>
      <c r="F591" s="51"/>
      <c r="G591" s="57"/>
      <c r="H591" s="53"/>
      <c r="I591" s="54"/>
      <c r="J591" s="178"/>
      <c r="K591" s="178"/>
      <c r="L591" s="178"/>
      <c r="M591" s="178"/>
      <c r="N591" s="178"/>
      <c r="O591" s="178"/>
      <c r="P591" s="178"/>
      <c r="Q591" s="178"/>
      <c r="R591" s="178"/>
      <c r="S591" s="178"/>
      <c r="T591" s="178"/>
      <c r="U591" s="178"/>
      <c r="V591" s="178"/>
      <c r="W591" s="55"/>
      <c r="X591" s="55"/>
      <c r="Y591" s="49"/>
      <c r="Z591" s="200"/>
      <c r="AA591" s="52"/>
      <c r="AB591" s="52"/>
      <c r="AC591" s="52"/>
      <c r="AD591" s="52"/>
      <c r="AE591" s="52"/>
      <c r="AF591" s="52"/>
      <c r="AG591" s="58"/>
      <c r="AH591" s="52"/>
      <c r="AI591" s="241"/>
      <c r="AJ591" s="190"/>
    </row>
    <row r="592" spans="1:36" s="33" customFormat="1" ht="27.6" hidden="1">
      <c r="C592" s="162"/>
      <c r="D592" s="177" t="s">
        <v>1416</v>
      </c>
      <c r="E592" s="175"/>
      <c r="F592" s="176" t="s">
        <v>1417</v>
      </c>
      <c r="G592" s="163" t="s">
        <v>1418</v>
      </c>
      <c r="H592" s="164" t="s">
        <v>22</v>
      </c>
      <c r="I592" s="165" t="s">
        <v>1410</v>
      </c>
      <c r="J592" s="178"/>
      <c r="K592" s="178"/>
      <c r="L592" s="178"/>
      <c r="M592" s="178"/>
      <c r="N592" s="178"/>
      <c r="O592" s="178"/>
      <c r="P592" s="178"/>
      <c r="Q592" s="178"/>
      <c r="R592" s="178"/>
      <c r="S592" s="178"/>
      <c r="T592" s="178"/>
      <c r="U592" s="178"/>
      <c r="V592" s="178"/>
      <c r="W592" s="166"/>
      <c r="X592" s="166"/>
      <c r="Y592" s="167"/>
      <c r="Z592" s="196"/>
      <c r="AA592" s="168"/>
      <c r="AB592" s="168"/>
      <c r="AC592" s="168"/>
      <c r="AD592" s="168"/>
      <c r="AE592" s="168"/>
      <c r="AF592" s="163"/>
      <c r="AG592" s="169"/>
      <c r="AH592" s="168"/>
      <c r="AI592" s="221"/>
      <c r="AJ592" s="34"/>
    </row>
    <row r="593" spans="2:36" s="33" customFormat="1" hidden="1">
      <c r="C593" s="49"/>
      <c r="D593" s="87" t="s">
        <v>1419</v>
      </c>
      <c r="E593" s="87"/>
      <c r="F593" s="51"/>
      <c r="G593" s="57"/>
      <c r="H593" s="53"/>
      <c r="I593" s="54"/>
      <c r="J593" s="178"/>
      <c r="K593" s="178"/>
      <c r="L593" s="178"/>
      <c r="M593" s="178"/>
      <c r="N593" s="178"/>
      <c r="O593" s="178"/>
      <c r="P593" s="178"/>
      <c r="Q593" s="178"/>
      <c r="R593" s="178"/>
      <c r="S593" s="178"/>
      <c r="T593" s="178"/>
      <c r="U593" s="178"/>
      <c r="V593" s="178"/>
      <c r="W593" s="55"/>
      <c r="X593" s="55"/>
      <c r="Y593" s="49"/>
      <c r="Z593" s="200"/>
      <c r="AA593" s="52"/>
      <c r="AB593" s="52"/>
      <c r="AC593" s="52"/>
      <c r="AD593" s="52"/>
      <c r="AE593" s="52"/>
      <c r="AF593" s="52"/>
      <c r="AG593" s="58"/>
      <c r="AH593" s="52"/>
      <c r="AI593" s="241"/>
      <c r="AJ593" s="34"/>
    </row>
    <row r="594" spans="2:36" s="33" customFormat="1" ht="27.6" hidden="1">
      <c r="C594" s="162"/>
      <c r="D594" s="177" t="s">
        <v>1420</v>
      </c>
      <c r="E594" s="175"/>
      <c r="F594" s="176"/>
      <c r="G594" s="163" t="s">
        <v>1421</v>
      </c>
      <c r="H594" s="164" t="s">
        <v>22</v>
      </c>
      <c r="I594" s="165" t="s">
        <v>1410</v>
      </c>
      <c r="J594" s="178"/>
      <c r="K594" s="178"/>
      <c r="L594" s="178"/>
      <c r="M594" s="178"/>
      <c r="N594" s="178"/>
      <c r="O594" s="178"/>
      <c r="P594" s="178"/>
      <c r="Q594" s="178"/>
      <c r="R594" s="178"/>
      <c r="S594" s="178"/>
      <c r="T594" s="178"/>
      <c r="U594" s="178"/>
      <c r="V594" s="178"/>
      <c r="W594" s="166"/>
      <c r="X594" s="166"/>
      <c r="Y594" s="167"/>
      <c r="Z594" s="196"/>
      <c r="AA594" s="168"/>
      <c r="AB594" s="168"/>
      <c r="AC594" s="168"/>
      <c r="AD594" s="168"/>
      <c r="AE594" s="168"/>
      <c r="AF594" s="163"/>
      <c r="AG594" s="169"/>
      <c r="AH594" s="168"/>
      <c r="AI594" s="221"/>
      <c r="AJ594" s="34"/>
    </row>
    <row r="595" spans="2:36" s="33" customFormat="1" ht="101.1" hidden="1" customHeight="1">
      <c r="C595" s="49"/>
      <c r="D595" s="87" t="s">
        <v>1422</v>
      </c>
      <c r="E595" s="87"/>
      <c r="F595" s="51"/>
      <c r="G595" s="57"/>
      <c r="H595" s="53"/>
      <c r="I595" s="54"/>
      <c r="J595" s="178"/>
      <c r="K595" s="178"/>
      <c r="L595" s="178"/>
      <c r="M595" s="178"/>
      <c r="N595" s="178"/>
      <c r="O595" s="178"/>
      <c r="P595" s="178"/>
      <c r="Q595" s="178"/>
      <c r="R595" s="178"/>
      <c r="S595" s="178"/>
      <c r="T595" s="178"/>
      <c r="U595" s="178"/>
      <c r="V595" s="178"/>
      <c r="W595" s="55"/>
      <c r="X595" s="55"/>
      <c r="Y595" s="49"/>
      <c r="Z595" s="200"/>
      <c r="AA595" s="52"/>
      <c r="AB595" s="52"/>
      <c r="AC595" s="52"/>
      <c r="AD595" s="52"/>
      <c r="AE595" s="52"/>
      <c r="AF595" s="52"/>
      <c r="AG595" s="58"/>
      <c r="AH595" s="52"/>
      <c r="AI595" s="56"/>
      <c r="AJ595" s="34"/>
    </row>
    <row r="596" spans="2:36" s="33" customFormat="1" ht="27.6" hidden="1">
      <c r="C596" s="162"/>
      <c r="D596" s="177" t="s">
        <v>1423</v>
      </c>
      <c r="E596" s="175"/>
      <c r="F596" s="176" t="s">
        <v>1424</v>
      </c>
      <c r="G596" s="163" t="s">
        <v>1425</v>
      </c>
      <c r="H596" s="164" t="s">
        <v>22</v>
      </c>
      <c r="I596" s="165" t="s">
        <v>1410</v>
      </c>
      <c r="J596" s="178"/>
      <c r="K596" s="178"/>
      <c r="L596" s="178"/>
      <c r="M596" s="178"/>
      <c r="N596" s="178"/>
      <c r="O596" s="178"/>
      <c r="P596" s="178"/>
      <c r="Q596" s="178"/>
      <c r="R596" s="178"/>
      <c r="S596" s="178"/>
      <c r="T596" s="178"/>
      <c r="U596" s="178"/>
      <c r="V596" s="178"/>
      <c r="W596" s="166"/>
      <c r="X596" s="166"/>
      <c r="Y596" s="167"/>
      <c r="Z596" s="196"/>
      <c r="AA596" s="168"/>
      <c r="AB596" s="168"/>
      <c r="AC596" s="168"/>
      <c r="AD596" s="168"/>
      <c r="AE596" s="168"/>
      <c r="AF596" s="163"/>
      <c r="AG596" s="169"/>
      <c r="AH596" s="168"/>
      <c r="AI596" s="221"/>
    </row>
    <row r="597" spans="2:36" s="33" customFormat="1" hidden="1">
      <c r="C597" s="49"/>
      <c r="D597" s="87" t="s">
        <v>1426</v>
      </c>
      <c r="E597" s="87"/>
      <c r="F597" s="51"/>
      <c r="G597" s="57"/>
      <c r="H597" s="53"/>
      <c r="I597" s="54"/>
      <c r="J597" s="178"/>
      <c r="K597" s="178"/>
      <c r="L597" s="178"/>
      <c r="M597" s="178"/>
      <c r="N597" s="178"/>
      <c r="O597" s="178"/>
      <c r="P597" s="178"/>
      <c r="Q597" s="178"/>
      <c r="R597" s="178"/>
      <c r="S597" s="178"/>
      <c r="T597" s="178"/>
      <c r="U597" s="178"/>
      <c r="V597" s="178"/>
      <c r="W597" s="55"/>
      <c r="X597" s="55"/>
      <c r="Y597" s="49"/>
      <c r="Z597" s="200"/>
      <c r="AA597" s="52"/>
      <c r="AB597" s="52"/>
      <c r="AC597" s="52"/>
      <c r="AD597" s="52"/>
      <c r="AE597" s="52"/>
      <c r="AF597" s="52"/>
      <c r="AG597" s="58"/>
      <c r="AH597" s="52"/>
      <c r="AI597" s="241"/>
    </row>
    <row r="598" spans="2:36" s="33" customFormat="1" ht="82.8" hidden="1">
      <c r="C598" s="162"/>
      <c r="D598" s="177" t="s">
        <v>1427</v>
      </c>
      <c r="E598" s="175"/>
      <c r="F598" s="176" t="s">
        <v>1428</v>
      </c>
      <c r="G598" s="163" t="s">
        <v>1429</v>
      </c>
      <c r="H598" s="164" t="s">
        <v>22</v>
      </c>
      <c r="I598" s="165" t="s">
        <v>1410</v>
      </c>
      <c r="J598" s="178"/>
      <c r="K598" s="178"/>
      <c r="L598" s="178"/>
      <c r="M598" s="178"/>
      <c r="N598" s="178"/>
      <c r="O598" s="178"/>
      <c r="P598" s="178"/>
      <c r="Q598" s="178"/>
      <c r="R598" s="178"/>
      <c r="S598" s="178"/>
      <c r="T598" s="178"/>
      <c r="U598" s="178"/>
      <c r="V598" s="178"/>
      <c r="W598" s="166"/>
      <c r="X598" s="166"/>
      <c r="Y598" s="167"/>
      <c r="Z598" s="196"/>
      <c r="AA598" s="168"/>
      <c r="AB598" s="168"/>
      <c r="AC598" s="168"/>
      <c r="AD598" s="168"/>
      <c r="AE598" s="168"/>
      <c r="AF598" s="163"/>
      <c r="AG598" s="169"/>
      <c r="AH598" s="168"/>
      <c r="AI598" s="221"/>
    </row>
    <row r="599" spans="2:36" s="33" customFormat="1" hidden="1">
      <c r="C599" s="49"/>
      <c r="D599" s="87" t="s">
        <v>1430</v>
      </c>
      <c r="E599" s="87"/>
      <c r="F599" s="51"/>
      <c r="G599" s="57"/>
      <c r="H599" s="53"/>
      <c r="I599" s="54"/>
      <c r="J599" s="178"/>
      <c r="K599" s="178"/>
      <c r="L599" s="178"/>
      <c r="M599" s="178"/>
      <c r="N599" s="178"/>
      <c r="O599" s="178"/>
      <c r="P599" s="178"/>
      <c r="Q599" s="178"/>
      <c r="R599" s="178"/>
      <c r="S599" s="178"/>
      <c r="T599" s="178"/>
      <c r="U599" s="178"/>
      <c r="V599" s="178"/>
      <c r="W599" s="55"/>
      <c r="X599" s="55"/>
      <c r="Y599" s="49"/>
      <c r="Z599" s="200"/>
      <c r="AA599" s="52"/>
      <c r="AB599" s="52"/>
      <c r="AC599" s="52"/>
      <c r="AD599" s="52"/>
      <c r="AE599" s="52"/>
      <c r="AF599" s="52"/>
      <c r="AG599" s="58"/>
      <c r="AH599" s="52"/>
      <c r="AI599" s="241"/>
    </row>
    <row r="600" spans="2:36" s="33" customFormat="1" ht="27.6" hidden="1">
      <c r="C600" s="162"/>
      <c r="D600" s="177" t="s">
        <v>1431</v>
      </c>
      <c r="E600" s="175"/>
      <c r="F600" s="176" t="s">
        <v>1432</v>
      </c>
      <c r="G600" s="163" t="s">
        <v>1433</v>
      </c>
      <c r="H600" s="164" t="s">
        <v>22</v>
      </c>
      <c r="I600" s="165" t="s">
        <v>1410</v>
      </c>
      <c r="J600" s="178"/>
      <c r="K600" s="178"/>
      <c r="L600" s="178"/>
      <c r="M600" s="178"/>
      <c r="N600" s="178"/>
      <c r="O600" s="178"/>
      <c r="P600" s="178"/>
      <c r="Q600" s="178"/>
      <c r="R600" s="178"/>
      <c r="S600" s="178"/>
      <c r="T600" s="178"/>
      <c r="U600" s="178"/>
      <c r="V600" s="178"/>
      <c r="W600" s="166"/>
      <c r="X600" s="166"/>
      <c r="Y600" s="167"/>
      <c r="Z600" s="196"/>
      <c r="AA600" s="168"/>
      <c r="AB600" s="168"/>
      <c r="AC600" s="168"/>
      <c r="AD600" s="168"/>
      <c r="AE600" s="168"/>
      <c r="AF600" s="163"/>
      <c r="AG600" s="169"/>
      <c r="AH600" s="168"/>
      <c r="AI600" s="221"/>
    </row>
    <row r="601" spans="2:36" s="33" customFormat="1" hidden="1">
      <c r="C601" s="49"/>
      <c r="D601" s="87" t="s">
        <v>1434</v>
      </c>
      <c r="E601" s="87"/>
      <c r="F601" s="53"/>
      <c r="G601" s="34"/>
      <c r="H601" s="53"/>
      <c r="I601" s="54"/>
      <c r="J601" s="178"/>
      <c r="K601" s="178"/>
      <c r="L601" s="178"/>
      <c r="M601" s="178"/>
      <c r="N601" s="178"/>
      <c r="O601" s="178"/>
      <c r="P601" s="178"/>
      <c r="Q601" s="178"/>
      <c r="R601" s="178"/>
      <c r="S601" s="178"/>
      <c r="T601" s="178"/>
      <c r="U601" s="178"/>
      <c r="V601" s="178"/>
      <c r="W601" s="55"/>
      <c r="X601" s="55"/>
      <c r="Y601" s="49"/>
      <c r="Z601" s="200"/>
      <c r="AA601" s="52"/>
      <c r="AB601" s="52"/>
      <c r="AC601" s="52"/>
      <c r="AD601" s="52"/>
      <c r="AE601" s="52"/>
      <c r="AF601" s="52"/>
      <c r="AG601" s="58"/>
      <c r="AH601" s="52"/>
      <c r="AI601" s="241"/>
    </row>
    <row r="602" spans="2:36">
      <c r="C602" s="66"/>
      <c r="D602" s="177" t="s">
        <v>1435</v>
      </c>
      <c r="E602" s="177"/>
      <c r="F602" s="177"/>
      <c r="G602" s="177"/>
      <c r="H602" s="177"/>
      <c r="I602" s="177"/>
    </row>
    <row r="603" spans="2:36" ht="27.6">
      <c r="B603" s="39" t="s">
        <v>421</v>
      </c>
      <c r="C603" s="66"/>
      <c r="D603" s="87" t="s">
        <v>1436</v>
      </c>
      <c r="E603" s="67"/>
      <c r="G603" s="52" t="s">
        <v>1437</v>
      </c>
      <c r="I603" s="54" t="s">
        <v>92</v>
      </c>
    </row>
    <row r="604" spans="2:36">
      <c r="B604" s="39" t="s">
        <v>421</v>
      </c>
      <c r="C604" s="66"/>
      <c r="D604" s="87" t="s">
        <v>1438</v>
      </c>
      <c r="E604" s="67"/>
      <c r="G604" s="52" t="s">
        <v>1439</v>
      </c>
      <c r="I604" s="54" t="s">
        <v>92</v>
      </c>
    </row>
    <row r="605" spans="2:36" ht="27.6">
      <c r="B605" s="39" t="s">
        <v>421</v>
      </c>
      <c r="C605" s="66"/>
      <c r="D605" s="87" t="s">
        <v>1440</v>
      </c>
      <c r="E605" s="67"/>
      <c r="G605" s="52" t="s">
        <v>1441</v>
      </c>
      <c r="I605" s="54" t="s">
        <v>92</v>
      </c>
    </row>
    <row r="606" spans="2:36" ht="27.6">
      <c r="B606" s="39" t="s">
        <v>421</v>
      </c>
      <c r="C606" s="66"/>
      <c r="D606" s="87" t="s">
        <v>1442</v>
      </c>
      <c r="E606" s="67"/>
      <c r="G606" s="52" t="s">
        <v>1443</v>
      </c>
      <c r="I606" s="54" t="s">
        <v>92</v>
      </c>
    </row>
    <row r="607" spans="2:36" ht="110.4">
      <c r="B607" s="39" t="s">
        <v>421</v>
      </c>
      <c r="C607" s="66"/>
      <c r="D607" s="87" t="s">
        <v>1444</v>
      </c>
      <c r="E607" s="67"/>
      <c r="G607" s="52" t="s">
        <v>1445</v>
      </c>
      <c r="I607" s="54" t="s">
        <v>92</v>
      </c>
    </row>
    <row r="608" spans="2:36">
      <c r="B608" s="39" t="s">
        <v>421</v>
      </c>
      <c r="C608" s="66"/>
      <c r="D608" s="87" t="s">
        <v>1446</v>
      </c>
      <c r="E608" s="67"/>
      <c r="G608" s="52" t="s">
        <v>1447</v>
      </c>
      <c r="I608" s="54" t="s">
        <v>92</v>
      </c>
    </row>
    <row r="609" spans="2:9">
      <c r="B609" s="39" t="s">
        <v>421</v>
      </c>
      <c r="C609" s="66"/>
      <c r="D609" s="87" t="s">
        <v>1448</v>
      </c>
      <c r="E609" s="67"/>
      <c r="G609" s="52" t="s">
        <v>1449</v>
      </c>
      <c r="I609" s="54" t="s">
        <v>92</v>
      </c>
    </row>
    <row r="610" spans="2:9" ht="41.4">
      <c r="B610" s="39" t="s">
        <v>421</v>
      </c>
      <c r="C610" s="66"/>
      <c r="D610" s="87" t="s">
        <v>1450</v>
      </c>
      <c r="E610" s="67"/>
      <c r="G610" s="52" t="s">
        <v>1451</v>
      </c>
      <c r="I610" s="54" t="s">
        <v>92</v>
      </c>
    </row>
    <row r="611" spans="2:9" ht="41.4">
      <c r="B611" s="39" t="s">
        <v>421</v>
      </c>
      <c r="C611" s="66"/>
      <c r="D611" s="87" t="s">
        <v>1452</v>
      </c>
      <c r="E611" s="67"/>
      <c r="G611" s="52" t="s">
        <v>1453</v>
      </c>
      <c r="I611" s="54" t="s">
        <v>92</v>
      </c>
    </row>
    <row r="612" spans="2:9">
      <c r="C612" s="66"/>
      <c r="D612" s="67"/>
      <c r="E612" s="67"/>
    </row>
    <row r="613" spans="2:9">
      <c r="C613" s="66"/>
      <c r="D613" s="67"/>
      <c r="E613" s="67"/>
    </row>
    <row r="614" spans="2:9">
      <c r="C614" s="66"/>
      <c r="D614" s="67"/>
      <c r="E614" s="67"/>
    </row>
    <row r="615" spans="2:9">
      <c r="C615" s="66"/>
      <c r="D615" s="67"/>
      <c r="E615" s="67"/>
    </row>
    <row r="616" spans="2:9">
      <c r="C616" s="66"/>
      <c r="D616" s="67"/>
      <c r="E616" s="67"/>
    </row>
    <row r="617" spans="2:9">
      <c r="C617" s="66"/>
      <c r="D617" s="67"/>
      <c r="E617" s="67"/>
    </row>
    <row r="618" spans="2:9">
      <c r="C618" s="66"/>
      <c r="D618" s="67"/>
      <c r="E618" s="67"/>
    </row>
    <row r="619" spans="2:9">
      <c r="C619" s="66"/>
      <c r="D619" s="67"/>
      <c r="E619" s="67"/>
    </row>
    <row r="620" spans="2:9">
      <c r="C620" s="66"/>
      <c r="D620" s="67"/>
      <c r="E620" s="67"/>
    </row>
    <row r="621" spans="2:9">
      <c r="C621" s="66"/>
      <c r="D621" s="67"/>
      <c r="E621" s="67"/>
    </row>
    <row r="622" spans="2:9">
      <c r="C622" s="66"/>
      <c r="D622" s="67"/>
      <c r="E622" s="67"/>
    </row>
    <row r="623" spans="2:9">
      <c r="C623" s="66"/>
      <c r="D623" s="67"/>
      <c r="E623" s="67"/>
    </row>
    <row r="624" spans="2:9">
      <c r="C624" s="66"/>
      <c r="D624" s="67"/>
      <c r="E624" s="67"/>
    </row>
    <row r="625" spans="3:5">
      <c r="C625" s="66"/>
      <c r="D625" s="67"/>
      <c r="E625" s="67"/>
    </row>
    <row r="626" spans="3:5">
      <c r="C626" s="66"/>
      <c r="D626" s="67"/>
      <c r="E626" s="67"/>
    </row>
    <row r="627" spans="3:5">
      <c r="C627" s="66"/>
      <c r="D627" s="67"/>
      <c r="E627" s="67"/>
    </row>
    <row r="628" spans="3:5">
      <c r="C628" s="66"/>
      <c r="D628" s="67"/>
      <c r="E628" s="67"/>
    </row>
    <row r="629" spans="3:5">
      <c r="C629" s="66"/>
      <c r="D629" s="67"/>
      <c r="E629" s="67"/>
    </row>
    <row r="630" spans="3:5">
      <c r="C630" s="66"/>
      <c r="D630" s="67"/>
      <c r="E630" s="67"/>
    </row>
    <row r="631" spans="3:5">
      <c r="C631" s="66"/>
      <c r="D631" s="67"/>
      <c r="E631" s="67"/>
    </row>
    <row r="632" spans="3:5">
      <c r="C632" s="66"/>
      <c r="D632" s="67"/>
      <c r="E632" s="67"/>
    </row>
    <row r="633" spans="3:5">
      <c r="C633" s="66"/>
      <c r="D633" s="67"/>
      <c r="E633" s="67"/>
    </row>
    <row r="634" spans="3:5">
      <c r="C634" s="66"/>
      <c r="D634" s="67"/>
      <c r="E634" s="67"/>
    </row>
    <row r="635" spans="3:5">
      <c r="C635" s="66"/>
      <c r="D635" s="67"/>
      <c r="E635" s="67"/>
    </row>
    <row r="636" spans="3:5">
      <c r="C636" s="66"/>
      <c r="D636" s="67"/>
      <c r="E636" s="67"/>
    </row>
    <row r="637" spans="3:5">
      <c r="C637" s="66"/>
      <c r="D637" s="67"/>
      <c r="E637" s="67"/>
    </row>
    <row r="638" spans="3:5">
      <c r="C638" s="66"/>
      <c r="D638" s="67"/>
      <c r="E638" s="67"/>
    </row>
    <row r="639" spans="3:5">
      <c r="C639" s="66"/>
      <c r="D639" s="67"/>
      <c r="E639" s="67"/>
    </row>
    <row r="640" spans="3:5">
      <c r="C640" s="66"/>
      <c r="D640" s="67"/>
      <c r="E640" s="67"/>
    </row>
    <row r="641" spans="3:5">
      <c r="C641" s="66"/>
      <c r="D641" s="67"/>
      <c r="E641" s="67"/>
    </row>
    <row r="642" spans="3:5">
      <c r="C642" s="66"/>
      <c r="D642" s="67"/>
      <c r="E642" s="67"/>
    </row>
    <row r="643" spans="3:5">
      <c r="C643" s="66"/>
      <c r="D643" s="67"/>
      <c r="E643" s="67"/>
    </row>
    <row r="644" spans="3:5">
      <c r="C644" s="66"/>
      <c r="D644" s="67"/>
      <c r="E644" s="67"/>
    </row>
    <row r="645" spans="3:5">
      <c r="C645" s="66"/>
      <c r="D645" s="67"/>
      <c r="E645" s="67"/>
    </row>
    <row r="646" spans="3:5">
      <c r="C646" s="66"/>
      <c r="D646" s="67"/>
      <c r="E646" s="67"/>
    </row>
    <row r="647" spans="3:5">
      <c r="C647" s="66"/>
      <c r="D647" s="67"/>
      <c r="E647" s="67"/>
    </row>
    <row r="648" spans="3:5">
      <c r="C648" s="66"/>
      <c r="D648" s="67"/>
      <c r="E648" s="67"/>
    </row>
    <row r="649" spans="3:5">
      <c r="C649" s="66"/>
      <c r="D649" s="67"/>
      <c r="E649" s="67"/>
    </row>
    <row r="650" spans="3:5">
      <c r="C650" s="66"/>
      <c r="D650" s="67"/>
      <c r="E650" s="67"/>
    </row>
    <row r="651" spans="3:5">
      <c r="C651" s="66"/>
      <c r="D651" s="67"/>
      <c r="E651" s="67"/>
    </row>
    <row r="652" spans="3:5">
      <c r="C652" s="66"/>
      <c r="D652" s="67"/>
      <c r="E652" s="67"/>
    </row>
    <row r="653" spans="3:5">
      <c r="C653" s="66"/>
      <c r="D653" s="67"/>
      <c r="E653" s="67"/>
    </row>
    <row r="654" spans="3:5">
      <c r="C654" s="66"/>
      <c r="D654" s="67"/>
      <c r="E654" s="67"/>
    </row>
    <row r="655" spans="3:5">
      <c r="C655" s="66"/>
      <c r="D655" s="67"/>
      <c r="E655" s="67"/>
    </row>
    <row r="656" spans="3:5">
      <c r="C656" s="66"/>
      <c r="D656" s="67"/>
      <c r="E656" s="67"/>
    </row>
    <row r="657" spans="3:5">
      <c r="C657" s="66"/>
      <c r="D657" s="67"/>
      <c r="E657" s="67"/>
    </row>
    <row r="658" spans="3:5">
      <c r="C658" s="66"/>
      <c r="D658" s="67"/>
      <c r="E658" s="67"/>
    </row>
    <row r="659" spans="3:5">
      <c r="C659" s="66"/>
      <c r="D659" s="67"/>
      <c r="E659" s="67"/>
    </row>
    <row r="660" spans="3:5">
      <c r="C660" s="66"/>
      <c r="D660" s="67"/>
      <c r="E660" s="67"/>
    </row>
    <row r="661" spans="3:5">
      <c r="C661" s="66"/>
      <c r="D661" s="67"/>
      <c r="E661" s="67"/>
    </row>
    <row r="662" spans="3:5">
      <c r="C662" s="66"/>
      <c r="D662" s="67"/>
      <c r="E662" s="67"/>
    </row>
    <row r="663" spans="3:5">
      <c r="C663" s="66"/>
      <c r="D663" s="67"/>
      <c r="E663" s="67"/>
    </row>
    <row r="664" spans="3:5">
      <c r="C664" s="66"/>
      <c r="D664" s="67"/>
      <c r="E664" s="67"/>
    </row>
    <row r="665" spans="3:5">
      <c r="C665" s="66"/>
      <c r="D665" s="67"/>
      <c r="E665" s="67"/>
    </row>
    <row r="666" spans="3:5">
      <c r="C666" s="66"/>
      <c r="D666" s="67"/>
      <c r="E666" s="67"/>
    </row>
    <row r="667" spans="3:5">
      <c r="C667" s="66"/>
      <c r="D667" s="67"/>
      <c r="E667" s="67"/>
    </row>
    <row r="668" spans="3:5">
      <c r="C668" s="66"/>
      <c r="D668" s="67"/>
      <c r="E668" s="67"/>
    </row>
    <row r="669" spans="3:5">
      <c r="C669" s="66"/>
      <c r="D669" s="67"/>
      <c r="E669" s="67"/>
    </row>
    <row r="670" spans="3:5">
      <c r="C670" s="66"/>
      <c r="D670" s="67"/>
      <c r="E670" s="67"/>
    </row>
    <row r="671" spans="3:5">
      <c r="C671" s="66"/>
      <c r="D671" s="67"/>
      <c r="E671" s="67"/>
    </row>
    <row r="672" spans="3:5">
      <c r="C672" s="66"/>
      <c r="D672" s="67"/>
      <c r="E672" s="67"/>
    </row>
    <row r="673" spans="3:5">
      <c r="C673" s="66"/>
      <c r="D673" s="67"/>
      <c r="E673" s="67"/>
    </row>
    <row r="674" spans="3:5">
      <c r="C674" s="66"/>
      <c r="D674" s="67"/>
      <c r="E674" s="67"/>
    </row>
    <row r="675" spans="3:5">
      <c r="C675" s="66"/>
      <c r="D675" s="67"/>
      <c r="E675" s="67"/>
    </row>
    <row r="676" spans="3:5">
      <c r="C676" s="66"/>
      <c r="D676" s="67"/>
      <c r="E676" s="67"/>
    </row>
    <row r="677" spans="3:5">
      <c r="C677" s="66"/>
      <c r="D677" s="67"/>
      <c r="E677" s="67"/>
    </row>
    <row r="678" spans="3:5">
      <c r="C678" s="66"/>
      <c r="D678" s="67"/>
      <c r="E678" s="67"/>
    </row>
    <row r="679" spans="3:5">
      <c r="C679" s="66"/>
      <c r="D679" s="67"/>
      <c r="E679" s="67"/>
    </row>
    <row r="680" spans="3:5">
      <c r="C680" s="66"/>
      <c r="D680" s="67"/>
      <c r="E680" s="67"/>
    </row>
    <row r="681" spans="3:5">
      <c r="C681" s="66"/>
      <c r="D681" s="67"/>
      <c r="E681" s="67"/>
    </row>
    <row r="682" spans="3:5">
      <c r="C682" s="66"/>
      <c r="D682" s="67"/>
      <c r="E682" s="67"/>
    </row>
    <row r="683" spans="3:5">
      <c r="C683" s="66"/>
      <c r="D683" s="67"/>
      <c r="E683" s="67"/>
    </row>
    <row r="684" spans="3:5">
      <c r="C684" s="66"/>
      <c r="D684" s="67"/>
      <c r="E684" s="67"/>
    </row>
    <row r="685" spans="3:5">
      <c r="C685" s="66"/>
      <c r="D685" s="67"/>
      <c r="E685" s="67"/>
    </row>
    <row r="686" spans="3:5">
      <c r="C686" s="66"/>
      <c r="D686" s="67"/>
      <c r="E686" s="67"/>
    </row>
    <row r="687" spans="3:5">
      <c r="C687" s="66"/>
      <c r="D687" s="67"/>
      <c r="E687" s="67"/>
    </row>
    <row r="688" spans="3:5">
      <c r="C688" s="66"/>
      <c r="D688" s="67"/>
      <c r="E688" s="67"/>
    </row>
    <row r="689" spans="3:5">
      <c r="C689" s="66"/>
      <c r="D689" s="67"/>
      <c r="E689" s="67"/>
    </row>
    <row r="690" spans="3:5">
      <c r="C690" s="66"/>
      <c r="D690" s="67"/>
      <c r="E690" s="67"/>
    </row>
    <row r="691" spans="3:5">
      <c r="C691" s="66"/>
      <c r="D691" s="67"/>
      <c r="E691" s="67"/>
    </row>
    <row r="692" spans="3:5">
      <c r="C692" s="66"/>
      <c r="D692" s="67"/>
      <c r="E692" s="67"/>
    </row>
    <row r="693" spans="3:5">
      <c r="C693" s="66"/>
      <c r="D693" s="67"/>
      <c r="E693" s="67"/>
    </row>
    <row r="694" spans="3:5">
      <c r="C694" s="66"/>
      <c r="D694" s="67"/>
      <c r="E694" s="67"/>
    </row>
    <row r="695" spans="3:5">
      <c r="C695" s="66"/>
      <c r="D695" s="67"/>
      <c r="E695" s="67"/>
    </row>
    <row r="696" spans="3:5">
      <c r="C696" s="66"/>
      <c r="D696" s="67"/>
      <c r="E696" s="67"/>
    </row>
    <row r="697" spans="3:5">
      <c r="C697" s="66"/>
      <c r="D697" s="67"/>
      <c r="E697" s="67"/>
    </row>
    <row r="698" spans="3:5">
      <c r="C698" s="66"/>
      <c r="D698" s="67"/>
      <c r="E698" s="67"/>
    </row>
    <row r="699" spans="3:5">
      <c r="C699" s="66"/>
      <c r="D699" s="67"/>
      <c r="E699" s="67"/>
    </row>
    <row r="700" spans="3:5">
      <c r="C700" s="66"/>
      <c r="D700" s="67"/>
      <c r="E700" s="67"/>
    </row>
    <row r="701" spans="3:5">
      <c r="C701" s="66"/>
      <c r="D701" s="67"/>
      <c r="E701" s="67"/>
    </row>
    <row r="702" spans="3:5">
      <c r="C702" s="66"/>
      <c r="D702" s="67"/>
      <c r="E702" s="67"/>
    </row>
    <row r="703" spans="3:5">
      <c r="C703" s="66"/>
      <c r="D703" s="67"/>
      <c r="E703" s="67"/>
    </row>
    <row r="704" spans="3:5">
      <c r="C704" s="66"/>
      <c r="D704" s="67"/>
      <c r="E704" s="67"/>
    </row>
    <row r="705" spans="3:5">
      <c r="C705" s="66"/>
      <c r="D705" s="67"/>
      <c r="E705" s="67"/>
    </row>
    <row r="706" spans="3:5">
      <c r="C706" s="66"/>
      <c r="D706" s="67"/>
      <c r="E706" s="67"/>
    </row>
    <row r="707" spans="3:5">
      <c r="C707" s="66"/>
      <c r="D707" s="67"/>
      <c r="E707" s="67"/>
    </row>
    <row r="708" spans="3:5">
      <c r="C708" s="66"/>
      <c r="D708" s="67"/>
      <c r="E708" s="67"/>
    </row>
    <row r="709" spans="3:5">
      <c r="C709" s="66"/>
      <c r="D709" s="67"/>
      <c r="E709" s="67"/>
    </row>
    <row r="710" spans="3:5">
      <c r="C710" s="66"/>
      <c r="D710" s="67"/>
      <c r="E710" s="67"/>
    </row>
    <row r="711" spans="3:5">
      <c r="C711" s="66"/>
      <c r="D711" s="67"/>
      <c r="E711" s="67"/>
    </row>
    <row r="712" spans="3:5">
      <c r="C712" s="66"/>
      <c r="D712" s="67"/>
      <c r="E712" s="67"/>
    </row>
    <row r="713" spans="3:5">
      <c r="C713" s="66"/>
      <c r="D713" s="67"/>
      <c r="E713" s="67"/>
    </row>
    <row r="714" spans="3:5">
      <c r="C714" s="66"/>
      <c r="D714" s="67"/>
      <c r="E714" s="67"/>
    </row>
    <row r="715" spans="3:5">
      <c r="C715" s="66"/>
      <c r="D715" s="67"/>
      <c r="E715" s="67"/>
    </row>
    <row r="716" spans="3:5">
      <c r="C716" s="66"/>
      <c r="D716" s="67"/>
      <c r="E716" s="67"/>
    </row>
    <row r="717" spans="3:5">
      <c r="C717" s="66"/>
      <c r="D717" s="67"/>
      <c r="E717" s="67"/>
    </row>
    <row r="718" spans="3:5">
      <c r="C718" s="66"/>
      <c r="D718" s="67"/>
      <c r="E718" s="67"/>
    </row>
    <row r="719" spans="3:5">
      <c r="C719" s="66"/>
      <c r="D719" s="67"/>
      <c r="E719" s="67"/>
    </row>
    <row r="720" spans="3:5">
      <c r="C720" s="66"/>
      <c r="D720" s="67"/>
      <c r="E720" s="67"/>
    </row>
    <row r="721" spans="3:5">
      <c r="C721" s="66"/>
      <c r="D721" s="67"/>
      <c r="E721" s="67"/>
    </row>
    <row r="722" spans="3:5">
      <c r="C722" s="66"/>
      <c r="D722" s="67"/>
      <c r="E722" s="67"/>
    </row>
    <row r="723" spans="3:5">
      <c r="C723" s="66"/>
      <c r="D723" s="67"/>
      <c r="E723" s="67"/>
    </row>
    <row r="724" spans="3:5">
      <c r="C724" s="66"/>
      <c r="D724" s="67"/>
      <c r="E724" s="67"/>
    </row>
    <row r="725" spans="3:5">
      <c r="C725" s="66"/>
      <c r="D725" s="67"/>
      <c r="E725" s="67"/>
    </row>
    <row r="726" spans="3:5">
      <c r="C726" s="66"/>
      <c r="D726" s="67"/>
      <c r="E726" s="67"/>
    </row>
    <row r="727" spans="3:5">
      <c r="C727" s="66"/>
      <c r="D727" s="67"/>
      <c r="E727" s="67"/>
    </row>
    <row r="728" spans="3:5">
      <c r="C728" s="66"/>
      <c r="D728" s="67"/>
      <c r="E728" s="67"/>
    </row>
    <row r="729" spans="3:5">
      <c r="C729" s="66"/>
      <c r="D729" s="67"/>
      <c r="E729" s="67"/>
    </row>
    <row r="730" spans="3:5">
      <c r="C730" s="66"/>
      <c r="D730" s="67"/>
      <c r="E730" s="67"/>
    </row>
    <row r="731" spans="3:5">
      <c r="C731" s="66"/>
      <c r="D731" s="67"/>
      <c r="E731" s="67"/>
    </row>
    <row r="732" spans="3:5">
      <c r="C732" s="66"/>
      <c r="D732" s="67"/>
      <c r="E732" s="67"/>
    </row>
    <row r="733" spans="3:5">
      <c r="C733" s="66"/>
      <c r="D733" s="67"/>
      <c r="E733" s="67"/>
    </row>
    <row r="734" spans="3:5">
      <c r="C734" s="66"/>
      <c r="D734" s="67"/>
      <c r="E734" s="67"/>
    </row>
    <row r="735" spans="3:5">
      <c r="C735" s="66"/>
      <c r="D735" s="67"/>
      <c r="E735" s="67"/>
    </row>
    <row r="736" spans="3:5">
      <c r="C736" s="66"/>
      <c r="D736" s="67"/>
      <c r="E736" s="67"/>
    </row>
    <row r="737" spans="3:5">
      <c r="C737" s="66"/>
      <c r="D737" s="67"/>
      <c r="E737" s="67"/>
    </row>
    <row r="738" spans="3:5">
      <c r="C738" s="66"/>
      <c r="D738" s="67"/>
      <c r="E738" s="67"/>
    </row>
    <row r="739" spans="3:5">
      <c r="C739" s="66"/>
      <c r="D739" s="67"/>
      <c r="E739" s="67"/>
    </row>
    <row r="740" spans="3:5">
      <c r="C740" s="66"/>
      <c r="D740" s="67"/>
      <c r="E740" s="67"/>
    </row>
    <row r="741" spans="3:5">
      <c r="C741" s="66"/>
      <c r="D741" s="67"/>
      <c r="E741" s="67"/>
    </row>
    <row r="742" spans="3:5">
      <c r="C742" s="66"/>
      <c r="D742" s="67"/>
      <c r="E742" s="67"/>
    </row>
    <row r="743" spans="3:5">
      <c r="C743" s="66"/>
      <c r="D743" s="67"/>
      <c r="E743" s="67"/>
    </row>
    <row r="744" spans="3:5">
      <c r="C744" s="66"/>
      <c r="D744" s="67"/>
      <c r="E744" s="67"/>
    </row>
    <row r="745" spans="3:5">
      <c r="C745" s="66"/>
      <c r="D745" s="67"/>
      <c r="E745" s="67"/>
    </row>
    <row r="746" spans="3:5">
      <c r="C746" s="66"/>
      <c r="D746" s="67"/>
      <c r="E746" s="67"/>
    </row>
    <row r="747" spans="3:5">
      <c r="C747" s="66"/>
      <c r="D747" s="67"/>
      <c r="E747" s="67"/>
    </row>
    <row r="748" spans="3:5">
      <c r="C748" s="66"/>
      <c r="D748" s="67"/>
      <c r="E748" s="67"/>
    </row>
    <row r="749" spans="3:5">
      <c r="C749" s="66"/>
      <c r="D749" s="67"/>
      <c r="E749" s="67"/>
    </row>
    <row r="750" spans="3:5">
      <c r="C750" s="66"/>
      <c r="D750" s="67"/>
      <c r="E750" s="67"/>
    </row>
    <row r="751" spans="3:5">
      <c r="C751" s="66"/>
      <c r="D751" s="67"/>
      <c r="E751" s="67"/>
    </row>
    <row r="752" spans="3:5">
      <c r="C752" s="66"/>
      <c r="D752" s="67"/>
      <c r="E752" s="67"/>
    </row>
    <row r="753" spans="3:5">
      <c r="C753" s="66"/>
      <c r="D753" s="67"/>
      <c r="E753" s="67"/>
    </row>
    <row r="754" spans="3:5">
      <c r="C754" s="66"/>
      <c r="D754" s="67"/>
      <c r="E754" s="67"/>
    </row>
    <row r="755" spans="3:5">
      <c r="C755" s="66"/>
      <c r="D755" s="67"/>
      <c r="E755" s="67"/>
    </row>
    <row r="756" spans="3:5">
      <c r="C756" s="66"/>
      <c r="D756" s="67"/>
      <c r="E756" s="67"/>
    </row>
    <row r="757" spans="3:5">
      <c r="C757" s="66"/>
      <c r="D757" s="67"/>
      <c r="E757" s="67"/>
    </row>
    <row r="758" spans="3:5">
      <c r="C758" s="66"/>
      <c r="D758" s="67"/>
      <c r="E758" s="67"/>
    </row>
    <row r="759" spans="3:5">
      <c r="C759" s="66"/>
      <c r="D759" s="67"/>
      <c r="E759" s="67"/>
    </row>
    <row r="760" spans="3:5">
      <c r="C760" s="66"/>
      <c r="D760" s="67"/>
      <c r="E760" s="67"/>
    </row>
    <row r="761" spans="3:5">
      <c r="C761" s="66"/>
      <c r="D761" s="67"/>
      <c r="E761" s="67"/>
    </row>
    <row r="762" spans="3:5">
      <c r="C762" s="66"/>
      <c r="D762" s="67"/>
      <c r="E762" s="67"/>
    </row>
    <row r="763" spans="3:5">
      <c r="C763" s="66"/>
      <c r="D763" s="67"/>
      <c r="E763" s="67"/>
    </row>
    <row r="764" spans="3:5">
      <c r="C764" s="66"/>
      <c r="D764" s="67"/>
      <c r="E764" s="67"/>
    </row>
    <row r="765" spans="3:5">
      <c r="C765" s="66"/>
      <c r="D765" s="67"/>
      <c r="E765" s="67"/>
    </row>
    <row r="766" spans="3:5">
      <c r="C766" s="66"/>
      <c r="D766" s="67"/>
      <c r="E766" s="67"/>
    </row>
    <row r="767" spans="3:5">
      <c r="C767" s="66"/>
      <c r="D767" s="67"/>
      <c r="E767" s="67"/>
    </row>
    <row r="768" spans="3:5">
      <c r="C768" s="66"/>
      <c r="D768" s="67"/>
      <c r="E768" s="67"/>
    </row>
    <row r="769" spans="3:5">
      <c r="C769" s="66"/>
      <c r="D769" s="67"/>
      <c r="E769" s="67"/>
    </row>
    <row r="770" spans="3:5">
      <c r="C770" s="66"/>
      <c r="D770" s="67"/>
      <c r="E770" s="67"/>
    </row>
    <row r="771" spans="3:5">
      <c r="C771" s="66"/>
      <c r="D771" s="67"/>
      <c r="E771" s="67"/>
    </row>
    <row r="772" spans="3:5">
      <c r="C772" s="66"/>
      <c r="D772" s="67"/>
      <c r="E772" s="67"/>
    </row>
    <row r="773" spans="3:5">
      <c r="C773" s="66"/>
      <c r="D773" s="67"/>
      <c r="E773" s="67"/>
    </row>
    <row r="774" spans="3:5">
      <c r="C774" s="66"/>
      <c r="D774" s="67"/>
      <c r="E774" s="67"/>
    </row>
    <row r="775" spans="3:5">
      <c r="C775" s="66"/>
      <c r="D775" s="67"/>
      <c r="E775" s="67"/>
    </row>
    <row r="776" spans="3:5">
      <c r="C776" s="66"/>
      <c r="D776" s="67"/>
      <c r="E776" s="67"/>
    </row>
    <row r="777" spans="3:5">
      <c r="C777" s="66"/>
      <c r="D777" s="67"/>
      <c r="E777" s="67"/>
    </row>
    <row r="778" spans="3:5">
      <c r="C778" s="66"/>
      <c r="D778" s="67"/>
      <c r="E778" s="67"/>
    </row>
    <row r="779" spans="3:5">
      <c r="C779" s="66"/>
      <c r="D779" s="67"/>
      <c r="E779" s="67"/>
    </row>
    <row r="780" spans="3:5">
      <c r="C780" s="66"/>
      <c r="D780" s="67"/>
      <c r="E780" s="67"/>
    </row>
    <row r="781" spans="3:5">
      <c r="C781" s="66"/>
      <c r="D781" s="67"/>
      <c r="E781" s="67"/>
    </row>
    <row r="782" spans="3:5">
      <c r="C782" s="66"/>
      <c r="D782" s="67"/>
      <c r="E782" s="67"/>
    </row>
    <row r="783" spans="3:5">
      <c r="C783" s="66"/>
      <c r="D783" s="67"/>
      <c r="E783" s="67"/>
    </row>
    <row r="784" spans="3:5">
      <c r="C784" s="66"/>
      <c r="D784" s="67"/>
      <c r="E784" s="67"/>
    </row>
    <row r="785" spans="3:5">
      <c r="C785" s="66"/>
      <c r="D785" s="67"/>
      <c r="E785" s="67"/>
    </row>
    <row r="786" spans="3:5">
      <c r="C786" s="66"/>
      <c r="D786" s="67"/>
      <c r="E786" s="67"/>
    </row>
    <row r="787" spans="3:5">
      <c r="C787" s="66"/>
      <c r="D787" s="67"/>
      <c r="E787" s="67"/>
    </row>
    <row r="788" spans="3:5">
      <c r="C788" s="66"/>
      <c r="D788" s="67"/>
      <c r="E788" s="67"/>
    </row>
    <row r="789" spans="3:5">
      <c r="C789" s="66"/>
      <c r="D789" s="67"/>
      <c r="E789" s="67"/>
    </row>
    <row r="790" spans="3:5">
      <c r="C790" s="66"/>
      <c r="D790" s="67"/>
      <c r="E790" s="67"/>
    </row>
    <row r="791" spans="3:5">
      <c r="C791" s="66"/>
      <c r="D791" s="67"/>
      <c r="E791" s="67"/>
    </row>
    <row r="792" spans="3:5">
      <c r="C792" s="66"/>
      <c r="D792" s="67"/>
      <c r="E792" s="67"/>
    </row>
    <row r="793" spans="3:5">
      <c r="C793" s="66"/>
      <c r="D793" s="67"/>
      <c r="E793" s="67"/>
    </row>
    <row r="794" spans="3:5">
      <c r="C794" s="66"/>
      <c r="D794" s="67"/>
      <c r="E794" s="67"/>
    </row>
    <row r="795" spans="3:5">
      <c r="C795" s="66"/>
      <c r="D795" s="67"/>
      <c r="E795" s="67"/>
    </row>
    <row r="796" spans="3:5">
      <c r="C796" s="66"/>
      <c r="D796" s="67"/>
      <c r="E796" s="67"/>
    </row>
    <row r="797" spans="3:5">
      <c r="C797" s="66"/>
      <c r="D797" s="67"/>
      <c r="E797" s="67"/>
    </row>
    <row r="798" spans="3:5">
      <c r="C798" s="66"/>
      <c r="D798" s="67"/>
      <c r="E798" s="67"/>
    </row>
    <row r="799" spans="3:5">
      <c r="C799" s="66"/>
      <c r="D799" s="67"/>
      <c r="E799" s="67"/>
    </row>
    <row r="800" spans="3:5">
      <c r="C800" s="66"/>
      <c r="D800" s="67"/>
      <c r="E800" s="67"/>
    </row>
    <row r="801" spans="3:5">
      <c r="C801" s="66"/>
      <c r="D801" s="67"/>
      <c r="E801" s="67"/>
    </row>
    <row r="802" spans="3:5">
      <c r="C802" s="66"/>
      <c r="D802" s="67"/>
      <c r="E802" s="67"/>
    </row>
    <row r="803" spans="3:5">
      <c r="C803" s="66"/>
      <c r="D803" s="67"/>
      <c r="E803" s="67"/>
    </row>
    <row r="804" spans="3:5">
      <c r="C804" s="66"/>
      <c r="D804" s="67"/>
      <c r="E804" s="67"/>
    </row>
    <row r="805" spans="3:5">
      <c r="C805" s="66"/>
      <c r="D805" s="67"/>
      <c r="E805" s="67"/>
    </row>
    <row r="806" spans="3:5">
      <c r="C806" s="66"/>
      <c r="D806" s="67"/>
      <c r="E806" s="67"/>
    </row>
    <row r="807" spans="3:5">
      <c r="C807" s="66"/>
      <c r="D807" s="67"/>
      <c r="E807" s="67"/>
    </row>
    <row r="808" spans="3:5">
      <c r="C808" s="66"/>
      <c r="D808" s="67"/>
      <c r="E808" s="67"/>
    </row>
    <row r="809" spans="3:5">
      <c r="C809" s="66"/>
      <c r="D809" s="67"/>
      <c r="E809" s="67"/>
    </row>
    <row r="810" spans="3:5">
      <c r="C810" s="66"/>
      <c r="D810" s="67"/>
      <c r="E810" s="67"/>
    </row>
    <row r="811" spans="3:5">
      <c r="C811" s="66"/>
      <c r="D811" s="67"/>
      <c r="E811" s="67"/>
    </row>
    <row r="812" spans="3:5">
      <c r="C812" s="66"/>
      <c r="D812" s="67"/>
      <c r="E812" s="67"/>
    </row>
    <row r="813" spans="3:5">
      <c r="C813" s="66"/>
      <c r="D813" s="67"/>
      <c r="E813" s="67"/>
    </row>
    <row r="814" spans="3:5">
      <c r="C814" s="66"/>
      <c r="D814" s="67"/>
      <c r="E814" s="67"/>
    </row>
    <row r="815" spans="3:5">
      <c r="C815" s="66"/>
      <c r="D815" s="67"/>
      <c r="E815" s="67"/>
    </row>
    <row r="816" spans="3:5">
      <c r="C816" s="66"/>
      <c r="D816" s="67"/>
      <c r="E816" s="67"/>
    </row>
    <row r="817" spans="3:5">
      <c r="C817" s="66"/>
      <c r="D817" s="67"/>
      <c r="E817" s="67"/>
    </row>
    <row r="818" spans="3:5">
      <c r="C818" s="66"/>
      <c r="D818" s="67"/>
      <c r="E818" s="67"/>
    </row>
    <row r="819" spans="3:5">
      <c r="C819" s="66"/>
      <c r="D819" s="67"/>
      <c r="E819" s="67"/>
    </row>
    <row r="820" spans="3:5">
      <c r="C820" s="66"/>
      <c r="D820" s="67"/>
      <c r="E820" s="67"/>
    </row>
    <row r="821" spans="3:5">
      <c r="C821" s="66"/>
      <c r="D821" s="67"/>
      <c r="E821" s="67"/>
    </row>
    <row r="822" spans="3:5">
      <c r="C822" s="66"/>
      <c r="D822" s="67"/>
      <c r="E822" s="67"/>
    </row>
    <row r="823" spans="3:5">
      <c r="C823" s="66"/>
      <c r="D823" s="67"/>
      <c r="E823" s="67"/>
    </row>
    <row r="824" spans="3:5">
      <c r="C824" s="66"/>
      <c r="D824" s="67"/>
      <c r="E824" s="67"/>
    </row>
    <row r="825" spans="3:5">
      <c r="C825" s="66"/>
      <c r="D825" s="67"/>
      <c r="E825" s="67"/>
    </row>
    <row r="826" spans="3:5">
      <c r="C826" s="66"/>
      <c r="D826" s="67"/>
      <c r="E826" s="67"/>
    </row>
    <row r="827" spans="3:5">
      <c r="C827" s="66"/>
      <c r="D827" s="67"/>
      <c r="E827" s="67"/>
    </row>
    <row r="828" spans="3:5">
      <c r="C828" s="66"/>
      <c r="D828" s="67"/>
      <c r="E828" s="67"/>
    </row>
    <row r="829" spans="3:5">
      <c r="C829" s="66"/>
      <c r="D829" s="67"/>
      <c r="E829" s="67"/>
    </row>
    <row r="830" spans="3:5">
      <c r="C830" s="66"/>
      <c r="D830" s="67"/>
      <c r="E830" s="67"/>
    </row>
    <row r="831" spans="3:5">
      <c r="C831" s="66"/>
      <c r="D831" s="67"/>
      <c r="E831" s="67"/>
    </row>
    <row r="832" spans="3:5">
      <c r="C832" s="66"/>
      <c r="D832" s="67"/>
      <c r="E832" s="67"/>
    </row>
    <row r="833" spans="3:5">
      <c r="C833" s="66"/>
      <c r="D833" s="67"/>
      <c r="E833" s="67"/>
    </row>
    <row r="834" spans="3:5">
      <c r="C834" s="66"/>
      <c r="D834" s="67"/>
      <c r="E834" s="67"/>
    </row>
    <row r="835" spans="3:5">
      <c r="C835" s="66"/>
      <c r="D835" s="67"/>
      <c r="E835" s="67"/>
    </row>
    <row r="836" spans="3:5">
      <c r="C836" s="66"/>
      <c r="D836" s="67"/>
      <c r="E836" s="67"/>
    </row>
    <row r="837" spans="3:5">
      <c r="C837" s="66"/>
      <c r="D837" s="67"/>
      <c r="E837" s="67"/>
    </row>
    <row r="838" spans="3:5">
      <c r="C838" s="66"/>
      <c r="D838" s="67"/>
      <c r="E838" s="67"/>
    </row>
    <row r="839" spans="3:5">
      <c r="C839" s="66"/>
      <c r="D839" s="67"/>
      <c r="E839" s="67"/>
    </row>
    <row r="840" spans="3:5">
      <c r="C840" s="66"/>
      <c r="D840" s="67"/>
      <c r="E840" s="67"/>
    </row>
    <row r="841" spans="3:5">
      <c r="C841" s="66"/>
      <c r="D841" s="67"/>
      <c r="E841" s="67"/>
    </row>
    <row r="842" spans="3:5">
      <c r="C842" s="66"/>
      <c r="D842" s="67"/>
      <c r="E842" s="67"/>
    </row>
    <row r="843" spans="3:5">
      <c r="C843" s="66"/>
      <c r="D843" s="67"/>
      <c r="E843" s="67"/>
    </row>
    <row r="844" spans="3:5">
      <c r="C844" s="66"/>
      <c r="D844" s="67"/>
      <c r="E844" s="67"/>
    </row>
    <row r="845" spans="3:5">
      <c r="C845" s="66"/>
      <c r="D845" s="67"/>
      <c r="E845" s="67"/>
    </row>
    <row r="846" spans="3:5">
      <c r="C846" s="66"/>
      <c r="D846" s="67"/>
      <c r="E846" s="67"/>
    </row>
    <row r="847" spans="3:5">
      <c r="C847" s="66"/>
      <c r="D847" s="67"/>
      <c r="E847" s="67"/>
    </row>
    <row r="848" spans="3:5">
      <c r="C848" s="66"/>
      <c r="D848" s="67"/>
      <c r="E848" s="67"/>
    </row>
    <row r="849" spans="3:5">
      <c r="C849" s="66"/>
      <c r="D849" s="67"/>
      <c r="E849" s="67"/>
    </row>
    <row r="850" spans="3:5">
      <c r="C850" s="66"/>
      <c r="D850" s="67"/>
      <c r="E850" s="67"/>
    </row>
    <row r="851" spans="3:5">
      <c r="C851" s="66"/>
      <c r="D851" s="67"/>
      <c r="E851" s="67"/>
    </row>
    <row r="852" spans="3:5">
      <c r="C852" s="66"/>
      <c r="D852" s="67"/>
      <c r="E852" s="67"/>
    </row>
    <row r="853" spans="3:5">
      <c r="C853" s="66"/>
      <c r="D853" s="67"/>
      <c r="E853" s="67"/>
    </row>
    <row r="854" spans="3:5">
      <c r="C854" s="66"/>
      <c r="D854" s="67"/>
      <c r="E854" s="67"/>
    </row>
    <row r="855" spans="3:5">
      <c r="C855" s="66"/>
      <c r="D855" s="67"/>
      <c r="E855" s="67"/>
    </row>
    <row r="856" spans="3:5">
      <c r="C856" s="66"/>
      <c r="D856" s="67"/>
      <c r="E856" s="67"/>
    </row>
    <row r="857" spans="3:5">
      <c r="C857" s="66"/>
      <c r="D857" s="67"/>
      <c r="E857" s="67"/>
    </row>
    <row r="858" spans="3:5">
      <c r="C858" s="66"/>
      <c r="D858" s="67"/>
      <c r="E858" s="67"/>
    </row>
    <row r="859" spans="3:5">
      <c r="C859" s="66"/>
      <c r="D859" s="67"/>
      <c r="E859" s="67"/>
    </row>
    <row r="860" spans="3:5">
      <c r="C860" s="66"/>
      <c r="D860" s="67"/>
      <c r="E860" s="67"/>
    </row>
    <row r="861" spans="3:5">
      <c r="C861" s="66"/>
      <c r="D861" s="67"/>
      <c r="E861" s="67"/>
    </row>
    <row r="862" spans="3:5">
      <c r="C862" s="66"/>
      <c r="D862" s="67"/>
      <c r="E862" s="67"/>
    </row>
    <row r="863" spans="3:5">
      <c r="C863" s="66"/>
      <c r="D863" s="67"/>
      <c r="E863" s="67"/>
    </row>
    <row r="864" spans="3:5">
      <c r="C864" s="66"/>
      <c r="D864" s="67"/>
      <c r="E864" s="67"/>
    </row>
    <row r="865" spans="3:5">
      <c r="C865" s="66"/>
      <c r="D865" s="67"/>
      <c r="E865" s="67"/>
    </row>
    <row r="866" spans="3:5">
      <c r="C866" s="66"/>
      <c r="D866" s="67"/>
      <c r="E866" s="67"/>
    </row>
    <row r="867" spans="3:5">
      <c r="C867" s="66"/>
      <c r="D867" s="67"/>
      <c r="E867" s="67"/>
    </row>
    <row r="868" spans="3:5">
      <c r="C868" s="66"/>
      <c r="D868" s="67"/>
      <c r="E868" s="67"/>
    </row>
    <row r="869" spans="3:5">
      <c r="C869" s="66"/>
      <c r="D869" s="67"/>
      <c r="E869" s="67"/>
    </row>
    <row r="870" spans="3:5">
      <c r="C870" s="66"/>
      <c r="D870" s="67"/>
      <c r="E870" s="67"/>
    </row>
    <row r="871" spans="3:5">
      <c r="C871" s="66"/>
      <c r="D871" s="67"/>
      <c r="E871" s="67"/>
    </row>
    <row r="872" spans="3:5">
      <c r="C872" s="66"/>
      <c r="D872" s="67"/>
      <c r="E872" s="67"/>
    </row>
    <row r="873" spans="3:5">
      <c r="C873" s="66"/>
      <c r="D873" s="67"/>
      <c r="E873" s="67"/>
    </row>
    <row r="874" spans="3:5">
      <c r="C874" s="66"/>
      <c r="D874" s="67"/>
      <c r="E874" s="67"/>
    </row>
    <row r="875" spans="3:5">
      <c r="C875" s="66"/>
      <c r="D875" s="67"/>
      <c r="E875" s="67"/>
    </row>
    <row r="876" spans="3:5">
      <c r="C876" s="66"/>
      <c r="D876" s="67"/>
      <c r="E876" s="67"/>
    </row>
    <row r="877" spans="3:5">
      <c r="C877" s="66"/>
      <c r="D877" s="67"/>
      <c r="E877" s="67"/>
    </row>
    <row r="878" spans="3:5">
      <c r="C878" s="66"/>
      <c r="D878" s="67"/>
      <c r="E878" s="67"/>
    </row>
    <row r="879" spans="3:5">
      <c r="C879" s="66"/>
      <c r="D879" s="67"/>
      <c r="E879" s="67"/>
    </row>
    <row r="880" spans="3:5">
      <c r="C880" s="66"/>
      <c r="D880" s="67"/>
      <c r="E880" s="67"/>
    </row>
    <row r="881" spans="3:5">
      <c r="C881" s="66"/>
      <c r="D881" s="67"/>
      <c r="E881" s="67"/>
    </row>
    <row r="882" spans="3:5">
      <c r="C882" s="66"/>
      <c r="D882" s="67"/>
      <c r="E882" s="67"/>
    </row>
    <row r="883" spans="3:5">
      <c r="C883" s="66"/>
      <c r="D883" s="67"/>
      <c r="E883" s="67"/>
    </row>
    <row r="884" spans="3:5">
      <c r="C884" s="66"/>
      <c r="D884" s="67"/>
      <c r="E884" s="67"/>
    </row>
    <row r="885" spans="3:5">
      <c r="C885" s="66"/>
      <c r="D885" s="67"/>
      <c r="E885" s="67"/>
    </row>
    <row r="886" spans="3:5">
      <c r="C886" s="66"/>
      <c r="D886" s="67"/>
      <c r="E886" s="67"/>
    </row>
    <row r="887" spans="3:5">
      <c r="C887" s="66"/>
      <c r="D887" s="67"/>
      <c r="E887" s="67"/>
    </row>
    <row r="888" spans="3:5">
      <c r="C888" s="66"/>
      <c r="D888" s="67"/>
      <c r="E888" s="67"/>
    </row>
    <row r="889" spans="3:5">
      <c r="C889" s="66"/>
      <c r="D889" s="67"/>
      <c r="E889" s="67"/>
    </row>
    <row r="890" spans="3:5">
      <c r="C890" s="66"/>
      <c r="D890" s="67"/>
      <c r="E890" s="67"/>
    </row>
    <row r="891" spans="3:5">
      <c r="C891" s="66"/>
      <c r="D891" s="67"/>
      <c r="E891" s="67"/>
    </row>
    <row r="892" spans="3:5">
      <c r="C892" s="66"/>
      <c r="D892" s="67"/>
      <c r="E892" s="67"/>
    </row>
    <row r="893" spans="3:5">
      <c r="C893" s="66"/>
      <c r="D893" s="67"/>
      <c r="E893" s="67"/>
    </row>
    <row r="894" spans="3:5">
      <c r="C894" s="66"/>
      <c r="D894" s="67"/>
      <c r="E894" s="67"/>
    </row>
    <row r="895" spans="3:5">
      <c r="C895" s="66"/>
      <c r="D895" s="67"/>
      <c r="E895" s="67"/>
    </row>
    <row r="896" spans="3:5">
      <c r="C896" s="66"/>
      <c r="D896" s="67"/>
      <c r="E896" s="67"/>
    </row>
    <row r="897" spans="3:5">
      <c r="C897" s="66"/>
      <c r="D897" s="67"/>
      <c r="E897" s="67"/>
    </row>
    <row r="898" spans="3:5">
      <c r="C898" s="66"/>
      <c r="D898" s="67"/>
      <c r="E898" s="67"/>
    </row>
    <row r="899" spans="3:5">
      <c r="C899" s="66"/>
      <c r="D899" s="67"/>
      <c r="E899" s="67"/>
    </row>
    <row r="900" spans="3:5">
      <c r="C900" s="66"/>
      <c r="D900" s="67"/>
      <c r="E900" s="67"/>
    </row>
    <row r="901" spans="3:5">
      <c r="C901" s="66"/>
      <c r="D901" s="67"/>
      <c r="E901" s="67"/>
    </row>
    <row r="902" spans="3:5">
      <c r="C902" s="66"/>
      <c r="D902" s="67"/>
      <c r="E902" s="67"/>
    </row>
    <row r="903" spans="3:5">
      <c r="C903" s="66"/>
      <c r="D903" s="67"/>
      <c r="E903" s="67"/>
    </row>
    <row r="904" spans="3:5">
      <c r="C904" s="66"/>
      <c r="D904" s="67"/>
      <c r="E904" s="67"/>
    </row>
    <row r="905" spans="3:5">
      <c r="C905" s="66"/>
      <c r="D905" s="67"/>
      <c r="E905" s="67"/>
    </row>
  </sheetData>
  <autoFilter ref="A7:AI601" xr:uid="{00000000-0001-0000-0100-000000000000}">
    <filterColumn colId="1">
      <filters>
        <filter val="Interface"/>
      </filters>
    </filterColumn>
    <filterColumn colId="4">
      <filters>
        <filter val="Phase A"/>
      </filters>
    </filterColumn>
  </autoFilter>
  <phoneticPr fontId="0" type="noConversion"/>
  <conditionalFormatting sqref="D516:E518 AI516:AI518 D520:E520 D522:E523 D525:E526 AI525:AI526 AI528 AI530:AI536 AI538">
    <cfRule type="cellIs" dxfId="412" priority="918" stopIfTrue="1" operator="equal">
      <formula>"Configuration"</formula>
    </cfRule>
    <cfRule type="cellIs" dxfId="411" priority="919" stopIfTrue="1" operator="equal">
      <formula>"Standard"</formula>
    </cfRule>
    <cfRule type="cellIs" dxfId="410" priority="920" stopIfTrue="1" operator="equal">
      <formula>"Customisation/Extension"</formula>
    </cfRule>
  </conditionalFormatting>
  <conditionalFormatting sqref="E519">
    <cfRule type="cellIs" dxfId="409" priority="1" stopIfTrue="1" operator="equal">
      <formula>"Configuration"</formula>
    </cfRule>
    <cfRule type="cellIs" dxfId="408" priority="2" stopIfTrue="1" operator="equal">
      <formula>"Standard"</formula>
    </cfRule>
    <cfRule type="cellIs" dxfId="407" priority="3" stopIfTrue="1" operator="equal">
      <formula>"Customisation/Extension"</formula>
    </cfRule>
  </conditionalFormatting>
  <conditionalFormatting sqref="H132 H354:I370 H398:I400">
    <cfRule type="cellIs" dxfId="406" priority="23" stopIfTrue="1" operator="equal">
      <formula>"Must"</formula>
    </cfRule>
  </conditionalFormatting>
  <conditionalFormatting sqref="H178">
    <cfRule type="cellIs" dxfId="405" priority="22" stopIfTrue="1" operator="equal">
      <formula>"Must"</formula>
    </cfRule>
  </conditionalFormatting>
  <conditionalFormatting sqref="H9:I12 I13 H14:I14 I17 H19:I19 H21:I22 H24:I24 I25 H27:I27 I28 I30 H32:I33 I34 I36 H37:I38 I39 H40:I41 I42 H43:I45 I46 H47:I47 I48 H49:I50 I51 H52:I53 I54 H55:I55 I56 H57:I57 I58 H59:I61 I62 H63:I65 I66 H67:I68 I69 H70:I70 I71 H73:I74 I76 H78:I79 H81:I81 H83:I83 I85 I87 H88:I88 H90:I90 H92:I92 I93 I95 H96:I96 I97 H98:I98 H100:I102 I103 I105 H107:I107 I108 I110 I112 I114 H116:I116 H118:I118 I120 I122 H130:I130 I131 H133:I133 H135:I135 H137:I137 H139:I140 I141 H142:H143 H145:I145 H147:I147 H148 H149:I150 H152:I152 H154:I156 H158:I158 H160:I160 H162:I163 H165:I165 H167:I167 H169:I169 H171:I171 H173:I173 I174:I175 I177 H179:I180 I181:I191 H189:I189 H192:I192 H194:I194 H196:I196 H198:I199 H201:I202 H204:I213 I214 H215:I220 I222 H223:I227 H229:I232 I233 H234:I236 H238:I238 H240:I240 H242:I254 I255 I257 I259 H260:I260 H262:I263 I264 I266 H267:I267 H269:I269 H271:I271 I273 H275:I275 I277 H278:I278 I280 H282:I282 H284:I284 H286:I286 H288:I288 H290:I291 H293:I293 H295:I295 I296 H297:I297 I298:I299 H300:I300 I301 H303:I303 I305 H307:I308 I309 H310:I310 I311:I313 H314:I319 I320 H322:I323 I324:I326 H325:I325 H328:I328 H330:I330 I332 I334:I335 H336:I336 H338:I338 I339 I341 H342:I342 I344 H345:I346 I347 H349:I349 I350 H351:I352 I353 H372:I372 H374:I374 H376:I377 H379:I384 H386:I386 H388:I390 H392:I392 H394:I396 I401 I403 I405 H409:I413 I416 H418:I418 H420:I420 H422:I423 H425:I426 H428:I429 I430 H432:I432 H434:I434 I435 H437:I437 H439:I440 H442:I442 I443 H445:I445 H447:I447 I448 H450:I450 I451 I453 H454:I454 I456 I458 I460 H461:I462 I463 H464:I464 I466 I468 I470 H472:I473 H475:I475 H477:I477 I478 I480 I482 I485 H487:I487 I489 H490:I490 I491 I493 H495:I495 H497:I498 I500 H501:I501 I502 H504:I504 H506:I507 H509:I510 I512 H513:I514 I516 H517:I517 I518 H520:I520 H522:I523 H525:I525 I526 H528:I528 H530:I533 I534 H535:I535 I536 I538 H540:I540 I542 H543:I544 H546:I548 I550 H551:I555 I557 H558:I559 I560 I563 I566 I568 I571 I577 I580 I582 I588 H589:I589 I590 H591:I591 I592 H593:I593 I594 I596 H597:I597 I598 H599:I599 I600 H601:I601 I603:I1048576">
    <cfRule type="cellIs" dxfId="404" priority="808" stopIfTrue="1" operator="equal">
      <formula>"Must"</formula>
    </cfRule>
  </conditionalFormatting>
  <conditionalFormatting sqref="H123:I128">
    <cfRule type="cellIs" dxfId="403" priority="24" stopIfTrue="1" operator="equal">
      <formula>"Must"</formula>
    </cfRule>
  </conditionalFormatting>
  <conditionalFormatting sqref="I1:I601 I603:I1048576">
    <cfRule type="cellIs" dxfId="402" priority="929" stopIfTrue="1" operator="equal">
      <formula>"Extension"</formula>
    </cfRule>
    <cfRule type="cellIs" dxfId="401" priority="927" stopIfTrue="1" operator="equal">
      <formula>"Standard"</formula>
    </cfRule>
    <cfRule type="cellIs" dxfId="400" priority="928" stopIfTrue="1" operator="equal">
      <formula>"Configuration"</formula>
    </cfRule>
  </conditionalFormatting>
  <conditionalFormatting sqref="J9">
    <cfRule type="cellIs" dxfId="399" priority="21" stopIfTrue="1" operator="equal">
      <formula>"Yes"</formula>
    </cfRule>
  </conditionalFormatting>
  <conditionalFormatting sqref="J8:V650">
    <cfRule type="cellIs" dxfId="398" priority="94" stopIfTrue="1" operator="equal">
      <formula>"ü"</formula>
    </cfRule>
    <cfRule type="cellIs" dxfId="397" priority="89" stopIfTrue="1" operator="equal">
      <formula>"x"</formula>
    </cfRule>
  </conditionalFormatting>
  <conditionalFormatting sqref="K8:L9 M9:V9">
    <cfRule type="cellIs" dxfId="396" priority="90" stopIfTrue="1" operator="equal">
      <formula>"Yes"</formula>
    </cfRule>
  </conditionalFormatting>
  <conditionalFormatting sqref="M14">
    <cfRule type="cellIs" dxfId="395" priority="8" stopIfTrue="1" operator="equal">
      <formula>"Yes"</formula>
    </cfRule>
    <cfRule type="cellIs" dxfId="394" priority="9" stopIfTrue="1" operator="equal">
      <formula>"ü"</formula>
    </cfRule>
  </conditionalFormatting>
  <conditionalFormatting sqref="M8:V9">
    <cfRule type="cellIs" dxfId="393" priority="95" stopIfTrue="1" operator="equal">
      <formula>"ü"</formula>
    </cfRule>
  </conditionalFormatting>
  <conditionalFormatting sqref="O14:Q14">
    <cfRule type="cellIs" dxfId="392" priority="4" stopIfTrue="1" operator="equal">
      <formula>"Yes"</formula>
    </cfRule>
    <cfRule type="cellIs" dxfId="391" priority="5" stopIfTrue="1" operator="equal">
      <formula>"ü"</formula>
    </cfRule>
  </conditionalFormatting>
  <conditionalFormatting sqref="Q12">
    <cfRule type="cellIs" dxfId="390" priority="18" stopIfTrue="1" operator="equal">
      <formula>"Yes"</formula>
    </cfRule>
    <cfRule type="cellIs" dxfId="389" priority="19" stopIfTrue="1" operator="equal">
      <formula>"ü"</formula>
    </cfRule>
  </conditionalFormatting>
  <conditionalFormatting sqref="U14">
    <cfRule type="cellIs" dxfId="388" priority="10" stopIfTrue="1" operator="equal">
      <formula>"Yes"</formula>
    </cfRule>
    <cfRule type="cellIs" dxfId="387" priority="11" stopIfTrue="1" operator="equal">
      <formula>"ü"</formula>
    </cfRule>
  </conditionalFormatting>
  <conditionalFormatting sqref="U12:V12">
    <cfRule type="cellIs" dxfId="386" priority="15" stopIfTrue="1" operator="equal">
      <formula>"ü"</formula>
    </cfRule>
    <cfRule type="cellIs" dxfId="385" priority="14" stopIfTrue="1" operator="equal">
      <formula>"Yes"</formula>
    </cfRule>
  </conditionalFormatting>
  <conditionalFormatting sqref="W8:X281 W283:X64708">
    <cfRule type="expression" dxfId="384" priority="783" stopIfTrue="1">
      <formula>OR(W8="Customisation",W8="Extension")</formula>
    </cfRule>
    <cfRule type="cellIs" dxfId="383" priority="782" stopIfTrue="1" operator="equal">
      <formula>"Configuration"</formula>
    </cfRule>
    <cfRule type="cellIs" dxfId="382" priority="781" stopIfTrue="1" operator="equal">
      <formula>"Standard"</formula>
    </cfRule>
  </conditionalFormatting>
  <conditionalFormatting sqref="Y8:Y256 Y270:Y272 Y283:Y285 Y447 Y277:Y281 Y307:Y311 Y313:Y320 Y334:Y336 Y344:Y347 Y349:Y370 Y398:Y401 Y468 Y550:Y555 Y588:Y64708">
    <cfRule type="cellIs" dxfId="381" priority="1379" stopIfTrue="1" operator="equal">
      <formula>#REF!</formula>
    </cfRule>
  </conditionalFormatting>
  <conditionalFormatting sqref="Y16">
    <cfRule type="cellIs" dxfId="380" priority="128" stopIfTrue="1" operator="equal">
      <formula>#REF!</formula>
    </cfRule>
    <cfRule type="cellIs" dxfId="379" priority="127" stopIfTrue="1" operator="equal">
      <formula>#REF!</formula>
    </cfRule>
  </conditionalFormatting>
  <conditionalFormatting sqref="Y38:Y70">
    <cfRule type="cellIs" dxfId="378" priority="114" stopIfTrue="1" operator="equal">
      <formula>#REF!</formula>
    </cfRule>
    <cfRule type="cellIs" dxfId="377" priority="113" stopIfTrue="1" operator="equal">
      <formula>#REF!</formula>
    </cfRule>
  </conditionalFormatting>
  <conditionalFormatting sqref="Y45">
    <cfRule type="cellIs" dxfId="376" priority="107" stopIfTrue="1" operator="equal">
      <formula>#REF!</formula>
    </cfRule>
    <cfRule type="cellIs" dxfId="375" priority="106" stopIfTrue="1" operator="equal">
      <formula>#REF!</formula>
    </cfRule>
  </conditionalFormatting>
  <conditionalFormatting sqref="Y257:Y260">
    <cfRule type="cellIs" dxfId="374" priority="805" stopIfTrue="1" operator="equal">
      <formula>#REF!</formula>
    </cfRule>
  </conditionalFormatting>
  <conditionalFormatting sqref="Y258">
    <cfRule type="cellIs" dxfId="373" priority="804" stopIfTrue="1" operator="equal">
      <formula>#REF!</formula>
    </cfRule>
  </conditionalFormatting>
  <conditionalFormatting sqref="Y261 Y405:Y430">
    <cfRule type="cellIs" dxfId="372" priority="801" stopIfTrue="1" operator="equal">
      <formula>#REF!</formula>
    </cfRule>
  </conditionalFormatting>
  <conditionalFormatting sqref="Y261">
    <cfRule type="cellIs" dxfId="371" priority="800" stopIfTrue="1" operator="equal">
      <formula>#REF!</formula>
    </cfRule>
  </conditionalFormatting>
  <conditionalFormatting sqref="Y261:Y264">
    <cfRule type="cellIs" dxfId="370" priority="803" stopIfTrue="1" operator="equal">
      <formula>#REF!</formula>
    </cfRule>
  </conditionalFormatting>
  <conditionalFormatting sqref="Y265">
    <cfRule type="cellIs" dxfId="369" priority="797" stopIfTrue="1" operator="equal">
      <formula>#REF!</formula>
    </cfRule>
    <cfRule type="cellIs" dxfId="368" priority="796" stopIfTrue="1" operator="equal">
      <formula>#REF!</formula>
    </cfRule>
  </conditionalFormatting>
  <conditionalFormatting sqref="Y265:Y267">
    <cfRule type="cellIs" dxfId="367" priority="799" stopIfTrue="1" operator="equal">
      <formula>#REF!</formula>
    </cfRule>
  </conditionalFormatting>
  <conditionalFormatting sqref="Y268">
    <cfRule type="cellIs" dxfId="366" priority="793" stopIfTrue="1" operator="equal">
      <formula>#REF!</formula>
    </cfRule>
    <cfRule type="cellIs" dxfId="365" priority="792" stopIfTrue="1" operator="equal">
      <formula>#REF!</formula>
    </cfRule>
  </conditionalFormatting>
  <conditionalFormatting sqref="Y268:Y269">
    <cfRule type="cellIs" dxfId="364" priority="795" stopIfTrue="1" operator="equal">
      <formula>#REF!</formula>
    </cfRule>
  </conditionalFormatting>
  <conditionalFormatting sqref="Y270:Y272 Y283:Y285 Y379:Y384 Y432 Y437 Y439:Y440 Y442:Y443 Y472:Y473 Y485">
    <cfRule type="cellIs" dxfId="363" priority="1400" stopIfTrue="1" operator="equal">
      <formula>#REF!</formula>
    </cfRule>
  </conditionalFormatting>
  <conditionalFormatting sqref="Y271 Y284 Y262:Y264 Y266:Y267 Y269 Y273 Y275 Y286 Y386 Y388:Y390 Y392 Y394:Y396 Y432 Y434:Y435 Y437 Y439:Y440 Y442:Y443 Y445 Y470 Y472:Y473 Y475 Y477:Y478 Y480 Y450:Y451 Y453:Y454 Y456 Y458 Y460:Y464 Y466 Y485 Y487 Y489:Y491 Y493 Y495 Y497:Y498 Y500:Y502 Y504 Y506:Y507 Y509:Y510 Y512:Y514 Y516:Y518 Y520 Y522:Y523 Y525:Y526 Y528 Y530:Y536 Y538 Y540 Y542:Y544 Y546:Y548 Y557:Y560 Y563 Y566 Y568 Y571 Y577 Y580 Y582 Y12 Y27 Y102">
    <cfRule type="cellIs" dxfId="362" priority="816" stopIfTrue="1" operator="equal">
      <formula>#REF!</formula>
    </cfRule>
  </conditionalFormatting>
  <conditionalFormatting sqref="Y271 Y284">
    <cfRule type="cellIs" dxfId="361" priority="815" stopIfTrue="1" operator="equal">
      <formula>#REF!</formula>
    </cfRule>
  </conditionalFormatting>
  <conditionalFormatting sqref="Y273:Y275">
    <cfRule type="cellIs" dxfId="360" priority="791" stopIfTrue="1" operator="equal">
      <formula>#REF!</formula>
    </cfRule>
  </conditionalFormatting>
  <conditionalFormatting sqref="Y274">
    <cfRule type="cellIs" dxfId="359" priority="788" stopIfTrue="1" operator="equal">
      <formula>#REF!</formula>
    </cfRule>
    <cfRule type="cellIs" dxfId="358" priority="789" stopIfTrue="1" operator="equal">
      <formula>#REF!</formula>
    </cfRule>
  </conditionalFormatting>
  <conditionalFormatting sqref="Y276:Y281">
    <cfRule type="cellIs" dxfId="357" priority="784" stopIfTrue="1" operator="equal">
      <formula>#REF!</formula>
    </cfRule>
    <cfRule type="cellIs" dxfId="356" priority="785" stopIfTrue="1" operator="equal">
      <formula>#REF!</formula>
    </cfRule>
    <cfRule type="cellIs" dxfId="355" priority="787" stopIfTrue="1" operator="equal">
      <formula>#REF!</formula>
    </cfRule>
  </conditionalFormatting>
  <conditionalFormatting sqref="Y283:Y285 Y8:Y260 Y270:Y272 Y445:Y448 Y406:Y430">
    <cfRule type="cellIs" dxfId="354" priority="1378" stopIfTrue="1" operator="equal">
      <formula>#REF!</formula>
    </cfRule>
  </conditionalFormatting>
  <conditionalFormatting sqref="Y284 Y286 Y288 Y290:Y291 Y293 Y295:Y297 Y299:Y301 Y303 Y322:Y323 Y325:Y326 Y328 Y330 Y332 Y338:Y339 Y341:Y342 Y372 Y374 Y376:Y377 Y379:Y384">
    <cfRule type="cellIs" dxfId="353" priority="915" stopIfTrue="1" operator="equal">
      <formula>#REF!</formula>
    </cfRule>
  </conditionalFormatting>
  <conditionalFormatting sqref="Y284 Y286">
    <cfRule type="cellIs" dxfId="352" priority="914" stopIfTrue="1" operator="equal">
      <formula>#REF!</formula>
    </cfRule>
  </conditionalFormatting>
  <conditionalFormatting sqref="Y286:Y288">
    <cfRule type="cellIs" dxfId="351" priority="774" stopIfTrue="1" operator="equal">
      <formula>#REF!</formula>
    </cfRule>
  </conditionalFormatting>
  <conditionalFormatting sqref="Y287">
    <cfRule type="cellIs" dxfId="350" priority="772" stopIfTrue="1" operator="equal">
      <formula>#REF!</formula>
    </cfRule>
    <cfRule type="cellIs" dxfId="349" priority="771" stopIfTrue="1" operator="equal">
      <formula>#REF!</formula>
    </cfRule>
  </conditionalFormatting>
  <conditionalFormatting sqref="Y289">
    <cfRule type="cellIs" dxfId="348" priority="765" stopIfTrue="1" operator="equal">
      <formula>#REF!</formula>
    </cfRule>
    <cfRule type="cellIs" dxfId="347" priority="764" stopIfTrue="1" operator="equal">
      <formula>#REF!</formula>
    </cfRule>
  </conditionalFormatting>
  <conditionalFormatting sqref="Y289:Y291">
    <cfRule type="cellIs" dxfId="346" priority="767" stopIfTrue="1" operator="equal">
      <formula>#REF!</formula>
    </cfRule>
  </conditionalFormatting>
  <conditionalFormatting sqref="Y292">
    <cfRule type="cellIs" dxfId="345" priority="757" stopIfTrue="1" operator="equal">
      <formula>#REF!</formula>
    </cfRule>
    <cfRule type="cellIs" dxfId="344" priority="758" stopIfTrue="1" operator="equal">
      <formula>#REF!</formula>
    </cfRule>
  </conditionalFormatting>
  <conditionalFormatting sqref="Y292:Y293">
    <cfRule type="cellIs" dxfId="343" priority="760" stopIfTrue="1" operator="equal">
      <formula>#REF!</formula>
    </cfRule>
  </conditionalFormatting>
  <conditionalFormatting sqref="Y294">
    <cfRule type="cellIs" dxfId="342" priority="750" stopIfTrue="1" operator="equal">
      <formula>#REF!</formula>
    </cfRule>
    <cfRule type="cellIs" dxfId="341" priority="751" stopIfTrue="1" operator="equal">
      <formula>#REF!</formula>
    </cfRule>
  </conditionalFormatting>
  <conditionalFormatting sqref="Y294:Y297">
    <cfRule type="cellIs" dxfId="340" priority="753" stopIfTrue="1" operator="equal">
      <formula>#REF!</formula>
    </cfRule>
  </conditionalFormatting>
  <conditionalFormatting sqref="Y298">
    <cfRule type="cellIs" dxfId="339" priority="743" stopIfTrue="1" operator="equal">
      <formula>#REF!</formula>
    </cfRule>
    <cfRule type="cellIs" dxfId="338" priority="744" stopIfTrue="1" operator="equal">
      <formula>#REF!</formula>
    </cfRule>
  </conditionalFormatting>
  <conditionalFormatting sqref="Y298:Y301">
    <cfRule type="cellIs" dxfId="337" priority="746" stopIfTrue="1" operator="equal">
      <formula>#REF!</formula>
    </cfRule>
  </conditionalFormatting>
  <conditionalFormatting sqref="Y302">
    <cfRule type="cellIs" dxfId="336" priority="736" stopIfTrue="1" operator="equal">
      <formula>#REF!</formula>
    </cfRule>
    <cfRule type="cellIs" dxfId="335" priority="737" stopIfTrue="1" operator="equal">
      <formula>#REF!</formula>
    </cfRule>
  </conditionalFormatting>
  <conditionalFormatting sqref="Y302:Y320">
    <cfRule type="cellIs" dxfId="334" priority="739" stopIfTrue="1" operator="equal">
      <formula>#REF!</formula>
    </cfRule>
  </conditionalFormatting>
  <conditionalFormatting sqref="Y304">
    <cfRule type="cellIs" dxfId="333" priority="729" stopIfTrue="1" operator="equal">
      <formula>#REF!</formula>
    </cfRule>
  </conditionalFormatting>
  <conditionalFormatting sqref="Y304:Y305">
    <cfRule type="cellIs" dxfId="332" priority="730" stopIfTrue="1" operator="equal">
      <formula>#REF!</formula>
    </cfRule>
  </conditionalFormatting>
  <conditionalFormatting sqref="Y306">
    <cfRule type="cellIs" dxfId="331" priority="723" stopIfTrue="1" operator="equal">
      <formula>#REF!</formula>
    </cfRule>
    <cfRule type="cellIs" dxfId="330" priority="722" stopIfTrue="1" operator="equal">
      <formula>#REF!</formula>
    </cfRule>
  </conditionalFormatting>
  <conditionalFormatting sqref="Y312">
    <cfRule type="cellIs" dxfId="329" priority="716" stopIfTrue="1" operator="equal">
      <formula>#REF!</formula>
    </cfRule>
    <cfRule type="cellIs" dxfId="328" priority="715" stopIfTrue="1" operator="equal">
      <formula>#REF!</formula>
    </cfRule>
  </conditionalFormatting>
  <conditionalFormatting sqref="Y314:Y318">
    <cfRule type="cellIs" dxfId="327" priority="99" stopIfTrue="1" operator="equal">
      <formula>#REF!</formula>
    </cfRule>
    <cfRule type="cellIs" dxfId="326" priority="100" stopIfTrue="1" operator="equal">
      <formula>#REF!</formula>
    </cfRule>
  </conditionalFormatting>
  <conditionalFormatting sqref="Y317">
    <cfRule type="cellIs" dxfId="325" priority="121" stopIfTrue="1" operator="equal">
      <formula>#REF!</formula>
    </cfRule>
    <cfRule type="cellIs" dxfId="324" priority="120" stopIfTrue="1" operator="equal">
      <formula>#REF!</formula>
    </cfRule>
  </conditionalFormatting>
  <conditionalFormatting sqref="Y321">
    <cfRule type="cellIs" dxfId="323" priority="702" stopIfTrue="1" operator="equal">
      <formula>#REF!</formula>
    </cfRule>
    <cfRule type="cellIs" dxfId="322" priority="701" stopIfTrue="1" operator="equal">
      <formula>#REF!</formula>
    </cfRule>
  </conditionalFormatting>
  <conditionalFormatting sqref="Y321:Y323">
    <cfRule type="cellIs" dxfId="321" priority="704" stopIfTrue="1" operator="equal">
      <formula>#REF!</formula>
    </cfRule>
  </conditionalFormatting>
  <conditionalFormatting sqref="Y324">
    <cfRule type="cellIs" dxfId="320" priority="695" stopIfTrue="1" operator="equal">
      <formula>#REF!</formula>
    </cfRule>
    <cfRule type="cellIs" dxfId="319" priority="694" stopIfTrue="1" operator="equal">
      <formula>#REF!</formula>
    </cfRule>
  </conditionalFormatting>
  <conditionalFormatting sqref="Y324:Y326">
    <cfRule type="cellIs" dxfId="318" priority="697" stopIfTrue="1" operator="equal">
      <formula>#REF!</formula>
    </cfRule>
  </conditionalFormatting>
  <conditionalFormatting sqref="Y327">
    <cfRule type="cellIs" dxfId="317" priority="688" stopIfTrue="1" operator="equal">
      <formula>#REF!</formula>
    </cfRule>
    <cfRule type="cellIs" dxfId="316" priority="687" stopIfTrue="1" operator="equal">
      <formula>#REF!</formula>
    </cfRule>
  </conditionalFormatting>
  <conditionalFormatting sqref="Y327:Y328">
    <cfRule type="cellIs" dxfId="315" priority="690" stopIfTrue="1" operator="equal">
      <formula>#REF!</formula>
    </cfRule>
  </conditionalFormatting>
  <conditionalFormatting sqref="Y329">
    <cfRule type="cellIs" dxfId="314" priority="681" stopIfTrue="1" operator="equal">
      <formula>#REF!</formula>
    </cfRule>
    <cfRule type="cellIs" dxfId="313" priority="680" stopIfTrue="1" operator="equal">
      <formula>#REF!</formula>
    </cfRule>
  </conditionalFormatting>
  <conditionalFormatting sqref="Y329:Y330">
    <cfRule type="cellIs" dxfId="312" priority="683" stopIfTrue="1" operator="equal">
      <formula>#REF!</formula>
    </cfRule>
  </conditionalFormatting>
  <conditionalFormatting sqref="Y331">
    <cfRule type="cellIs" dxfId="311" priority="673" stopIfTrue="1" operator="equal">
      <formula>#REF!</formula>
    </cfRule>
    <cfRule type="cellIs" dxfId="310" priority="674" stopIfTrue="1" operator="equal">
      <formula>#REF!</formula>
    </cfRule>
  </conditionalFormatting>
  <conditionalFormatting sqref="Y331:Y336">
    <cfRule type="cellIs" dxfId="309" priority="676" stopIfTrue="1" operator="equal">
      <formula>#REF!</formula>
    </cfRule>
  </conditionalFormatting>
  <conditionalFormatting sqref="Y333:Y334">
    <cfRule type="cellIs" dxfId="308" priority="667" stopIfTrue="1" operator="equal">
      <formula>#REF!</formula>
    </cfRule>
    <cfRule type="cellIs" dxfId="307" priority="666" stopIfTrue="1" operator="equal">
      <formula>#REF!</formula>
    </cfRule>
  </conditionalFormatting>
  <conditionalFormatting sqref="Y334">
    <cfRule type="cellIs" dxfId="306" priority="148" stopIfTrue="1" operator="equal">
      <formula>#REF!</formula>
    </cfRule>
    <cfRule type="cellIs" dxfId="305" priority="149" stopIfTrue="1" operator="equal">
      <formula>#REF!</formula>
    </cfRule>
  </conditionalFormatting>
  <conditionalFormatting sqref="Y337">
    <cfRule type="cellIs" dxfId="304" priority="659" stopIfTrue="1" operator="equal">
      <formula>#REF!</formula>
    </cfRule>
    <cfRule type="cellIs" dxfId="303" priority="660" stopIfTrue="1" operator="equal">
      <formula>#REF!</formula>
    </cfRule>
  </conditionalFormatting>
  <conditionalFormatting sqref="Y337:Y339">
    <cfRule type="cellIs" dxfId="302" priority="662" stopIfTrue="1" operator="equal">
      <formula>#REF!</formula>
    </cfRule>
  </conditionalFormatting>
  <conditionalFormatting sqref="Y340">
    <cfRule type="cellIs" dxfId="301" priority="653" stopIfTrue="1" operator="equal">
      <formula>#REF!</formula>
    </cfRule>
    <cfRule type="cellIs" dxfId="300" priority="652" stopIfTrue="1" operator="equal">
      <formula>#REF!</formula>
    </cfRule>
  </conditionalFormatting>
  <conditionalFormatting sqref="Y340:Y370">
    <cfRule type="cellIs" dxfId="299" priority="655" stopIfTrue="1" operator="equal">
      <formula>#REF!</formula>
    </cfRule>
  </conditionalFormatting>
  <conditionalFormatting sqref="Y343:Y349">
    <cfRule type="cellIs" dxfId="298" priority="646" stopIfTrue="1" operator="equal">
      <formula>#REF!</formula>
    </cfRule>
    <cfRule type="cellIs" dxfId="297" priority="645" stopIfTrue="1" operator="equal">
      <formula>#REF!</formula>
    </cfRule>
  </conditionalFormatting>
  <conditionalFormatting sqref="Y351">
    <cfRule type="cellIs" dxfId="296" priority="135" stopIfTrue="1" operator="equal">
      <formula>#REF!</formula>
    </cfRule>
    <cfRule type="cellIs" dxfId="295" priority="134" stopIfTrue="1" operator="equal">
      <formula>#REF!</formula>
    </cfRule>
  </conditionalFormatting>
  <conditionalFormatting sqref="Y371">
    <cfRule type="cellIs" dxfId="294" priority="638" stopIfTrue="1" operator="equal">
      <formula>#REF!</formula>
    </cfRule>
    <cfRule type="cellIs" dxfId="293" priority="639" stopIfTrue="1" operator="equal">
      <formula>#REF!</formula>
    </cfRule>
  </conditionalFormatting>
  <conditionalFormatting sqref="Y371:Y372">
    <cfRule type="cellIs" dxfId="292" priority="641" stopIfTrue="1" operator="equal">
      <formula>#REF!</formula>
    </cfRule>
  </conditionalFormatting>
  <conditionalFormatting sqref="Y373">
    <cfRule type="cellIs" dxfId="291" priority="632" stopIfTrue="1" operator="equal">
      <formula>#REF!</formula>
    </cfRule>
    <cfRule type="cellIs" dxfId="290" priority="631" stopIfTrue="1" operator="equal">
      <formula>#REF!</formula>
    </cfRule>
  </conditionalFormatting>
  <conditionalFormatting sqref="Y373:Y374">
    <cfRule type="cellIs" dxfId="289" priority="634" stopIfTrue="1" operator="equal">
      <formula>#REF!</formula>
    </cfRule>
  </conditionalFormatting>
  <conditionalFormatting sqref="Y375">
    <cfRule type="cellIs" dxfId="288" priority="624" stopIfTrue="1" operator="equal">
      <formula>#REF!</formula>
    </cfRule>
    <cfRule type="cellIs" dxfId="287" priority="625" stopIfTrue="1" operator="equal">
      <formula>#REF!</formula>
    </cfRule>
  </conditionalFormatting>
  <conditionalFormatting sqref="Y375:Y377">
    <cfRule type="cellIs" dxfId="286" priority="627" stopIfTrue="1" operator="equal">
      <formula>#REF!</formula>
    </cfRule>
  </conditionalFormatting>
  <conditionalFormatting sqref="Y378">
    <cfRule type="cellIs" dxfId="285" priority="618" stopIfTrue="1" operator="equal">
      <formula>#REF!</formula>
    </cfRule>
    <cfRule type="cellIs" dxfId="284" priority="617" stopIfTrue="1" operator="equal">
      <formula>#REF!</formula>
    </cfRule>
  </conditionalFormatting>
  <conditionalFormatting sqref="Y378:Y384">
    <cfRule type="cellIs" dxfId="283" priority="620" stopIfTrue="1" operator="equal">
      <formula>#REF!</formula>
    </cfRule>
  </conditionalFormatting>
  <conditionalFormatting sqref="Y385">
    <cfRule type="cellIs" dxfId="282" priority="561" stopIfTrue="1" operator="equal">
      <formula>#REF!</formula>
    </cfRule>
    <cfRule type="cellIs" dxfId="281" priority="562" stopIfTrue="1" operator="equal">
      <formula>#REF!</formula>
    </cfRule>
  </conditionalFormatting>
  <conditionalFormatting sqref="Y385:Y386">
    <cfRule type="cellIs" dxfId="280" priority="564" stopIfTrue="1" operator="equal">
      <formula>#REF!</formula>
    </cfRule>
  </conditionalFormatting>
  <conditionalFormatting sqref="Y387">
    <cfRule type="cellIs" dxfId="279" priority="555" stopIfTrue="1" operator="equal">
      <formula>#REF!</formula>
    </cfRule>
    <cfRule type="cellIs" dxfId="278" priority="554" stopIfTrue="1" operator="equal">
      <formula>#REF!</formula>
    </cfRule>
  </conditionalFormatting>
  <conditionalFormatting sqref="Y387:Y390">
    <cfRule type="cellIs" dxfId="277" priority="557" stopIfTrue="1" operator="equal">
      <formula>#REF!</formula>
    </cfRule>
  </conditionalFormatting>
  <conditionalFormatting sqref="Y391">
    <cfRule type="cellIs" dxfId="276" priority="547" stopIfTrue="1" operator="equal">
      <formula>#REF!</formula>
    </cfRule>
    <cfRule type="cellIs" dxfId="275" priority="548" stopIfTrue="1" operator="equal">
      <formula>#REF!</formula>
    </cfRule>
  </conditionalFormatting>
  <conditionalFormatting sqref="Y391:Y392">
    <cfRule type="cellIs" dxfId="274" priority="550" stopIfTrue="1" operator="equal">
      <formula>#REF!</formula>
    </cfRule>
  </conditionalFormatting>
  <conditionalFormatting sqref="Y393">
    <cfRule type="cellIs" dxfId="273" priority="541" stopIfTrue="1" operator="equal">
      <formula>#REF!</formula>
    </cfRule>
    <cfRule type="cellIs" dxfId="272" priority="540" stopIfTrue="1" operator="equal">
      <formula>#REF!</formula>
    </cfRule>
  </conditionalFormatting>
  <conditionalFormatting sqref="Y393:Y403">
    <cfRule type="cellIs" dxfId="271" priority="543" stopIfTrue="1" operator="equal">
      <formula>#REF!</formula>
    </cfRule>
  </conditionalFormatting>
  <conditionalFormatting sqref="Y397">
    <cfRule type="cellIs" dxfId="270" priority="533" stopIfTrue="1" operator="equal">
      <formula>#REF!</formula>
    </cfRule>
    <cfRule type="cellIs" dxfId="269" priority="534" stopIfTrue="1" operator="equal">
      <formula>#REF!</formula>
    </cfRule>
  </conditionalFormatting>
  <conditionalFormatting sqref="Y402">
    <cfRule type="cellIs" dxfId="268" priority="526" stopIfTrue="1" operator="equal">
      <formula>#REF!</formula>
    </cfRule>
  </conditionalFormatting>
  <conditionalFormatting sqref="Y402:Y403">
    <cfRule type="cellIs" dxfId="267" priority="527" stopIfTrue="1" operator="equal">
      <formula>#REF!</formula>
    </cfRule>
  </conditionalFormatting>
  <conditionalFormatting sqref="Y404">
    <cfRule type="cellIs" dxfId="266" priority="519" stopIfTrue="1" operator="equal">
      <formula>#REF!</formula>
    </cfRule>
    <cfRule type="cellIs" dxfId="265" priority="520" stopIfTrue="1" operator="equal">
      <formula>#REF!</formula>
    </cfRule>
  </conditionalFormatting>
  <conditionalFormatting sqref="Y404:Y405">
    <cfRule type="cellIs" dxfId="264" priority="522" stopIfTrue="1" operator="equal">
      <formula>#REF!</formula>
    </cfRule>
  </conditionalFormatting>
  <conditionalFormatting sqref="Y406:Y429">
    <cfRule type="cellIs" dxfId="263" priority="613" stopIfTrue="1" operator="equal">
      <formula>#REF!</formula>
    </cfRule>
  </conditionalFormatting>
  <conditionalFormatting sqref="Y408">
    <cfRule type="cellIs" dxfId="262" priority="610" stopIfTrue="1" operator="equal">
      <formula>#REF!</formula>
    </cfRule>
    <cfRule type="cellIs" dxfId="261" priority="611" stopIfTrue="1" operator="equal">
      <formula>#REF!</formula>
    </cfRule>
  </conditionalFormatting>
  <conditionalFormatting sqref="Y414:Y415">
    <cfRule type="cellIs" dxfId="260" priority="603" stopIfTrue="1" operator="equal">
      <formula>#REF!</formula>
    </cfRule>
    <cfRule type="cellIs" dxfId="259" priority="604" stopIfTrue="1" operator="equal">
      <formula>#REF!</formula>
    </cfRule>
    <cfRule type="cellIs" dxfId="258" priority="606" stopIfTrue="1" operator="equal">
      <formula>#REF!</formula>
    </cfRule>
  </conditionalFormatting>
  <conditionalFormatting sqref="Y417">
    <cfRule type="cellIs" dxfId="257" priority="596" stopIfTrue="1" operator="equal">
      <formula>#REF!</formula>
    </cfRule>
    <cfRule type="cellIs" dxfId="256" priority="597" stopIfTrue="1" operator="equal">
      <formula>#REF!</formula>
    </cfRule>
  </conditionalFormatting>
  <conditionalFormatting sqref="Y417:Y418">
    <cfRule type="cellIs" dxfId="255" priority="599" stopIfTrue="1" operator="equal">
      <formula>#REF!</formula>
    </cfRule>
  </conditionalFormatting>
  <conditionalFormatting sqref="Y419">
    <cfRule type="cellIs" dxfId="254" priority="590" stopIfTrue="1" operator="equal">
      <formula>#REF!</formula>
    </cfRule>
    <cfRule type="cellIs" dxfId="253" priority="589" stopIfTrue="1" operator="equal">
      <formula>#REF!</formula>
    </cfRule>
  </conditionalFormatting>
  <conditionalFormatting sqref="Y419:Y420">
    <cfRule type="cellIs" dxfId="252" priority="592" stopIfTrue="1" operator="equal">
      <formula>#REF!</formula>
    </cfRule>
  </conditionalFormatting>
  <conditionalFormatting sqref="Y421">
    <cfRule type="cellIs" dxfId="251" priority="583" stopIfTrue="1" operator="equal">
      <formula>#REF!</formula>
    </cfRule>
    <cfRule type="cellIs" dxfId="250" priority="582" stopIfTrue="1" operator="equal">
      <formula>#REF!</formula>
    </cfRule>
  </conditionalFormatting>
  <conditionalFormatting sqref="Y421:Y423">
    <cfRule type="cellIs" dxfId="249" priority="585" stopIfTrue="1" operator="equal">
      <formula>#REF!</formula>
    </cfRule>
  </conditionalFormatting>
  <conditionalFormatting sqref="Y424">
    <cfRule type="cellIs" dxfId="248" priority="576" stopIfTrue="1" operator="equal">
      <formula>#REF!</formula>
    </cfRule>
    <cfRule type="cellIs" dxfId="247" priority="575" stopIfTrue="1" operator="equal">
      <formula>#REF!</formula>
    </cfRule>
  </conditionalFormatting>
  <conditionalFormatting sqref="Y424:Y426">
    <cfRule type="cellIs" dxfId="246" priority="578" stopIfTrue="1" operator="equal">
      <formula>#REF!</formula>
    </cfRule>
  </conditionalFormatting>
  <conditionalFormatting sqref="Y427">
    <cfRule type="cellIs" dxfId="245" priority="568" stopIfTrue="1" operator="equal">
      <formula>#REF!</formula>
    </cfRule>
    <cfRule type="cellIs" dxfId="244" priority="569" stopIfTrue="1" operator="equal">
      <formula>#REF!</formula>
    </cfRule>
  </conditionalFormatting>
  <conditionalFormatting sqref="Y427:Y429">
    <cfRule type="cellIs" dxfId="243" priority="571" stopIfTrue="1" operator="equal">
      <formula>#REF!</formula>
    </cfRule>
  </conditionalFormatting>
  <conditionalFormatting sqref="Y431">
    <cfRule type="cellIs" dxfId="242" priority="506" stopIfTrue="1" operator="equal">
      <formula>#REF!</formula>
    </cfRule>
    <cfRule type="cellIs" dxfId="241" priority="505" stopIfTrue="1" operator="equal">
      <formula>#REF!</formula>
    </cfRule>
  </conditionalFormatting>
  <conditionalFormatting sqref="Y431:Y432">
    <cfRule type="cellIs" dxfId="240" priority="508" stopIfTrue="1" operator="equal">
      <formula>#REF!</formula>
    </cfRule>
  </conditionalFormatting>
  <conditionalFormatting sqref="Y433">
    <cfRule type="cellIs" dxfId="239" priority="498" stopIfTrue="1" operator="equal">
      <formula>#REF!</formula>
    </cfRule>
    <cfRule type="cellIs" dxfId="238" priority="499" stopIfTrue="1" operator="equal">
      <formula>#REF!</formula>
    </cfRule>
  </conditionalFormatting>
  <conditionalFormatting sqref="Y433:Y435">
    <cfRule type="cellIs" dxfId="237" priority="501" stopIfTrue="1" operator="equal">
      <formula>#REF!</formula>
    </cfRule>
  </conditionalFormatting>
  <conditionalFormatting sqref="Y436">
    <cfRule type="cellIs" dxfId="236" priority="492" stopIfTrue="1" operator="equal">
      <formula>#REF!</formula>
    </cfRule>
    <cfRule type="cellIs" dxfId="235" priority="491" stopIfTrue="1" operator="equal">
      <formula>#REF!</formula>
    </cfRule>
  </conditionalFormatting>
  <conditionalFormatting sqref="Y436:Y437">
    <cfRule type="cellIs" dxfId="234" priority="494" stopIfTrue="1" operator="equal">
      <formula>#REF!</formula>
    </cfRule>
  </conditionalFormatting>
  <conditionalFormatting sqref="Y438">
    <cfRule type="cellIs" dxfId="233" priority="484" stopIfTrue="1" operator="equal">
      <formula>#REF!</formula>
    </cfRule>
    <cfRule type="cellIs" dxfId="232" priority="485" stopIfTrue="1" operator="equal">
      <formula>#REF!</formula>
    </cfRule>
  </conditionalFormatting>
  <conditionalFormatting sqref="Y438:Y440">
    <cfRule type="cellIs" dxfId="231" priority="487" stopIfTrue="1" operator="equal">
      <formula>#REF!</formula>
    </cfRule>
  </conditionalFormatting>
  <conditionalFormatting sqref="Y441">
    <cfRule type="cellIs" dxfId="230" priority="478" stopIfTrue="1" operator="equal">
      <formula>#REF!</formula>
    </cfRule>
    <cfRule type="cellIs" dxfId="229" priority="477" stopIfTrue="1" operator="equal">
      <formula>#REF!</formula>
    </cfRule>
  </conditionalFormatting>
  <conditionalFormatting sqref="Y441:Y443">
    <cfRule type="cellIs" dxfId="228" priority="480" stopIfTrue="1" operator="equal">
      <formula>#REF!</formula>
    </cfRule>
  </conditionalFormatting>
  <conditionalFormatting sqref="Y444">
    <cfRule type="cellIs" dxfId="227" priority="471" stopIfTrue="1" operator="equal">
      <formula>#REF!</formula>
    </cfRule>
    <cfRule type="cellIs" dxfId="226" priority="470" stopIfTrue="1" operator="equal">
      <formula>#REF!</formula>
    </cfRule>
  </conditionalFormatting>
  <conditionalFormatting sqref="Y444:Y445">
    <cfRule type="cellIs" dxfId="225" priority="473" stopIfTrue="1" operator="equal">
      <formula>#REF!</formula>
    </cfRule>
  </conditionalFormatting>
  <conditionalFormatting sqref="Y446">
    <cfRule type="cellIs" dxfId="224" priority="463" stopIfTrue="1" operator="equal">
      <formula>#REF!</formula>
    </cfRule>
    <cfRule type="cellIs" dxfId="223" priority="464" stopIfTrue="1" operator="equal">
      <formula>#REF!</formula>
    </cfRule>
  </conditionalFormatting>
  <conditionalFormatting sqref="Y448:Y449">
    <cfRule type="cellIs" dxfId="222" priority="415" stopIfTrue="1" operator="equal">
      <formula>#REF!</formula>
    </cfRule>
  </conditionalFormatting>
  <conditionalFormatting sqref="Y449">
    <cfRule type="cellIs" dxfId="221" priority="414" stopIfTrue="1" operator="equal">
      <formula>#REF!</formula>
    </cfRule>
  </conditionalFormatting>
  <conditionalFormatting sqref="Y449:Y451">
    <cfRule type="cellIs" dxfId="220" priority="417" stopIfTrue="1" operator="equal">
      <formula>#REF!</formula>
    </cfRule>
  </conditionalFormatting>
  <conditionalFormatting sqref="Y452">
    <cfRule type="cellIs" dxfId="219" priority="407" stopIfTrue="1" operator="equal">
      <formula>#REF!</formula>
    </cfRule>
    <cfRule type="cellIs" dxfId="218" priority="408" stopIfTrue="1" operator="equal">
      <formula>#REF!</formula>
    </cfRule>
  </conditionalFormatting>
  <conditionalFormatting sqref="Y452:Y454">
    <cfRule type="cellIs" dxfId="217" priority="410" stopIfTrue="1" operator="equal">
      <formula>#REF!</formula>
    </cfRule>
  </conditionalFormatting>
  <conditionalFormatting sqref="Y455">
    <cfRule type="cellIs" dxfId="216" priority="401" stopIfTrue="1" operator="equal">
      <formula>#REF!</formula>
    </cfRule>
    <cfRule type="cellIs" dxfId="215" priority="400" stopIfTrue="1" operator="equal">
      <formula>#REF!</formula>
    </cfRule>
  </conditionalFormatting>
  <conditionalFormatting sqref="Y455:Y456">
    <cfRule type="cellIs" dxfId="214" priority="403" stopIfTrue="1" operator="equal">
      <formula>#REF!</formula>
    </cfRule>
  </conditionalFormatting>
  <conditionalFormatting sqref="Y457">
    <cfRule type="cellIs" dxfId="213" priority="394" stopIfTrue="1" operator="equal">
      <formula>#REF!</formula>
    </cfRule>
    <cfRule type="cellIs" dxfId="212" priority="393" stopIfTrue="1" operator="equal">
      <formula>#REF!</formula>
    </cfRule>
  </conditionalFormatting>
  <conditionalFormatting sqref="Y457:Y458">
    <cfRule type="cellIs" dxfId="211" priority="396" stopIfTrue="1" operator="equal">
      <formula>#REF!</formula>
    </cfRule>
  </conditionalFormatting>
  <conditionalFormatting sqref="Y459">
    <cfRule type="cellIs" dxfId="210" priority="386" stopIfTrue="1" operator="equal">
      <formula>#REF!</formula>
    </cfRule>
    <cfRule type="cellIs" dxfId="209" priority="387" stopIfTrue="1" operator="equal">
      <formula>#REF!</formula>
    </cfRule>
  </conditionalFormatting>
  <conditionalFormatting sqref="Y459:Y464">
    <cfRule type="cellIs" dxfId="208" priority="389" stopIfTrue="1" operator="equal">
      <formula>#REF!</formula>
    </cfRule>
  </conditionalFormatting>
  <conditionalFormatting sqref="Y465">
    <cfRule type="cellIs" dxfId="207" priority="379" stopIfTrue="1" operator="equal">
      <formula>#REF!</formula>
    </cfRule>
    <cfRule type="cellIs" dxfId="206" priority="380" stopIfTrue="1" operator="equal">
      <formula>#REF!</formula>
    </cfRule>
  </conditionalFormatting>
  <conditionalFormatting sqref="Y465:Y466">
    <cfRule type="cellIs" dxfId="205" priority="382" stopIfTrue="1" operator="equal">
      <formula>#REF!</formula>
    </cfRule>
  </conditionalFormatting>
  <conditionalFormatting sqref="Y467:Y481">
    <cfRule type="cellIs" dxfId="204" priority="373" stopIfTrue="1" operator="equal">
      <formula>#REF!</formula>
    </cfRule>
    <cfRule type="cellIs" dxfId="203" priority="372" stopIfTrue="1" operator="equal">
      <formula>#REF!</formula>
    </cfRule>
  </conditionalFormatting>
  <conditionalFormatting sqref="Y467:Y482">
    <cfRule type="cellIs" dxfId="202" priority="375" stopIfTrue="1" operator="equal">
      <formula>#REF!</formula>
    </cfRule>
  </conditionalFormatting>
  <conditionalFormatting sqref="Y468:Y470">
    <cfRule type="cellIs" dxfId="201" priority="459" stopIfTrue="1" operator="equal">
      <formula>#REF!</formula>
    </cfRule>
  </conditionalFormatting>
  <conditionalFormatting sqref="Y469">
    <cfRule type="cellIs" dxfId="200" priority="457" stopIfTrue="1" operator="equal">
      <formula>#REF!</formula>
    </cfRule>
  </conditionalFormatting>
  <conditionalFormatting sqref="Y471">
    <cfRule type="cellIs" dxfId="199" priority="450" stopIfTrue="1" operator="equal">
      <formula>#REF!</formula>
    </cfRule>
  </conditionalFormatting>
  <conditionalFormatting sqref="Y471:Y473">
    <cfRule type="cellIs" dxfId="198" priority="452" stopIfTrue="1" operator="equal">
      <formula>#REF!</formula>
    </cfRule>
  </conditionalFormatting>
  <conditionalFormatting sqref="Y474">
    <cfRule type="cellIs" dxfId="197" priority="443" stopIfTrue="1" operator="equal">
      <formula>#REF!</formula>
    </cfRule>
  </conditionalFormatting>
  <conditionalFormatting sqref="Y474:Y475">
    <cfRule type="cellIs" dxfId="196" priority="445" stopIfTrue="1" operator="equal">
      <formula>#REF!</formula>
    </cfRule>
  </conditionalFormatting>
  <conditionalFormatting sqref="Y476">
    <cfRule type="cellIs" dxfId="195" priority="436" stopIfTrue="1" operator="equal">
      <formula>#REF!</formula>
    </cfRule>
  </conditionalFormatting>
  <conditionalFormatting sqref="Y476:Y478">
    <cfRule type="cellIs" dxfId="194" priority="438" stopIfTrue="1" operator="equal">
      <formula>#REF!</formula>
    </cfRule>
  </conditionalFormatting>
  <conditionalFormatting sqref="Y479">
    <cfRule type="cellIs" dxfId="193" priority="429" stopIfTrue="1" operator="equal">
      <formula>#REF!</formula>
    </cfRule>
  </conditionalFormatting>
  <conditionalFormatting sqref="Y479:Y481">
    <cfRule type="cellIs" dxfId="192" priority="431" stopIfTrue="1" operator="equal">
      <formula>#REF!</formula>
    </cfRule>
  </conditionalFormatting>
  <conditionalFormatting sqref="Y481:Y482">
    <cfRule type="cellIs" dxfId="191" priority="422" stopIfTrue="1" operator="equal">
      <formula>#REF!</formula>
    </cfRule>
  </conditionalFormatting>
  <conditionalFormatting sqref="Y483:Y484">
    <cfRule type="cellIs" dxfId="190" priority="366" stopIfTrue="1" operator="equal">
      <formula>#REF!</formula>
    </cfRule>
    <cfRule type="cellIs" dxfId="189" priority="365" stopIfTrue="1" operator="equal">
      <formula>#REF!</formula>
    </cfRule>
  </conditionalFormatting>
  <conditionalFormatting sqref="Y483:Y485">
    <cfRule type="cellIs" dxfId="188" priority="368" stopIfTrue="1" operator="equal">
      <formula>#REF!</formula>
    </cfRule>
  </conditionalFormatting>
  <conditionalFormatting sqref="Y486">
    <cfRule type="cellIs" dxfId="187" priority="359" stopIfTrue="1" operator="equal">
      <formula>#REF!</formula>
    </cfRule>
    <cfRule type="cellIs" dxfId="186" priority="358" stopIfTrue="1" operator="equal">
      <formula>#REF!</formula>
    </cfRule>
  </conditionalFormatting>
  <conditionalFormatting sqref="Y486:Y487">
    <cfRule type="cellIs" dxfId="185" priority="361" stopIfTrue="1" operator="equal">
      <formula>#REF!</formula>
    </cfRule>
  </conditionalFormatting>
  <conditionalFormatting sqref="Y488">
    <cfRule type="cellIs" dxfId="184" priority="352" stopIfTrue="1" operator="equal">
      <formula>#REF!</formula>
    </cfRule>
    <cfRule type="cellIs" dxfId="183" priority="351" stopIfTrue="1" operator="equal">
      <formula>#REF!</formula>
    </cfRule>
  </conditionalFormatting>
  <conditionalFormatting sqref="Y488:Y491">
    <cfRule type="cellIs" dxfId="182" priority="354" stopIfTrue="1" operator="equal">
      <formula>#REF!</formula>
    </cfRule>
  </conditionalFormatting>
  <conditionalFormatting sqref="Y492">
    <cfRule type="cellIs" dxfId="181" priority="345" stopIfTrue="1" operator="equal">
      <formula>#REF!</formula>
    </cfRule>
    <cfRule type="cellIs" dxfId="180" priority="344" stopIfTrue="1" operator="equal">
      <formula>#REF!</formula>
    </cfRule>
  </conditionalFormatting>
  <conditionalFormatting sqref="Y492:Y493">
    <cfRule type="cellIs" dxfId="179" priority="347" stopIfTrue="1" operator="equal">
      <formula>#REF!</formula>
    </cfRule>
  </conditionalFormatting>
  <conditionalFormatting sqref="Y494">
    <cfRule type="cellIs" dxfId="178" priority="338" stopIfTrue="1" operator="equal">
      <formula>#REF!</formula>
    </cfRule>
    <cfRule type="cellIs" dxfId="177" priority="337" stopIfTrue="1" operator="equal">
      <formula>#REF!</formula>
    </cfRule>
  </conditionalFormatting>
  <conditionalFormatting sqref="Y494:Y495">
    <cfRule type="cellIs" dxfId="176" priority="340" stopIfTrue="1" operator="equal">
      <formula>#REF!</formula>
    </cfRule>
  </conditionalFormatting>
  <conditionalFormatting sqref="Y496">
    <cfRule type="cellIs" dxfId="175" priority="331" stopIfTrue="1" operator="equal">
      <formula>#REF!</formula>
    </cfRule>
    <cfRule type="cellIs" dxfId="174" priority="330" stopIfTrue="1" operator="equal">
      <formula>#REF!</formula>
    </cfRule>
  </conditionalFormatting>
  <conditionalFormatting sqref="Y496:Y498">
    <cfRule type="cellIs" dxfId="173" priority="333" stopIfTrue="1" operator="equal">
      <formula>#REF!</formula>
    </cfRule>
  </conditionalFormatting>
  <conditionalFormatting sqref="Y499">
    <cfRule type="cellIs" dxfId="172" priority="324" stopIfTrue="1" operator="equal">
      <formula>#REF!</formula>
    </cfRule>
    <cfRule type="cellIs" dxfId="171" priority="323" stopIfTrue="1" operator="equal">
      <formula>#REF!</formula>
    </cfRule>
  </conditionalFormatting>
  <conditionalFormatting sqref="Y499:Y502">
    <cfRule type="cellIs" dxfId="170" priority="326" stopIfTrue="1" operator="equal">
      <formula>#REF!</formula>
    </cfRule>
  </conditionalFormatting>
  <conditionalFormatting sqref="Y503">
    <cfRule type="cellIs" dxfId="169" priority="316" stopIfTrue="1" operator="equal">
      <formula>#REF!</formula>
    </cfRule>
    <cfRule type="cellIs" dxfId="168" priority="317" stopIfTrue="1" operator="equal">
      <formula>#REF!</formula>
    </cfRule>
  </conditionalFormatting>
  <conditionalFormatting sqref="Y503:Y504">
    <cfRule type="cellIs" dxfId="167" priority="319" stopIfTrue="1" operator="equal">
      <formula>#REF!</formula>
    </cfRule>
  </conditionalFormatting>
  <conditionalFormatting sqref="Y505">
    <cfRule type="cellIs" dxfId="166" priority="309" stopIfTrue="1" operator="equal">
      <formula>#REF!</formula>
    </cfRule>
    <cfRule type="cellIs" dxfId="165" priority="310" stopIfTrue="1" operator="equal">
      <formula>#REF!</formula>
    </cfRule>
  </conditionalFormatting>
  <conditionalFormatting sqref="Y505:Y507">
    <cfRule type="cellIs" dxfId="164" priority="312" stopIfTrue="1" operator="equal">
      <formula>#REF!</formula>
    </cfRule>
  </conditionalFormatting>
  <conditionalFormatting sqref="Y508">
    <cfRule type="cellIs" dxfId="163" priority="302" stopIfTrue="1" operator="equal">
      <formula>#REF!</formula>
    </cfRule>
    <cfRule type="cellIs" dxfId="162" priority="303" stopIfTrue="1" operator="equal">
      <formula>#REF!</formula>
    </cfRule>
  </conditionalFormatting>
  <conditionalFormatting sqref="Y508:Y510">
    <cfRule type="cellIs" dxfId="161" priority="305" stopIfTrue="1" operator="equal">
      <formula>#REF!</formula>
    </cfRule>
  </conditionalFormatting>
  <conditionalFormatting sqref="Y511">
    <cfRule type="cellIs" dxfId="160" priority="295" stopIfTrue="1" operator="equal">
      <formula>#REF!</formula>
    </cfRule>
    <cfRule type="cellIs" dxfId="159" priority="296" stopIfTrue="1" operator="equal">
      <formula>#REF!</formula>
    </cfRule>
  </conditionalFormatting>
  <conditionalFormatting sqref="Y511:Y514">
    <cfRule type="cellIs" dxfId="158" priority="298" stopIfTrue="1" operator="equal">
      <formula>#REF!</formula>
    </cfRule>
  </conditionalFormatting>
  <conditionalFormatting sqref="Y515">
    <cfRule type="cellIs" dxfId="157" priority="288" stopIfTrue="1" operator="equal">
      <formula>#REF!</formula>
    </cfRule>
    <cfRule type="cellIs" dxfId="156" priority="289" stopIfTrue="1" operator="equal">
      <formula>#REF!</formula>
    </cfRule>
  </conditionalFormatting>
  <conditionalFormatting sqref="Y515:Y518">
    <cfRule type="cellIs" dxfId="155" priority="291" stopIfTrue="1" operator="equal">
      <formula>#REF!</formula>
    </cfRule>
  </conditionalFormatting>
  <conditionalFormatting sqref="Y519">
    <cfRule type="cellIs" dxfId="154" priority="281" stopIfTrue="1" operator="equal">
      <formula>#REF!</formula>
    </cfRule>
    <cfRule type="cellIs" dxfId="153" priority="282" stopIfTrue="1" operator="equal">
      <formula>#REF!</formula>
    </cfRule>
  </conditionalFormatting>
  <conditionalFormatting sqref="Y519:Y520">
    <cfRule type="cellIs" dxfId="152" priority="284" stopIfTrue="1" operator="equal">
      <formula>#REF!</formula>
    </cfRule>
  </conditionalFormatting>
  <conditionalFormatting sqref="Y521">
    <cfRule type="cellIs" dxfId="151" priority="275" stopIfTrue="1" operator="equal">
      <formula>#REF!</formula>
    </cfRule>
    <cfRule type="cellIs" dxfId="150" priority="274" stopIfTrue="1" operator="equal">
      <formula>#REF!</formula>
    </cfRule>
  </conditionalFormatting>
  <conditionalFormatting sqref="Y521:Y523">
    <cfRule type="cellIs" dxfId="149" priority="277" stopIfTrue="1" operator="equal">
      <formula>#REF!</formula>
    </cfRule>
  </conditionalFormatting>
  <conditionalFormatting sqref="Y524">
    <cfRule type="cellIs" dxfId="148" priority="267" stopIfTrue="1" operator="equal">
      <formula>#REF!</formula>
    </cfRule>
    <cfRule type="cellIs" dxfId="147" priority="268" stopIfTrue="1" operator="equal">
      <formula>#REF!</formula>
    </cfRule>
  </conditionalFormatting>
  <conditionalFormatting sqref="Y524:Y526">
    <cfRule type="cellIs" dxfId="146" priority="270" stopIfTrue="1" operator="equal">
      <formula>#REF!</formula>
    </cfRule>
  </conditionalFormatting>
  <conditionalFormatting sqref="Y527">
    <cfRule type="cellIs" dxfId="145" priority="261" stopIfTrue="1" operator="equal">
      <formula>#REF!</formula>
    </cfRule>
    <cfRule type="cellIs" dxfId="144" priority="260" stopIfTrue="1" operator="equal">
      <formula>#REF!</formula>
    </cfRule>
  </conditionalFormatting>
  <conditionalFormatting sqref="Y527:Y528">
    <cfRule type="cellIs" dxfId="143" priority="263" stopIfTrue="1" operator="equal">
      <formula>#REF!</formula>
    </cfRule>
  </conditionalFormatting>
  <conditionalFormatting sqref="Y529">
    <cfRule type="cellIs" dxfId="142" priority="253" stopIfTrue="1" operator="equal">
      <formula>#REF!</formula>
    </cfRule>
    <cfRule type="cellIs" dxfId="141" priority="254" stopIfTrue="1" operator="equal">
      <formula>#REF!</formula>
    </cfRule>
  </conditionalFormatting>
  <conditionalFormatting sqref="Y529:Y536">
    <cfRule type="cellIs" dxfId="140" priority="256" stopIfTrue="1" operator="equal">
      <formula>#REF!</formula>
    </cfRule>
  </conditionalFormatting>
  <conditionalFormatting sqref="Y537">
    <cfRule type="cellIs" dxfId="139" priority="246" stopIfTrue="1" operator="equal">
      <formula>#REF!</formula>
    </cfRule>
    <cfRule type="cellIs" dxfId="138" priority="247" stopIfTrue="1" operator="equal">
      <formula>#REF!</formula>
    </cfRule>
  </conditionalFormatting>
  <conditionalFormatting sqref="Y537:Y538">
    <cfRule type="cellIs" dxfId="137" priority="249" stopIfTrue="1" operator="equal">
      <formula>#REF!</formula>
    </cfRule>
  </conditionalFormatting>
  <conditionalFormatting sqref="Y539">
    <cfRule type="cellIs" dxfId="136" priority="239" stopIfTrue="1" operator="equal">
      <formula>#REF!</formula>
    </cfRule>
    <cfRule type="cellIs" dxfId="135" priority="240" stopIfTrue="1" operator="equal">
      <formula>#REF!</formula>
    </cfRule>
  </conditionalFormatting>
  <conditionalFormatting sqref="Y539:Y540">
    <cfRule type="cellIs" dxfId="134" priority="242" stopIfTrue="1" operator="equal">
      <formula>#REF!</formula>
    </cfRule>
  </conditionalFormatting>
  <conditionalFormatting sqref="Y541">
    <cfRule type="cellIs" dxfId="133" priority="233" stopIfTrue="1" operator="equal">
      <formula>#REF!</formula>
    </cfRule>
    <cfRule type="cellIs" dxfId="132" priority="232" stopIfTrue="1" operator="equal">
      <formula>#REF!</formula>
    </cfRule>
  </conditionalFormatting>
  <conditionalFormatting sqref="Y541:Y544">
    <cfRule type="cellIs" dxfId="131" priority="235" stopIfTrue="1" operator="equal">
      <formula>#REF!</formula>
    </cfRule>
  </conditionalFormatting>
  <conditionalFormatting sqref="Y545">
    <cfRule type="cellIs" dxfId="130" priority="225" stopIfTrue="1" operator="equal">
      <formula>#REF!</formula>
    </cfRule>
    <cfRule type="cellIs" dxfId="129" priority="226" stopIfTrue="1" operator="equal">
      <formula>#REF!</formula>
    </cfRule>
  </conditionalFormatting>
  <conditionalFormatting sqref="Y545:Y555">
    <cfRule type="cellIs" dxfId="128" priority="228" stopIfTrue="1" operator="equal">
      <formula>#REF!</formula>
    </cfRule>
  </conditionalFormatting>
  <conditionalFormatting sqref="Y549">
    <cfRule type="cellIs" dxfId="127" priority="218" stopIfTrue="1" operator="equal">
      <formula>#REF!</formula>
    </cfRule>
    <cfRule type="cellIs" dxfId="126" priority="219" stopIfTrue="1" operator="equal">
      <formula>#REF!</formula>
    </cfRule>
  </conditionalFormatting>
  <conditionalFormatting sqref="Y556">
    <cfRule type="cellIs" dxfId="125" priority="211" stopIfTrue="1" operator="equal">
      <formula>#REF!</formula>
    </cfRule>
    <cfRule type="cellIs" dxfId="124" priority="212" stopIfTrue="1" operator="equal">
      <formula>#REF!</formula>
    </cfRule>
  </conditionalFormatting>
  <conditionalFormatting sqref="Y556:Y560">
    <cfRule type="cellIs" dxfId="123" priority="214" stopIfTrue="1" operator="equal">
      <formula>#REF!</formula>
    </cfRule>
  </conditionalFormatting>
  <conditionalFormatting sqref="Y561:Y562">
    <cfRule type="cellIs" dxfId="122" priority="204" stopIfTrue="1" operator="equal">
      <formula>#REF!</formula>
    </cfRule>
    <cfRule type="cellIs" dxfId="121" priority="205" stopIfTrue="1" operator="equal">
      <formula>#REF!</formula>
    </cfRule>
  </conditionalFormatting>
  <conditionalFormatting sqref="Y561:Y563">
    <cfRule type="cellIs" dxfId="120" priority="207" stopIfTrue="1" operator="equal">
      <formula>#REF!</formula>
    </cfRule>
  </conditionalFormatting>
  <conditionalFormatting sqref="Y564:Y565">
    <cfRule type="cellIs" dxfId="119" priority="197" stopIfTrue="1" operator="equal">
      <formula>#REF!</formula>
    </cfRule>
    <cfRule type="cellIs" dxfId="118" priority="198" stopIfTrue="1" operator="equal">
      <formula>#REF!</formula>
    </cfRule>
  </conditionalFormatting>
  <conditionalFormatting sqref="Y564:Y566">
    <cfRule type="cellIs" dxfId="117" priority="200" stopIfTrue="1" operator="equal">
      <formula>#REF!</formula>
    </cfRule>
  </conditionalFormatting>
  <conditionalFormatting sqref="Y567">
    <cfRule type="cellIs" dxfId="116" priority="190" stopIfTrue="1" operator="equal">
      <formula>#REF!</formula>
    </cfRule>
    <cfRule type="cellIs" dxfId="115" priority="191" stopIfTrue="1" operator="equal">
      <formula>#REF!</formula>
    </cfRule>
  </conditionalFormatting>
  <conditionalFormatting sqref="Y567:Y568">
    <cfRule type="cellIs" dxfId="114" priority="193" stopIfTrue="1" operator="equal">
      <formula>#REF!</formula>
    </cfRule>
  </conditionalFormatting>
  <conditionalFormatting sqref="Y569:Y570">
    <cfRule type="cellIs" dxfId="113" priority="183" stopIfTrue="1" operator="equal">
      <formula>#REF!</formula>
    </cfRule>
    <cfRule type="cellIs" dxfId="112" priority="184" stopIfTrue="1" operator="equal">
      <formula>#REF!</formula>
    </cfRule>
  </conditionalFormatting>
  <conditionalFormatting sqref="Y569:Y571">
    <cfRule type="cellIs" dxfId="111" priority="186" stopIfTrue="1" operator="equal">
      <formula>#REF!</formula>
    </cfRule>
  </conditionalFormatting>
  <conditionalFormatting sqref="Y572:Y576">
    <cfRule type="cellIs" dxfId="110" priority="176" stopIfTrue="1" operator="equal">
      <formula>#REF!</formula>
    </cfRule>
    <cfRule type="cellIs" dxfId="109" priority="177" stopIfTrue="1" operator="equal">
      <formula>#REF!</formula>
    </cfRule>
  </conditionalFormatting>
  <conditionalFormatting sqref="Y572:Y577">
    <cfRule type="cellIs" dxfId="108" priority="179" stopIfTrue="1" operator="equal">
      <formula>#REF!</formula>
    </cfRule>
  </conditionalFormatting>
  <conditionalFormatting sqref="Y578:Y579">
    <cfRule type="cellIs" dxfId="107" priority="170" stopIfTrue="1" operator="equal">
      <formula>#REF!</formula>
    </cfRule>
    <cfRule type="cellIs" dxfId="106" priority="169" stopIfTrue="1" operator="equal">
      <formula>#REF!</formula>
    </cfRule>
  </conditionalFormatting>
  <conditionalFormatting sqref="Y578:Y580">
    <cfRule type="cellIs" dxfId="105" priority="172" stopIfTrue="1" operator="equal">
      <formula>#REF!</formula>
    </cfRule>
  </conditionalFormatting>
  <conditionalFormatting sqref="Y581">
    <cfRule type="cellIs" dxfId="104" priority="163" stopIfTrue="1" operator="equal">
      <formula>#REF!</formula>
    </cfRule>
    <cfRule type="cellIs" dxfId="103" priority="162" stopIfTrue="1" operator="equal">
      <formula>#REF!</formula>
    </cfRule>
  </conditionalFormatting>
  <conditionalFormatting sqref="Y581:Y582">
    <cfRule type="cellIs" dxfId="102" priority="165" stopIfTrue="1" operator="equal">
      <formula>#REF!</formula>
    </cfRule>
  </conditionalFormatting>
  <conditionalFormatting sqref="Y583:Y587">
    <cfRule type="cellIs" dxfId="101" priority="156" stopIfTrue="1" operator="equal">
      <formula>#REF!</formula>
    </cfRule>
    <cfRule type="cellIs" dxfId="100" priority="155" stopIfTrue="1" operator="equal">
      <formula>#REF!</formula>
    </cfRule>
  </conditionalFormatting>
  <conditionalFormatting sqref="Y583:Y64708">
    <cfRule type="cellIs" dxfId="99" priority="158" stopIfTrue="1" operator="equal">
      <formula>#REF!</formula>
    </cfRule>
  </conditionalFormatting>
  <conditionalFormatting sqref="Z385">
    <cfRule type="cellIs" dxfId="98" priority="58" stopIfTrue="1" operator="equal">
      <formula>"Standard"</formula>
    </cfRule>
    <cfRule type="expression" dxfId="97" priority="60" stopIfTrue="1">
      <formula>OR(Z385="Customisation",Z385="Extension")</formula>
    </cfRule>
    <cfRule type="cellIs" dxfId="96" priority="59" stopIfTrue="1" operator="equal">
      <formula>"Configuration"</formula>
    </cfRule>
  </conditionalFormatting>
  <conditionalFormatting sqref="Z387">
    <cfRule type="cellIs" dxfId="95" priority="62" stopIfTrue="1" operator="equal">
      <formula>"Configuration"</formula>
    </cfRule>
    <cfRule type="expression" dxfId="94" priority="63" stopIfTrue="1">
      <formula>OR(Z387="Customisation",Z387="Extension")</formula>
    </cfRule>
    <cfRule type="cellIs" dxfId="93" priority="61" stopIfTrue="1" operator="equal">
      <formula>"Standard"</formula>
    </cfRule>
  </conditionalFormatting>
  <conditionalFormatting sqref="Z391">
    <cfRule type="cellIs" dxfId="92" priority="64" stopIfTrue="1" operator="equal">
      <formula>"Standard"</formula>
    </cfRule>
    <cfRule type="cellIs" dxfId="91" priority="65" stopIfTrue="1" operator="equal">
      <formula>"Configuration"</formula>
    </cfRule>
    <cfRule type="expression" dxfId="90" priority="66" stopIfTrue="1">
      <formula>OR(Z391="Customisation",Z391="Extension")</formula>
    </cfRule>
  </conditionalFormatting>
  <conditionalFormatting sqref="Z397">
    <cfRule type="cellIs" dxfId="89" priority="68" stopIfTrue="1" operator="equal">
      <formula>"Configuration"</formula>
    </cfRule>
    <cfRule type="cellIs" dxfId="88" priority="67" stopIfTrue="1" operator="equal">
      <formula>"Standard"</formula>
    </cfRule>
    <cfRule type="expression" dxfId="87" priority="69" stopIfTrue="1">
      <formula>OR(Z397="Customisation",Z397="Extension")</formula>
    </cfRule>
  </conditionalFormatting>
  <conditionalFormatting sqref="Z401">
    <cfRule type="expression" dxfId="86" priority="72" stopIfTrue="1">
      <formula>OR(Z401="Customisation",Z401="Extension")</formula>
    </cfRule>
    <cfRule type="cellIs" dxfId="85" priority="70" stopIfTrue="1" operator="equal">
      <formula>"Standard"</formula>
    </cfRule>
    <cfRule type="cellIs" dxfId="84" priority="71" stopIfTrue="1" operator="equal">
      <formula>"Configuration"</formula>
    </cfRule>
  </conditionalFormatting>
  <conditionalFormatting sqref="Z405">
    <cfRule type="expression" dxfId="83" priority="75" stopIfTrue="1">
      <formula>OR(Z405="Customisation",Z405="Extension")</formula>
    </cfRule>
    <cfRule type="cellIs" dxfId="82" priority="74" stopIfTrue="1" operator="equal">
      <formula>"Configuration"</formula>
    </cfRule>
    <cfRule type="cellIs" dxfId="81" priority="73" stopIfTrue="1" operator="equal">
      <formula>"Standard"</formula>
    </cfRule>
  </conditionalFormatting>
  <conditionalFormatting sqref="Z424">
    <cfRule type="cellIs" dxfId="80" priority="52" stopIfTrue="1" operator="equal">
      <formula>"Standard"</formula>
    </cfRule>
    <cfRule type="cellIs" dxfId="79" priority="53" stopIfTrue="1" operator="equal">
      <formula>"Configuration"</formula>
    </cfRule>
    <cfRule type="expression" dxfId="78" priority="54" stopIfTrue="1">
      <formula>OR(Z424="Customisation",Z424="Extension")</formula>
    </cfRule>
  </conditionalFormatting>
  <conditionalFormatting sqref="Z427">
    <cfRule type="cellIs" dxfId="77" priority="56" stopIfTrue="1" operator="equal">
      <formula>"Configuration"</formula>
    </cfRule>
    <cfRule type="cellIs" dxfId="76" priority="55" stopIfTrue="1" operator="equal">
      <formula>"Standard"</formula>
    </cfRule>
    <cfRule type="expression" dxfId="75" priority="57" stopIfTrue="1">
      <formula>OR(Z427="Customisation",Z427="Extension")</formula>
    </cfRule>
  </conditionalFormatting>
  <conditionalFormatting sqref="Z430">
    <cfRule type="expression" dxfId="74" priority="78" stopIfTrue="1">
      <formula>OR(Z430="Customisation",Z430="Extension")</formula>
    </cfRule>
    <cfRule type="cellIs" dxfId="73" priority="77" stopIfTrue="1" operator="equal">
      <formula>"Configuration"</formula>
    </cfRule>
    <cfRule type="cellIs" dxfId="72" priority="76" stopIfTrue="1" operator="equal">
      <formula>"Standard"</formula>
    </cfRule>
  </conditionalFormatting>
  <conditionalFormatting sqref="Z432 Z434:Z436">
    <cfRule type="expression" dxfId="71" priority="87" stopIfTrue="1">
      <formula>OR(Z432="Customisation",Z432="Extension")</formula>
    </cfRule>
    <cfRule type="cellIs" dxfId="70" priority="86" stopIfTrue="1" operator="equal">
      <formula>"Configuration"</formula>
    </cfRule>
    <cfRule type="cellIs" dxfId="69" priority="85" stopIfTrue="1" operator="equal">
      <formula>"Standard"</formula>
    </cfRule>
  </conditionalFormatting>
  <conditionalFormatting sqref="Z438">
    <cfRule type="cellIs" dxfId="68" priority="82" stopIfTrue="1" operator="equal">
      <formula>"Standard"</formula>
    </cfRule>
    <cfRule type="expression" dxfId="67" priority="84" stopIfTrue="1">
      <formula>OR(Z438="Customisation",Z438="Extension")</formula>
    </cfRule>
    <cfRule type="cellIs" dxfId="66" priority="83" stopIfTrue="1" operator="equal">
      <formula>"Configuration"</formula>
    </cfRule>
  </conditionalFormatting>
  <conditionalFormatting sqref="Z440">
    <cfRule type="cellIs" dxfId="65" priority="80" stopIfTrue="1" operator="equal">
      <formula>"Configuration"</formula>
    </cfRule>
    <cfRule type="cellIs" dxfId="64" priority="79" stopIfTrue="1" operator="equal">
      <formula>"Standard"</formula>
    </cfRule>
    <cfRule type="expression" dxfId="63" priority="81" stopIfTrue="1">
      <formula>OR(Z440="Customisation",Z440="Extension")</formula>
    </cfRule>
  </conditionalFormatting>
  <conditionalFormatting sqref="Z448">
    <cfRule type="expression" dxfId="62" priority="39" stopIfTrue="1">
      <formula>OR(Z448="Customisation",Z448="Extension")</formula>
    </cfRule>
    <cfRule type="cellIs" dxfId="61" priority="38" stopIfTrue="1" operator="equal">
      <formula>"Configuration"</formula>
    </cfRule>
    <cfRule type="cellIs" dxfId="60" priority="37" stopIfTrue="1" operator="equal">
      <formula>"Standard"</formula>
    </cfRule>
  </conditionalFormatting>
  <conditionalFormatting sqref="Z456">
    <cfRule type="cellIs" dxfId="59" priority="31" stopIfTrue="1" operator="equal">
      <formula>"Standard"</formula>
    </cfRule>
    <cfRule type="cellIs" dxfId="58" priority="32" stopIfTrue="1" operator="equal">
      <formula>"Configuration"</formula>
    </cfRule>
    <cfRule type="expression" dxfId="57" priority="33" stopIfTrue="1">
      <formula>OR(Z456="Customisation",Z456="Extension")</formula>
    </cfRule>
  </conditionalFormatting>
  <conditionalFormatting sqref="Z460">
    <cfRule type="expression" dxfId="56" priority="30" stopIfTrue="1">
      <formula>OR(Z460="Customisation",Z460="Extension")</formula>
    </cfRule>
    <cfRule type="cellIs" dxfId="55" priority="29" stopIfTrue="1" operator="equal">
      <formula>"Configuration"</formula>
    </cfRule>
    <cfRule type="cellIs" dxfId="54" priority="28" stopIfTrue="1" operator="equal">
      <formula>"Standard"</formula>
    </cfRule>
  </conditionalFormatting>
  <conditionalFormatting sqref="Z462">
    <cfRule type="cellIs" dxfId="53" priority="25" stopIfTrue="1" operator="equal">
      <formula>"Standard"</formula>
    </cfRule>
    <cfRule type="expression" dxfId="52" priority="27" stopIfTrue="1">
      <formula>OR(Z462="Customisation",Z462="Extension")</formula>
    </cfRule>
    <cfRule type="cellIs" dxfId="51" priority="26" stopIfTrue="1" operator="equal">
      <formula>"Configuration"</formula>
    </cfRule>
  </conditionalFormatting>
  <conditionalFormatting sqref="Z468">
    <cfRule type="expression" dxfId="50" priority="51" stopIfTrue="1">
      <formula>OR(Z468="Customisation",Z468="Extension")</formula>
    </cfRule>
    <cfRule type="cellIs" dxfId="49" priority="50" stopIfTrue="1" operator="equal">
      <formula>"Configuration"</formula>
    </cfRule>
    <cfRule type="cellIs" dxfId="48" priority="49" stopIfTrue="1" operator="equal">
      <formula>"Standard"</formula>
    </cfRule>
  </conditionalFormatting>
  <conditionalFormatting sqref="Z470">
    <cfRule type="expression" dxfId="47" priority="48" stopIfTrue="1">
      <formula>OR(Z470="Customisation",Z470="Extension")</formula>
    </cfRule>
    <cfRule type="cellIs" dxfId="46" priority="47" stopIfTrue="1" operator="equal">
      <formula>"Configuration"</formula>
    </cfRule>
    <cfRule type="cellIs" dxfId="45" priority="46" stopIfTrue="1" operator="equal">
      <formula>"Standard"</formula>
    </cfRule>
  </conditionalFormatting>
  <conditionalFormatting sqref="Z476">
    <cfRule type="cellIs" dxfId="44" priority="41" stopIfTrue="1" operator="equal">
      <formula>"Configuration"</formula>
    </cfRule>
    <cfRule type="cellIs" dxfId="43" priority="40" stopIfTrue="1" operator="equal">
      <formula>"Standard"</formula>
    </cfRule>
    <cfRule type="expression" dxfId="42" priority="42" stopIfTrue="1">
      <formula>OR(Z476="Customisation",Z476="Extension")</formula>
    </cfRule>
  </conditionalFormatting>
  <conditionalFormatting sqref="Z480">
    <cfRule type="cellIs" dxfId="41" priority="35" stopIfTrue="1" operator="equal">
      <formula>"Configuration"</formula>
    </cfRule>
    <cfRule type="cellIs" dxfId="40" priority="34" stopIfTrue="1" operator="equal">
      <formula>"Standard"</formula>
    </cfRule>
    <cfRule type="expression" dxfId="39" priority="36" stopIfTrue="1">
      <formula>OR(Z480="Customisation",Z480="Extension")</formula>
    </cfRule>
  </conditionalFormatting>
  <dataValidations count="12">
    <dataValidation type="list" allowBlank="1" showInputMessage="1" showErrorMessage="1" sqref="AC596:AC601 AC418:AC539 AC233:AC370 AC373:AC415" xr:uid="{00000000-0002-0000-0100-000000000000}">
      <formula1>"PT1, PT2, PT3, PT4, PT5, PT6"</formula1>
    </dataValidation>
    <dataValidation type="list" allowBlank="1" showInputMessage="1" showErrorMessage="1" sqref="AB596:AB601 AB418:AB539 AB233:AB370 AB373:AB415" xr:uid="{00000000-0002-0000-0100-000001000000}">
      <formula1>"Hi, Med, Low"</formula1>
    </dataValidation>
    <dataValidation type="list" allowBlank="1" showInputMessage="1" showErrorMessage="1" sqref="AD596:AD601 AD418:AD539 AD233:AD370 AD373:AD415" xr:uid="{00000000-0002-0000-0100-000002000000}">
      <formula1>"Yes, No"</formula1>
    </dataValidation>
    <dataValidation type="list" allowBlank="1" showInputMessage="1" showErrorMessage="1" sqref="Y596:Y601 Y277:Y281 Y233:Y275 Y283:Y415 Y418:Y539" xr:uid="{00000000-0002-0000-0100-000004000000}">
      <formula1>#REF!</formula1>
    </dataValidation>
    <dataValidation type="list" allowBlank="1" showInputMessage="1" showErrorMessage="1" sqref="H545 H549:H550 H560:H601 H541:H542 H556:H557 H8:H539" xr:uid="{00000000-0002-0000-0100-000009000000}">
      <formula1>"Must,Should, Could, Wont"</formula1>
    </dataValidation>
    <dataValidation type="list" allowBlank="1" showInputMessage="1" showErrorMessage="1" sqref="E150 E130:E131 E128 E269:E270 E118:E120 E116 E114 E112 E110 E107:E108 E95:E98 E105 E100:E103 E73:E74 E32:E34 E30 E28 E24:E25 E21:E22 E19 E135 E137 E232:E234 E81 E83 E85 E87:E88 E9:E14 E145 E277 E152 E154:E156 E158 E160 E162:E163 E165 E167 E169 E171 E173:E175 E177 E262:E264 E266 E122:E126 E194 E196 E198:E199 E229:E230 E588 E590:E592 E236 E238 E240 E280 E272 E274 E283 E285 E288 E290 E294 E302:E304 E296 E292 E300 E211:E213 E306:E308 E375 E378 E408 E414:E415 E201:E202 E419 E421 E424 E427 E385 E387 E391 E393 E397 E401 E405 E430 E179:E192 E434 E436 E438 E334 E442 E444 E446 E468 E470 E139:E141 E440 E476 E478 E480 E448 E76 E452 E454:E456 E458 E460 E462 E464 E466 E222:E226 E242:E259 E16:E17 E92:E93 E596:E601 E36:E71" xr:uid="{A8D677C5-09BC-45A8-BD0E-17A4E3E3F644}">
      <formula1>"Phase A, Phase B"</formula1>
    </dataValidation>
    <dataValidation type="list" allowBlank="1" showErrorMessage="1" sqref="I8:I309 I311 I313:I1048576" xr:uid="{00000000-0002-0000-0100-00000A000000}">
      <formula1>"Standard,Configuration,Extension,Customisation,Interface,Later Phase,Link,Out Of Scope,Business Proc Only"</formula1>
    </dataValidation>
    <dataValidation type="list" allowBlank="1" showInputMessage="1" showErrorMessage="1" sqref="I8:I309 I311 I313:I1048576" xr:uid="{37DCCAD8-7D93-48A1-86A4-5D5BA806CB76}">
      <formula1>"Standard,Configuration,Extension,Customisation,Interface,Later Phase,Link,Out Of Scope,Business Proc Only"</formula1>
    </dataValidation>
    <dataValidation type="list" allowBlank="1" showInputMessage="1" showErrorMessage="1" sqref="B8:B41 B43:B57 B59:B61 B63:B96 B103:B114 B117 B124:B134 B120 B122" xr:uid="{B77C38EE-AE9C-4CB9-B2D1-B9E4C0A3CE9A}">
      <formula1>"Sample, Stock, Instrument, Retain, Report&amp;Label, Security, Training, Dashboard, Notification,  Assignment, Interface, IM Integartion"</formula1>
    </dataValidation>
    <dataValidation type="list" allowBlank="1" showInputMessage="1" showErrorMessage="1" sqref="B97:B102 B115:B116 B118:B119 B123 B135 B137 B139:B149 B151 B153 B155:B156 B158 B160 B162 B164 B166 B169 B171 B173:B174 B176 B178:B181 B183 B185 B187 B189:B190 B192 B194 B196 B198:B199 B201:B213 B215:B220 B223:B230 B234:B281 B297:B413 B415:B423 B425 B428 B431:B432 B434 B436 B440 B442 B444 B447 B449:B450 B452 B454:B455 B459 B461:B462 B464 B467 B469 B471:B475 B477 B479 B481 B483:B484 B486:B488 B490 B494:B495 B497:B498 B501 B503:B504 B506:B507 B509:B510 B513:B515 B517 B522:B523 B519:B520 B525 B527:B533 B535 B537 B539:B540 B543:B544 B546:B548 B551:B555 B558:B559 B561 B564:B565 B567 B569:B570 B572 B574:B575 B578:B586 B121 B603:B611" xr:uid="{2482D965-0CD8-4E40-8D61-5EC99F4BC34C}">
      <formula1>"Sample, Stock, Instrument, Retain, Report&amp;Label, Security, Training, Dashboard, Notification,  Assignment, Interface, IM Integartion, LES"</formula1>
    </dataValidation>
    <dataValidation type="list" allowBlank="1" showErrorMessage="1" sqref="I310 I312" xr:uid="{A799162C-1EE8-4865-A7DA-35774B91C1EB}">
      <formula1>"Standard,Configuration,Extension,Customisation,Interface,Later Phase,Link,Out Of Scope,Business Proc Only, Non-function"</formula1>
    </dataValidation>
    <dataValidation type="list" allowBlank="1" showInputMessage="1" showErrorMessage="1" sqref="I310 I312" xr:uid="{9B3D0970-3491-47C2-BCDA-31C934C0D7A4}">
      <formula1>"Standard,Configuration,Extension,Customisation,Interface,Later Phase,Link,Out Of Scope,Business Proc Only, Non-function"</formula1>
    </dataValidation>
  </dataValidations>
  <pageMargins left="0.74803149606299213" right="0.74803149606299213" top="0.39370078740157483" bottom="0.98425196850393704" header="0.51181102362204722" footer="0.51181102362204722"/>
  <pageSetup paperSize="8" scale="80" orientation="landscape" r:id="rId1"/>
  <headerFooter alignWithMargins="0">
    <oddFooter>&amp;L&amp;"Arial,Bold"© 2003 Thermo Electron Corporation.  All rights reserved&amp;R&amp;"Times New Roman,Regular"&amp;12Page &amp;P of &amp;N</oddFooter>
  </headerFooter>
  <drawing r:id="rId2"/>
  <legacyDrawing r:id="rId3"/>
  <legacyDrawingHF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C1818"/>
  <sheetViews>
    <sheetView topLeftCell="A6" workbookViewId="0">
      <selection activeCell="I12" sqref="I12"/>
    </sheetView>
  </sheetViews>
  <sheetFormatPr defaultColWidth="9.33203125" defaultRowHeight="13.8"/>
  <cols>
    <col min="1" max="1" width="6.33203125" style="146" customWidth="1"/>
    <col min="2" max="2" width="18.6640625" style="140" customWidth="1"/>
    <col min="3" max="3" width="20.6640625" style="140" customWidth="1"/>
    <col min="4" max="4" width="48.44140625" style="139" customWidth="1"/>
    <col min="5" max="5" width="10.6640625" style="140" customWidth="1"/>
    <col min="6" max="6" width="17.33203125" style="140" customWidth="1"/>
    <col min="7" max="7" width="18.6640625" style="145" customWidth="1"/>
    <col min="8" max="8" width="36.33203125" style="145" customWidth="1"/>
    <col min="9" max="9" width="13.5546875" style="145" customWidth="1"/>
    <col min="10" max="10" width="11.6640625" style="145" bestFit="1" customWidth="1"/>
    <col min="11" max="11" width="20.33203125" style="139" bestFit="1" customWidth="1"/>
    <col min="12" max="12" width="13.5546875" style="140" customWidth="1"/>
    <col min="13" max="13" width="14.6640625" style="139" customWidth="1"/>
    <col min="14" max="14" width="10.33203125" style="139" customWidth="1"/>
    <col min="15" max="15" width="12.33203125" style="140" customWidth="1"/>
    <col min="16" max="16" width="15.33203125" style="140" bestFit="1" customWidth="1"/>
    <col min="17" max="17" width="15.33203125" style="140" customWidth="1"/>
    <col min="18" max="16384" width="9.33203125" style="94"/>
  </cols>
  <sheetData>
    <row r="1" spans="1:18" ht="23.4">
      <c r="A1" s="89" t="s">
        <v>24</v>
      </c>
      <c r="B1" s="90"/>
      <c r="C1" s="90"/>
      <c r="D1" s="91"/>
      <c r="E1" s="90"/>
      <c r="F1" s="90"/>
      <c r="G1" s="92"/>
      <c r="H1" s="93"/>
      <c r="I1" s="93"/>
      <c r="J1" s="93"/>
      <c r="K1" s="91"/>
      <c r="L1" s="90"/>
      <c r="M1" s="91"/>
      <c r="N1" s="91"/>
      <c r="O1" s="90"/>
      <c r="P1" s="90"/>
      <c r="Q1" s="90"/>
    </row>
    <row r="2" spans="1:18" s="90" customFormat="1">
      <c r="A2" s="95"/>
      <c r="D2" s="96"/>
      <c r="G2" s="92"/>
      <c r="H2" s="93"/>
      <c r="I2" s="93"/>
      <c r="J2" s="93"/>
      <c r="K2" s="91"/>
      <c r="M2" s="91"/>
      <c r="N2" s="91"/>
      <c r="R2" s="97" t="str">
        <f>tick</f>
        <v>þ</v>
      </c>
    </row>
    <row r="3" spans="1:18" s="90" customFormat="1" ht="15.6">
      <c r="A3" s="95"/>
      <c r="B3" s="98" t="s">
        <v>25</v>
      </c>
      <c r="C3" s="99" t="s">
        <v>1454</v>
      </c>
      <c r="D3" s="91"/>
      <c r="G3" s="92"/>
      <c r="H3" s="93"/>
      <c r="I3" s="93"/>
      <c r="J3" s="93"/>
      <c r="K3" s="91"/>
      <c r="M3" s="91"/>
      <c r="N3" s="91"/>
      <c r="R3" s="100" t="str">
        <f>cross</f>
        <v>ý</v>
      </c>
    </row>
    <row r="4" spans="1:18" s="90" customFormat="1" ht="15.6">
      <c r="A4" s="95"/>
      <c r="B4" s="98" t="s">
        <v>27</v>
      </c>
      <c r="C4" s="99">
        <v>0.7</v>
      </c>
      <c r="D4" s="91"/>
      <c r="G4" s="92"/>
      <c r="H4" s="93"/>
      <c r="I4" s="93"/>
      <c r="J4" s="93"/>
      <c r="K4" s="91"/>
      <c r="M4" s="91"/>
      <c r="N4" s="91"/>
    </row>
    <row r="5" spans="1:18" s="90" customFormat="1" ht="15.6">
      <c r="A5" s="95"/>
      <c r="B5" s="98" t="s">
        <v>28</v>
      </c>
      <c r="C5" s="101"/>
      <c r="D5" s="91"/>
      <c r="G5" s="92"/>
      <c r="H5" s="93"/>
      <c r="I5" s="93"/>
      <c r="J5" s="93"/>
      <c r="K5" s="91"/>
      <c r="M5" s="91"/>
      <c r="N5" s="91"/>
    </row>
    <row r="6" spans="1:18" s="90" customFormat="1">
      <c r="A6" s="95"/>
      <c r="D6" s="91"/>
      <c r="G6" s="92"/>
      <c r="H6" s="93"/>
      <c r="I6" s="93"/>
      <c r="J6" s="93"/>
      <c r="K6" s="91"/>
      <c r="M6" s="91"/>
      <c r="N6" s="91"/>
    </row>
    <row r="7" spans="1:18" s="104" customFormat="1" ht="31.2">
      <c r="A7" s="102" t="s">
        <v>31</v>
      </c>
      <c r="B7" s="103" t="s">
        <v>34</v>
      </c>
      <c r="C7" s="103" t="s">
        <v>1455</v>
      </c>
      <c r="D7" s="103" t="s">
        <v>35</v>
      </c>
      <c r="E7" s="103" t="s">
        <v>15</v>
      </c>
      <c r="F7" s="103" t="s">
        <v>3</v>
      </c>
      <c r="G7" s="103" t="s">
        <v>50</v>
      </c>
      <c r="H7" s="103" t="s">
        <v>1456</v>
      </c>
      <c r="I7" s="102" t="s">
        <v>1457</v>
      </c>
      <c r="J7" s="102" t="s">
        <v>49</v>
      </c>
      <c r="K7" s="103" t="s">
        <v>1458</v>
      </c>
      <c r="L7" s="103" t="s">
        <v>1459</v>
      </c>
      <c r="M7" s="103" t="s">
        <v>54</v>
      </c>
      <c r="N7" s="103" t="s">
        <v>55</v>
      </c>
      <c r="O7" s="103" t="s">
        <v>61</v>
      </c>
      <c r="P7" s="103" t="s">
        <v>1460</v>
      </c>
      <c r="Q7" s="103" t="s">
        <v>1461</v>
      </c>
    </row>
    <row r="8" spans="1:18" s="111" customFormat="1" ht="15.6">
      <c r="A8" s="148">
        <v>1</v>
      </c>
      <c r="B8" s="85" t="s">
        <v>1462</v>
      </c>
      <c r="C8" s="85" t="s">
        <v>1463</v>
      </c>
      <c r="D8" s="85" t="s">
        <v>1464</v>
      </c>
      <c r="E8" s="106"/>
      <c r="F8" s="85" t="s">
        <v>1410</v>
      </c>
      <c r="G8" s="88"/>
      <c r="H8" s="85"/>
      <c r="I8" s="107"/>
      <c r="J8" s="107"/>
      <c r="K8" s="108"/>
      <c r="L8" s="109"/>
      <c r="M8" s="108"/>
      <c r="N8" s="108"/>
      <c r="O8" s="110"/>
      <c r="P8" s="110"/>
      <c r="Q8" s="110"/>
    </row>
    <row r="9" spans="1:18" s="111" customFormat="1" ht="15.6">
      <c r="A9" s="149">
        <v>2</v>
      </c>
      <c r="B9" s="85" t="s">
        <v>1462</v>
      </c>
      <c r="C9" s="85" t="s">
        <v>1463</v>
      </c>
      <c r="D9" s="85" t="s">
        <v>1465</v>
      </c>
      <c r="E9" s="106"/>
      <c r="F9" s="85"/>
      <c r="G9" s="88"/>
      <c r="H9" s="85"/>
      <c r="I9" s="107"/>
      <c r="J9" s="107"/>
      <c r="K9" s="108"/>
      <c r="L9" s="109"/>
      <c r="M9" s="108"/>
      <c r="N9" s="108"/>
      <c r="O9" s="110"/>
      <c r="P9" s="110"/>
      <c r="Q9" s="110"/>
    </row>
    <row r="10" spans="1:18" s="111" customFormat="1" ht="15.6">
      <c r="A10" s="148">
        <v>3</v>
      </c>
      <c r="B10" s="85" t="s">
        <v>1462</v>
      </c>
      <c r="C10" s="85" t="s">
        <v>1463</v>
      </c>
      <c r="D10" s="85" t="s">
        <v>1466</v>
      </c>
      <c r="E10" s="106"/>
      <c r="F10" s="85"/>
      <c r="G10" s="88"/>
      <c r="H10" s="85"/>
      <c r="I10" s="107"/>
      <c r="J10" s="107"/>
      <c r="K10" s="108"/>
      <c r="L10" s="109"/>
      <c r="M10" s="108"/>
      <c r="N10" s="108"/>
      <c r="O10" s="110"/>
      <c r="P10" s="110"/>
      <c r="Q10" s="110"/>
    </row>
    <row r="11" spans="1:18" s="111" customFormat="1" ht="15.6">
      <c r="A11" s="149">
        <v>4</v>
      </c>
      <c r="B11" s="85" t="s">
        <v>1462</v>
      </c>
      <c r="C11" s="85" t="s">
        <v>1463</v>
      </c>
      <c r="D11" s="85" t="s">
        <v>1467</v>
      </c>
      <c r="E11" s="106"/>
      <c r="F11" s="85"/>
      <c r="G11" s="88"/>
      <c r="H11" s="85"/>
      <c r="I11" s="107"/>
      <c r="J11" s="107"/>
      <c r="K11" s="108"/>
      <c r="L11" s="109"/>
      <c r="M11" s="108"/>
      <c r="N11" s="108"/>
      <c r="O11" s="110"/>
      <c r="P11" s="110"/>
      <c r="Q11" s="110"/>
    </row>
    <row r="12" spans="1:18" s="111" customFormat="1" ht="15.6">
      <c r="A12" s="148">
        <v>5</v>
      </c>
      <c r="B12" s="85" t="s">
        <v>1462</v>
      </c>
      <c r="C12" s="85" t="s">
        <v>1463</v>
      </c>
      <c r="D12" s="85" t="s">
        <v>1468</v>
      </c>
      <c r="E12" s="106"/>
      <c r="F12" s="85"/>
      <c r="G12" s="88"/>
      <c r="H12" s="85"/>
      <c r="I12" s="107"/>
      <c r="J12" s="107"/>
      <c r="K12" s="108"/>
      <c r="L12" s="109"/>
      <c r="M12" s="108"/>
      <c r="N12" s="108"/>
      <c r="O12" s="110"/>
      <c r="P12" s="110"/>
      <c r="Q12" s="110"/>
    </row>
    <row r="13" spans="1:18" s="111" customFormat="1" ht="15.6">
      <c r="A13" s="149">
        <v>6</v>
      </c>
      <c r="B13" s="85" t="s">
        <v>1462</v>
      </c>
      <c r="C13" s="85" t="s">
        <v>1463</v>
      </c>
      <c r="D13" s="86" t="s">
        <v>1469</v>
      </c>
      <c r="E13" s="106"/>
      <c r="F13" s="85"/>
      <c r="G13" s="88"/>
      <c r="H13" s="85"/>
      <c r="I13" s="107"/>
      <c r="J13" s="107"/>
      <c r="K13" s="108"/>
      <c r="L13" s="109"/>
      <c r="M13" s="108"/>
      <c r="N13" s="108"/>
      <c r="O13" s="110"/>
      <c r="P13" s="110"/>
      <c r="Q13" s="110"/>
    </row>
    <row r="14" spans="1:18" s="111" customFormat="1" ht="15.6">
      <c r="A14" s="148">
        <v>7</v>
      </c>
      <c r="B14" s="85" t="s">
        <v>1462</v>
      </c>
      <c r="C14" s="85" t="s">
        <v>1463</v>
      </c>
      <c r="D14" s="85" t="s">
        <v>1470</v>
      </c>
      <c r="E14" s="106"/>
      <c r="F14" s="85"/>
      <c r="G14" s="88"/>
      <c r="H14" s="85"/>
      <c r="I14" s="107"/>
      <c r="J14" s="107"/>
      <c r="K14" s="108"/>
      <c r="L14" s="109"/>
      <c r="M14" s="108"/>
      <c r="N14" s="108"/>
      <c r="O14" s="110"/>
      <c r="P14" s="110"/>
      <c r="Q14" s="110"/>
    </row>
    <row r="15" spans="1:18" s="111" customFormat="1" ht="15.6">
      <c r="A15" s="149">
        <v>8</v>
      </c>
      <c r="B15" s="85" t="s">
        <v>1462</v>
      </c>
      <c r="C15" s="85" t="s">
        <v>1463</v>
      </c>
      <c r="D15" s="86" t="s">
        <v>1471</v>
      </c>
      <c r="E15" s="106"/>
      <c r="F15" s="85"/>
      <c r="G15" s="88"/>
      <c r="H15" s="85"/>
      <c r="I15" s="107"/>
      <c r="J15" s="107"/>
      <c r="K15" s="108"/>
      <c r="L15" s="109"/>
      <c r="M15" s="108"/>
      <c r="N15" s="108"/>
      <c r="O15" s="110"/>
      <c r="P15" s="110"/>
      <c r="Q15" s="110"/>
    </row>
    <row r="16" spans="1:18" s="111" customFormat="1" ht="15.6">
      <c r="A16" s="148">
        <v>9</v>
      </c>
      <c r="B16" s="85" t="s">
        <v>1462</v>
      </c>
      <c r="C16" s="85" t="s">
        <v>1472</v>
      </c>
      <c r="D16" s="85" t="s">
        <v>1473</v>
      </c>
      <c r="E16" s="106"/>
      <c r="F16" s="85"/>
      <c r="G16" s="88"/>
      <c r="H16" s="85"/>
      <c r="I16" s="107"/>
      <c r="J16" s="107"/>
      <c r="K16" s="108"/>
      <c r="L16" s="109"/>
      <c r="M16" s="108"/>
      <c r="N16" s="108"/>
      <c r="O16" s="110"/>
      <c r="P16" s="110"/>
      <c r="Q16" s="110"/>
    </row>
    <row r="17" spans="1:29" s="111" customFormat="1" ht="15.6">
      <c r="A17" s="146">
        <v>10</v>
      </c>
      <c r="B17" s="85" t="s">
        <v>1462</v>
      </c>
      <c r="C17" s="85" t="s">
        <v>1472</v>
      </c>
      <c r="D17" s="85" t="s">
        <v>1474</v>
      </c>
      <c r="E17" s="106"/>
      <c r="F17" s="114"/>
      <c r="G17" s="115"/>
      <c r="H17" s="107"/>
      <c r="I17" s="107"/>
      <c r="J17" s="107"/>
      <c r="K17" s="108"/>
      <c r="L17" s="109"/>
      <c r="M17" s="108"/>
      <c r="N17" s="108"/>
      <c r="O17" s="110"/>
      <c r="P17" s="110"/>
      <c r="Q17" s="110"/>
    </row>
    <row r="18" spans="1:29" s="111" customFormat="1" ht="15.6">
      <c r="A18" s="150">
        <v>11</v>
      </c>
      <c r="B18" s="85" t="s">
        <v>1462</v>
      </c>
      <c r="C18" s="85" t="s">
        <v>1475</v>
      </c>
      <c r="D18" s="86" t="s">
        <v>1476</v>
      </c>
      <c r="E18" s="106"/>
      <c r="F18" s="114"/>
      <c r="G18" s="88"/>
      <c r="H18" s="85"/>
      <c r="I18" s="107"/>
      <c r="J18" s="107"/>
      <c r="K18" s="108"/>
      <c r="L18" s="109"/>
      <c r="M18" s="108"/>
      <c r="N18" s="108"/>
      <c r="O18" s="110"/>
      <c r="P18" s="110"/>
      <c r="Q18" s="110"/>
    </row>
    <row r="19" spans="1:29" s="111" customFormat="1" ht="15.6">
      <c r="A19" s="150">
        <v>11</v>
      </c>
      <c r="B19" s="88" t="s">
        <v>1462</v>
      </c>
      <c r="C19" s="88" t="s">
        <v>1475</v>
      </c>
      <c r="D19" s="147" t="s">
        <v>1477</v>
      </c>
      <c r="E19" s="106"/>
      <c r="F19" s="106"/>
      <c r="G19" s="88"/>
      <c r="H19" s="88"/>
      <c r="I19" s="115"/>
      <c r="J19" s="115"/>
      <c r="K19" s="117"/>
      <c r="L19" s="118"/>
      <c r="M19" s="117"/>
      <c r="N19" s="117"/>
      <c r="O19" s="119"/>
      <c r="P19" s="119"/>
      <c r="Q19" s="119"/>
      <c r="R19" s="94"/>
    </row>
    <row r="20" spans="1:29" s="111" customFormat="1" ht="15.6">
      <c r="A20" s="146">
        <v>12</v>
      </c>
      <c r="B20" s="85" t="s">
        <v>1462</v>
      </c>
      <c r="C20" s="85" t="s">
        <v>1475</v>
      </c>
      <c r="D20" s="85" t="s">
        <v>1478</v>
      </c>
      <c r="E20" s="106"/>
      <c r="F20" s="85"/>
      <c r="G20" s="88"/>
      <c r="H20" s="85"/>
      <c r="I20" s="107"/>
      <c r="J20" s="107"/>
      <c r="K20" s="108"/>
      <c r="L20" s="109"/>
      <c r="M20" s="108"/>
      <c r="N20" s="108"/>
      <c r="O20" s="110"/>
      <c r="P20" s="110"/>
      <c r="Q20" s="110"/>
    </row>
    <row r="21" spans="1:29" s="111" customFormat="1" ht="15.6">
      <c r="A21" s="150">
        <v>13</v>
      </c>
      <c r="B21" s="85" t="s">
        <v>1462</v>
      </c>
      <c r="C21" s="85" t="s">
        <v>1475</v>
      </c>
      <c r="D21" s="85" t="s">
        <v>1479</v>
      </c>
      <c r="E21" s="106"/>
      <c r="F21" s="85"/>
      <c r="G21" s="88"/>
      <c r="H21" s="85"/>
      <c r="I21" s="107"/>
      <c r="J21" s="107"/>
      <c r="K21" s="108"/>
      <c r="L21" s="109"/>
      <c r="M21" s="108"/>
      <c r="N21" s="108"/>
      <c r="O21" s="110"/>
      <c r="P21" s="110"/>
      <c r="Q21" s="110"/>
    </row>
    <row r="22" spans="1:29" s="111" customFormat="1" ht="15.6">
      <c r="A22" s="146">
        <v>14</v>
      </c>
      <c r="B22" s="88" t="s">
        <v>1462</v>
      </c>
      <c r="C22" s="88" t="s">
        <v>1475</v>
      </c>
      <c r="D22" s="88" t="s">
        <v>1480</v>
      </c>
      <c r="E22" s="106"/>
      <c r="F22" s="88"/>
      <c r="G22" s="88"/>
      <c r="H22" s="88"/>
      <c r="I22" s="115"/>
      <c r="J22" s="115"/>
      <c r="K22" s="117"/>
      <c r="L22" s="118"/>
      <c r="M22" s="117"/>
      <c r="N22" s="117"/>
      <c r="O22" s="119"/>
      <c r="P22" s="119"/>
      <c r="Q22" s="119"/>
      <c r="R22" s="94"/>
      <c r="S22" s="94"/>
      <c r="T22" s="94"/>
      <c r="U22" s="94"/>
      <c r="V22" s="94"/>
      <c r="W22" s="94"/>
      <c r="X22" s="94"/>
      <c r="Y22" s="94"/>
      <c r="Z22" s="94"/>
      <c r="AA22" s="94"/>
      <c r="AB22" s="94"/>
      <c r="AC22" s="94"/>
    </row>
    <row r="23" spans="1:29" s="111" customFormat="1" ht="15.6">
      <c r="A23" s="148">
        <v>15</v>
      </c>
      <c r="B23" s="85" t="s">
        <v>1462</v>
      </c>
      <c r="C23" s="85" t="s">
        <v>1481</v>
      </c>
      <c r="D23" s="86" t="s">
        <v>1482</v>
      </c>
      <c r="E23" s="106"/>
      <c r="F23" s="114"/>
      <c r="G23" s="88"/>
      <c r="H23" s="85"/>
      <c r="I23" s="107"/>
      <c r="J23" s="107"/>
      <c r="K23" s="108"/>
      <c r="L23" s="109"/>
      <c r="M23" s="108"/>
      <c r="N23" s="108"/>
      <c r="O23" s="110"/>
      <c r="P23" s="110"/>
      <c r="Q23" s="110"/>
    </row>
    <row r="24" spans="1:29" s="111" customFormat="1" ht="15.6">
      <c r="A24" s="146">
        <v>16</v>
      </c>
      <c r="B24" s="85" t="s">
        <v>1462</v>
      </c>
      <c r="C24" s="85" t="s">
        <v>1483</v>
      </c>
      <c r="D24" s="85" t="s">
        <v>1484</v>
      </c>
      <c r="E24" s="106"/>
      <c r="F24" s="85"/>
      <c r="G24" s="88"/>
      <c r="H24" s="85"/>
      <c r="I24" s="107"/>
      <c r="J24" s="107"/>
      <c r="K24" s="108"/>
      <c r="L24" s="109"/>
      <c r="M24" s="108"/>
      <c r="N24" s="108"/>
      <c r="O24" s="110"/>
      <c r="P24" s="110"/>
      <c r="Q24" s="110"/>
    </row>
    <row r="25" spans="1:29" s="111" customFormat="1" ht="15.6">
      <c r="A25" s="150">
        <v>17</v>
      </c>
      <c r="B25" s="85" t="s">
        <v>1462</v>
      </c>
      <c r="C25" s="85" t="s">
        <v>1483</v>
      </c>
      <c r="D25" s="85" t="s">
        <v>1485</v>
      </c>
      <c r="E25" s="106"/>
      <c r="F25" s="85"/>
      <c r="G25" s="88"/>
      <c r="H25" s="85"/>
      <c r="I25" s="107"/>
      <c r="J25" s="107"/>
      <c r="K25" s="108"/>
      <c r="L25" s="109"/>
      <c r="M25" s="108"/>
      <c r="N25" s="108"/>
      <c r="O25" s="110"/>
      <c r="P25" s="110"/>
      <c r="Q25" s="110"/>
    </row>
    <row r="26" spans="1:29" s="111" customFormat="1" ht="15.6">
      <c r="A26" s="146">
        <v>18</v>
      </c>
      <c r="B26" s="85" t="s">
        <v>1462</v>
      </c>
      <c r="C26" s="85" t="s">
        <v>1483</v>
      </c>
      <c r="D26" s="85" t="s">
        <v>1486</v>
      </c>
      <c r="E26" s="106"/>
      <c r="F26" s="85"/>
      <c r="G26" s="88"/>
      <c r="H26" s="85"/>
      <c r="I26" s="107"/>
      <c r="J26" s="107"/>
      <c r="K26" s="108"/>
      <c r="L26" s="109"/>
      <c r="M26" s="108"/>
      <c r="N26" s="108"/>
      <c r="O26" s="110"/>
      <c r="P26" s="110"/>
      <c r="Q26" s="110"/>
    </row>
    <row r="27" spans="1:29" s="111" customFormat="1" ht="15.6">
      <c r="A27" s="148">
        <v>19</v>
      </c>
      <c r="B27" s="85" t="s">
        <v>1462</v>
      </c>
      <c r="C27" s="85" t="s">
        <v>1487</v>
      </c>
      <c r="D27" s="86" t="s">
        <v>1488</v>
      </c>
      <c r="E27" s="106"/>
      <c r="F27" s="85"/>
      <c r="G27" s="88"/>
      <c r="H27" s="85"/>
      <c r="I27" s="107"/>
      <c r="J27" s="107"/>
      <c r="K27" s="108"/>
      <c r="L27" s="109"/>
      <c r="M27" s="108"/>
      <c r="N27" s="108"/>
      <c r="O27" s="110"/>
      <c r="P27" s="110"/>
      <c r="Q27" s="110"/>
    </row>
    <row r="28" spans="1:29" s="111" customFormat="1" ht="15.6">
      <c r="A28" s="146">
        <v>20</v>
      </c>
      <c r="B28" s="85" t="s">
        <v>1462</v>
      </c>
      <c r="C28" s="85" t="s">
        <v>1487</v>
      </c>
      <c r="D28" s="85" t="s">
        <v>1489</v>
      </c>
      <c r="E28" s="106"/>
      <c r="F28" s="114"/>
      <c r="G28" s="115"/>
      <c r="H28" s="107"/>
      <c r="I28" s="107"/>
      <c r="J28" s="107"/>
      <c r="K28" s="108"/>
      <c r="L28" s="109"/>
      <c r="M28" s="108"/>
      <c r="N28" s="108"/>
      <c r="O28" s="110"/>
      <c r="P28" s="110"/>
      <c r="Q28" s="110"/>
    </row>
    <row r="29" spans="1:29" s="111" customFormat="1" ht="27.6">
      <c r="A29" s="150">
        <v>21</v>
      </c>
      <c r="B29" s="85" t="s">
        <v>1462</v>
      </c>
      <c r="C29" s="85" t="s">
        <v>1490</v>
      </c>
      <c r="D29" s="86" t="s">
        <v>1491</v>
      </c>
      <c r="E29" s="106"/>
      <c r="F29" s="85"/>
      <c r="G29" s="88"/>
      <c r="H29" s="85"/>
      <c r="I29" s="107"/>
      <c r="J29" s="107"/>
      <c r="K29" s="108"/>
      <c r="L29" s="109"/>
      <c r="M29" s="108"/>
      <c r="N29" s="108"/>
      <c r="O29" s="110"/>
      <c r="P29" s="110"/>
      <c r="Q29" s="110"/>
    </row>
    <row r="30" spans="1:29" s="111" customFormat="1" ht="27.6">
      <c r="A30" s="146">
        <v>22</v>
      </c>
      <c r="B30" s="85" t="s">
        <v>1462</v>
      </c>
      <c r="C30" s="85" t="s">
        <v>1490</v>
      </c>
      <c r="D30" s="85" t="s">
        <v>1492</v>
      </c>
      <c r="E30" s="106"/>
      <c r="F30" s="85"/>
      <c r="G30" s="88"/>
      <c r="H30" s="85"/>
      <c r="I30" s="107"/>
      <c r="J30" s="107"/>
      <c r="K30" s="108"/>
      <c r="L30" s="109"/>
      <c r="M30" s="108"/>
      <c r="N30" s="108"/>
      <c r="O30" s="110"/>
      <c r="P30" s="110"/>
      <c r="Q30" s="110"/>
    </row>
    <row r="31" spans="1:29" s="111" customFormat="1" ht="27.6">
      <c r="A31" s="150">
        <v>23</v>
      </c>
      <c r="B31" s="85" t="s">
        <v>1462</v>
      </c>
      <c r="C31" s="85" t="s">
        <v>1490</v>
      </c>
      <c r="D31" s="85" t="s">
        <v>1493</v>
      </c>
      <c r="E31" s="106"/>
      <c r="F31" s="85"/>
      <c r="G31" s="88"/>
      <c r="H31" s="85"/>
      <c r="I31" s="107"/>
      <c r="J31" s="107"/>
      <c r="K31" s="108"/>
      <c r="L31" s="109"/>
      <c r="M31" s="108"/>
      <c r="N31" s="108"/>
      <c r="O31" s="110"/>
      <c r="P31" s="110"/>
      <c r="Q31" s="110"/>
    </row>
    <row r="32" spans="1:29" s="111" customFormat="1" ht="15.6">
      <c r="A32" s="148"/>
      <c r="B32" s="108"/>
      <c r="C32" s="108"/>
      <c r="D32" s="108"/>
      <c r="E32" s="114"/>
      <c r="F32" s="114"/>
      <c r="G32" s="115"/>
      <c r="H32" s="107"/>
      <c r="I32" s="107"/>
      <c r="J32" s="107"/>
      <c r="K32" s="108"/>
      <c r="L32" s="109"/>
      <c r="M32" s="108"/>
      <c r="N32" s="108"/>
      <c r="O32" s="110"/>
      <c r="P32" s="110"/>
      <c r="Q32" s="110"/>
    </row>
    <row r="33" spans="1:17" s="111" customFormat="1" ht="15.6">
      <c r="A33" s="149"/>
      <c r="B33" s="108"/>
      <c r="C33" s="108"/>
      <c r="D33" s="108"/>
      <c r="E33" s="114"/>
      <c r="F33" s="114"/>
      <c r="G33" s="115"/>
      <c r="H33" s="107"/>
      <c r="I33" s="107"/>
      <c r="J33" s="107"/>
      <c r="K33" s="108"/>
      <c r="L33" s="109"/>
      <c r="M33" s="108"/>
      <c r="N33" s="108"/>
      <c r="O33" s="110"/>
      <c r="P33" s="110"/>
      <c r="Q33" s="110"/>
    </row>
    <row r="34" spans="1:17" s="111" customFormat="1" ht="15.6">
      <c r="A34" s="148"/>
      <c r="B34" s="108"/>
      <c r="C34" s="108"/>
      <c r="D34" s="108"/>
      <c r="E34" s="114"/>
      <c r="F34" s="114"/>
      <c r="G34" s="115"/>
      <c r="H34" s="107"/>
      <c r="I34" s="107"/>
      <c r="J34" s="107"/>
      <c r="K34" s="108"/>
      <c r="L34" s="109"/>
      <c r="M34" s="108"/>
      <c r="N34" s="108"/>
      <c r="O34" s="110"/>
      <c r="P34" s="110"/>
      <c r="Q34" s="110"/>
    </row>
    <row r="35" spans="1:17" s="111" customFormat="1" ht="15.6">
      <c r="A35" s="149"/>
      <c r="B35" s="108"/>
      <c r="C35" s="108"/>
      <c r="D35" s="108"/>
      <c r="E35" s="114"/>
      <c r="F35" s="114"/>
      <c r="G35" s="115"/>
      <c r="H35" s="107"/>
      <c r="I35" s="107"/>
      <c r="J35" s="107"/>
      <c r="K35" s="108"/>
      <c r="L35" s="109"/>
      <c r="M35" s="108"/>
      <c r="N35" s="108"/>
      <c r="O35" s="110"/>
      <c r="P35" s="110"/>
      <c r="Q35" s="110"/>
    </row>
    <row r="36" spans="1:17" s="111" customFormat="1" ht="15.6">
      <c r="A36" s="148"/>
      <c r="B36" s="108"/>
      <c r="C36" s="108"/>
      <c r="D36" s="108"/>
      <c r="E36" s="114"/>
      <c r="F36" s="114"/>
      <c r="G36" s="115"/>
      <c r="H36" s="107"/>
      <c r="I36" s="107"/>
      <c r="J36" s="107"/>
      <c r="K36" s="108"/>
      <c r="L36" s="109"/>
      <c r="M36" s="108"/>
      <c r="N36" s="108"/>
      <c r="O36" s="110"/>
      <c r="P36" s="110"/>
      <c r="Q36" s="110"/>
    </row>
    <row r="37" spans="1:17" s="111" customFormat="1" ht="15.6">
      <c r="A37" s="149"/>
      <c r="B37" s="108"/>
      <c r="C37" s="108"/>
      <c r="D37" s="108"/>
      <c r="E37" s="114"/>
      <c r="F37" s="114"/>
      <c r="G37" s="115"/>
      <c r="H37" s="107"/>
      <c r="I37" s="107"/>
      <c r="J37" s="107"/>
      <c r="K37" s="108"/>
      <c r="L37" s="109"/>
      <c r="M37" s="108"/>
      <c r="N37" s="108"/>
      <c r="O37" s="110"/>
      <c r="P37" s="110"/>
      <c r="Q37" s="110"/>
    </row>
    <row r="38" spans="1:17" s="111" customFormat="1" ht="15.6">
      <c r="A38" s="148"/>
      <c r="B38" s="108"/>
      <c r="C38" s="108"/>
      <c r="D38" s="108"/>
      <c r="E38" s="114"/>
      <c r="F38" s="114"/>
      <c r="G38" s="115"/>
      <c r="H38" s="107"/>
      <c r="I38" s="107"/>
      <c r="J38" s="107"/>
      <c r="K38" s="108"/>
      <c r="L38" s="109"/>
      <c r="M38" s="108"/>
      <c r="N38" s="108"/>
      <c r="O38" s="110"/>
      <c r="P38" s="110"/>
      <c r="Q38" s="110"/>
    </row>
    <row r="39" spans="1:17" s="125" customFormat="1" ht="15.6">
      <c r="A39" s="149"/>
      <c r="B39" s="120"/>
      <c r="C39" s="120"/>
      <c r="D39" s="108"/>
      <c r="E39" s="121"/>
      <c r="F39" s="121"/>
      <c r="G39" s="115"/>
      <c r="H39" s="107"/>
      <c r="I39" s="107"/>
      <c r="J39" s="122"/>
      <c r="K39" s="120"/>
      <c r="L39" s="123"/>
      <c r="M39" s="120"/>
      <c r="N39" s="120"/>
      <c r="O39" s="124"/>
      <c r="P39" s="124"/>
      <c r="Q39" s="124"/>
    </row>
    <row r="40" spans="1:17" s="111" customFormat="1" ht="15.6">
      <c r="A40" s="148"/>
      <c r="B40" s="108"/>
      <c r="C40" s="108"/>
      <c r="D40" s="126"/>
      <c r="E40" s="114"/>
      <c r="F40" s="114"/>
      <c r="G40" s="115"/>
      <c r="H40" s="107"/>
      <c r="I40" s="107"/>
      <c r="J40" s="107"/>
      <c r="K40" s="108"/>
      <c r="L40" s="109"/>
      <c r="M40" s="108"/>
      <c r="N40" s="108"/>
      <c r="O40" s="110"/>
      <c r="P40" s="110"/>
      <c r="Q40" s="110"/>
    </row>
    <row r="41" spans="1:17" s="111" customFormat="1" ht="15.6">
      <c r="A41" s="149"/>
      <c r="B41" s="108"/>
      <c r="C41" s="108"/>
      <c r="D41" s="108"/>
      <c r="E41" s="114"/>
      <c r="F41" s="114"/>
      <c r="G41" s="115"/>
      <c r="H41" s="107"/>
      <c r="I41" s="107"/>
      <c r="J41" s="107"/>
      <c r="K41" s="108"/>
      <c r="L41" s="109"/>
      <c r="M41" s="108"/>
      <c r="N41" s="108"/>
      <c r="O41" s="110"/>
      <c r="P41" s="110"/>
      <c r="Q41" s="110"/>
    </row>
    <row r="42" spans="1:17" s="111" customFormat="1" ht="15.6">
      <c r="A42" s="148"/>
      <c r="B42" s="108"/>
      <c r="C42" s="108"/>
      <c r="D42" s="108"/>
      <c r="E42" s="114"/>
      <c r="F42" s="114"/>
      <c r="G42" s="115"/>
      <c r="H42" s="107"/>
      <c r="I42" s="107"/>
      <c r="J42" s="107"/>
      <c r="K42" s="108"/>
      <c r="L42" s="109"/>
      <c r="M42" s="108"/>
      <c r="N42" s="108"/>
      <c r="O42" s="110"/>
      <c r="P42" s="110"/>
      <c r="Q42" s="110"/>
    </row>
    <row r="43" spans="1:17" s="111" customFormat="1" ht="15.6">
      <c r="A43" s="149"/>
      <c r="B43" s="108"/>
      <c r="C43" s="108"/>
      <c r="D43" s="108"/>
      <c r="E43" s="114"/>
      <c r="F43" s="114"/>
      <c r="G43" s="115"/>
      <c r="H43" s="107"/>
      <c r="I43" s="107"/>
      <c r="J43" s="107"/>
      <c r="K43" s="108"/>
      <c r="L43" s="109"/>
      <c r="M43" s="108"/>
      <c r="N43" s="108"/>
      <c r="O43" s="110"/>
      <c r="P43" s="110"/>
      <c r="Q43" s="110"/>
    </row>
    <row r="44" spans="1:17" s="111" customFormat="1" ht="15.6">
      <c r="A44" s="148"/>
      <c r="B44" s="108"/>
      <c r="C44" s="108"/>
      <c r="D44" s="108"/>
      <c r="E44" s="114"/>
      <c r="F44" s="114"/>
      <c r="G44" s="115"/>
      <c r="H44" s="107"/>
      <c r="I44" s="107"/>
      <c r="J44" s="107"/>
      <c r="K44" s="108"/>
      <c r="L44" s="109"/>
      <c r="M44" s="108"/>
      <c r="N44" s="108"/>
      <c r="O44" s="110"/>
      <c r="P44" s="110"/>
      <c r="Q44" s="110"/>
    </row>
    <row r="45" spans="1:17" s="111" customFormat="1" ht="15.6">
      <c r="A45" s="149"/>
      <c r="B45" s="108"/>
      <c r="C45" s="108"/>
      <c r="D45" s="108"/>
      <c r="E45" s="114"/>
      <c r="F45" s="114"/>
      <c r="G45" s="115"/>
      <c r="H45" s="107"/>
      <c r="I45" s="107"/>
      <c r="J45" s="107"/>
      <c r="K45" s="108"/>
      <c r="L45" s="109"/>
      <c r="M45" s="108"/>
      <c r="N45" s="108"/>
      <c r="O45" s="110"/>
      <c r="P45" s="110"/>
      <c r="Q45" s="110"/>
    </row>
    <row r="46" spans="1:17" s="111" customFormat="1" ht="15.6">
      <c r="A46" s="105"/>
      <c r="B46" s="108"/>
      <c r="C46" s="108"/>
      <c r="D46" s="108"/>
      <c r="E46" s="114"/>
      <c r="F46" s="114"/>
      <c r="G46" s="115"/>
      <c r="H46" s="107"/>
      <c r="I46" s="107"/>
      <c r="J46" s="107"/>
      <c r="K46" s="108"/>
      <c r="L46" s="109"/>
      <c r="M46" s="108"/>
      <c r="N46" s="108"/>
      <c r="O46" s="110"/>
      <c r="P46" s="110"/>
      <c r="Q46" s="110"/>
    </row>
    <row r="47" spans="1:17" s="111" customFormat="1" ht="15.6">
      <c r="A47" s="112"/>
      <c r="B47" s="108"/>
      <c r="C47" s="108"/>
      <c r="D47" s="108"/>
      <c r="E47" s="114"/>
      <c r="F47" s="114"/>
      <c r="G47" s="115"/>
      <c r="H47" s="107"/>
      <c r="I47" s="107"/>
      <c r="J47" s="107"/>
      <c r="K47" s="108"/>
      <c r="L47" s="109"/>
      <c r="M47" s="108"/>
      <c r="N47" s="108"/>
      <c r="O47" s="110"/>
      <c r="P47" s="110"/>
      <c r="Q47" s="110"/>
    </row>
    <row r="48" spans="1:17" s="111" customFormat="1" ht="15.6">
      <c r="A48" s="105"/>
      <c r="B48" s="108"/>
      <c r="C48" s="108"/>
      <c r="D48" s="108"/>
      <c r="E48" s="114"/>
      <c r="F48" s="114"/>
      <c r="G48" s="115"/>
      <c r="H48" s="107"/>
      <c r="I48" s="107"/>
      <c r="J48" s="107"/>
      <c r="K48" s="108"/>
      <c r="L48" s="109"/>
      <c r="M48" s="108"/>
      <c r="N48" s="108"/>
      <c r="O48" s="110"/>
      <c r="P48" s="110"/>
      <c r="Q48" s="110"/>
    </row>
    <row r="49" spans="1:17" s="111" customFormat="1" ht="15.6">
      <c r="A49" s="112"/>
      <c r="B49" s="108"/>
      <c r="C49" s="108"/>
      <c r="D49" s="126"/>
      <c r="E49" s="114"/>
      <c r="F49" s="114"/>
      <c r="G49" s="115"/>
      <c r="H49" s="107"/>
      <c r="I49" s="107"/>
      <c r="J49" s="107"/>
      <c r="K49" s="108"/>
      <c r="L49" s="109"/>
      <c r="M49" s="108"/>
      <c r="N49" s="108"/>
      <c r="O49" s="110"/>
      <c r="P49" s="110"/>
      <c r="Q49" s="110"/>
    </row>
    <row r="50" spans="1:17" s="111" customFormat="1" ht="54" customHeight="1">
      <c r="A50" s="105"/>
      <c r="B50" s="108"/>
      <c r="C50" s="108"/>
      <c r="D50" s="126"/>
      <c r="E50" s="114"/>
      <c r="F50" s="114"/>
      <c r="G50" s="115"/>
      <c r="H50" s="107"/>
      <c r="I50" s="107"/>
      <c r="J50" s="107"/>
      <c r="K50" s="108"/>
      <c r="L50" s="109"/>
      <c r="M50" s="108"/>
      <c r="N50" s="108"/>
      <c r="O50" s="110"/>
      <c r="P50" s="110"/>
      <c r="Q50" s="110"/>
    </row>
    <row r="51" spans="1:17" s="111" customFormat="1" ht="15.6">
      <c r="A51" s="112"/>
      <c r="B51" s="108"/>
      <c r="C51" s="108"/>
      <c r="D51" s="126"/>
      <c r="E51" s="114"/>
      <c r="F51" s="114"/>
      <c r="G51" s="115"/>
      <c r="H51" s="107"/>
      <c r="I51" s="107"/>
      <c r="J51" s="107"/>
      <c r="K51" s="108"/>
      <c r="L51" s="109"/>
      <c r="M51" s="108"/>
      <c r="N51" s="108"/>
      <c r="O51" s="110"/>
      <c r="P51" s="110"/>
      <c r="Q51" s="110"/>
    </row>
    <row r="52" spans="1:17" s="111" customFormat="1" ht="15.6">
      <c r="A52" s="105"/>
      <c r="B52" s="108"/>
      <c r="C52" s="108"/>
      <c r="D52" s="126"/>
      <c r="E52" s="114"/>
      <c r="F52" s="114"/>
      <c r="G52" s="115"/>
      <c r="H52" s="107"/>
      <c r="I52" s="107"/>
      <c r="J52" s="107"/>
      <c r="K52" s="108"/>
      <c r="L52" s="109"/>
      <c r="M52" s="108"/>
      <c r="N52" s="108"/>
      <c r="O52" s="110"/>
      <c r="P52" s="110"/>
      <c r="Q52" s="110"/>
    </row>
    <row r="53" spans="1:17" s="111" customFormat="1" ht="15.6">
      <c r="A53" s="112"/>
      <c r="B53" s="108"/>
      <c r="C53" s="108"/>
      <c r="D53" s="126"/>
      <c r="E53" s="114"/>
      <c r="F53" s="114"/>
      <c r="G53" s="115"/>
      <c r="H53" s="107"/>
      <c r="I53" s="107"/>
      <c r="J53" s="107"/>
      <c r="K53" s="108"/>
      <c r="L53" s="109"/>
      <c r="M53" s="108"/>
      <c r="N53" s="108"/>
      <c r="O53" s="110"/>
      <c r="P53" s="110"/>
      <c r="Q53" s="110"/>
    </row>
    <row r="54" spans="1:17" s="111" customFormat="1" ht="15.6">
      <c r="A54" s="105"/>
      <c r="B54" s="108"/>
      <c r="C54" s="108"/>
      <c r="D54" s="126"/>
      <c r="E54" s="114"/>
      <c r="F54" s="114"/>
      <c r="G54" s="115"/>
      <c r="H54" s="107"/>
      <c r="I54" s="107"/>
      <c r="J54" s="107"/>
      <c r="K54" s="108"/>
      <c r="L54" s="109"/>
      <c r="M54" s="108"/>
      <c r="N54" s="108"/>
      <c r="O54" s="110"/>
      <c r="P54" s="110"/>
      <c r="Q54" s="110"/>
    </row>
    <row r="55" spans="1:17" s="111" customFormat="1" ht="15.6">
      <c r="A55" s="112"/>
      <c r="B55" s="108"/>
      <c r="C55" s="108"/>
      <c r="D55" s="126"/>
      <c r="E55" s="114"/>
      <c r="F55" s="114"/>
      <c r="G55" s="115"/>
      <c r="H55" s="107"/>
      <c r="I55" s="107"/>
      <c r="J55" s="107"/>
      <c r="K55" s="108"/>
      <c r="L55" s="109"/>
      <c r="M55" s="108"/>
      <c r="N55" s="108"/>
      <c r="O55" s="110"/>
      <c r="P55" s="110"/>
      <c r="Q55" s="110"/>
    </row>
    <row r="56" spans="1:17" s="111" customFormat="1" ht="15.6">
      <c r="A56" s="105"/>
      <c r="B56" s="108"/>
      <c r="C56" s="108"/>
      <c r="D56" s="108"/>
      <c r="E56" s="114"/>
      <c r="F56" s="114"/>
      <c r="G56" s="115"/>
      <c r="H56" s="107"/>
      <c r="I56" s="107"/>
      <c r="J56" s="107"/>
      <c r="K56" s="108"/>
      <c r="L56" s="109"/>
      <c r="M56" s="108"/>
      <c r="N56" s="108"/>
      <c r="O56" s="110"/>
      <c r="P56" s="110"/>
      <c r="Q56" s="110"/>
    </row>
    <row r="57" spans="1:17" s="111" customFormat="1" ht="15.6">
      <c r="A57" s="112"/>
      <c r="B57" s="108"/>
      <c r="C57" s="108"/>
      <c r="D57" s="108"/>
      <c r="E57" s="114"/>
      <c r="F57" s="114"/>
      <c r="G57" s="115"/>
      <c r="H57" s="107"/>
      <c r="I57" s="107"/>
      <c r="J57" s="107"/>
      <c r="K57" s="108"/>
      <c r="L57" s="109"/>
      <c r="M57" s="108"/>
      <c r="N57" s="108"/>
      <c r="O57" s="110"/>
      <c r="P57" s="110"/>
      <c r="Q57" s="110"/>
    </row>
    <row r="58" spans="1:17" s="111" customFormat="1" ht="15.6">
      <c r="A58" s="105"/>
      <c r="B58" s="108"/>
      <c r="C58" s="108"/>
      <c r="D58" s="108"/>
      <c r="E58" s="114"/>
      <c r="F58" s="114"/>
      <c r="G58" s="115"/>
      <c r="H58" s="107"/>
      <c r="I58" s="107"/>
      <c r="J58" s="107"/>
      <c r="K58" s="108"/>
      <c r="L58" s="109"/>
      <c r="M58" s="108"/>
      <c r="N58" s="108"/>
      <c r="O58" s="110"/>
      <c r="P58" s="110"/>
      <c r="Q58" s="110"/>
    </row>
    <row r="59" spans="1:17" s="111" customFormat="1" ht="46.5" customHeight="1">
      <c r="A59" s="112"/>
      <c r="B59" s="108"/>
      <c r="C59" s="108"/>
      <c r="D59" s="108"/>
      <c r="E59" s="114"/>
      <c r="F59" s="114"/>
      <c r="G59" s="115"/>
      <c r="H59" s="107"/>
      <c r="I59" s="107"/>
      <c r="J59" s="107"/>
      <c r="K59" s="108"/>
      <c r="L59" s="109"/>
      <c r="M59" s="108"/>
      <c r="N59" s="108"/>
      <c r="O59" s="110"/>
      <c r="P59" s="110"/>
      <c r="Q59" s="110"/>
    </row>
    <row r="60" spans="1:17" s="111" customFormat="1" ht="15.6">
      <c r="A60" s="105"/>
      <c r="B60" s="108"/>
      <c r="C60" s="108"/>
      <c r="D60" s="108"/>
      <c r="E60" s="114"/>
      <c r="F60" s="114"/>
      <c r="G60" s="115"/>
      <c r="H60" s="107"/>
      <c r="I60" s="107"/>
      <c r="J60" s="107"/>
      <c r="K60" s="108"/>
      <c r="L60" s="109"/>
      <c r="M60" s="108"/>
      <c r="N60" s="108"/>
      <c r="O60" s="110"/>
      <c r="P60" s="110"/>
      <c r="Q60" s="110"/>
    </row>
    <row r="61" spans="1:17" s="111" customFormat="1" ht="15.6">
      <c r="A61" s="112"/>
      <c r="B61" s="108"/>
      <c r="C61" s="108"/>
      <c r="D61" s="108"/>
      <c r="E61" s="114"/>
      <c r="F61" s="114"/>
      <c r="G61" s="115"/>
      <c r="H61" s="107"/>
      <c r="I61" s="107"/>
      <c r="J61" s="107"/>
      <c r="K61" s="108"/>
      <c r="L61" s="109"/>
      <c r="M61" s="108"/>
      <c r="N61" s="108"/>
      <c r="O61" s="110"/>
      <c r="P61" s="110"/>
      <c r="Q61" s="110"/>
    </row>
    <row r="62" spans="1:17" s="111" customFormat="1" ht="15.6">
      <c r="A62" s="105"/>
      <c r="B62" s="108"/>
      <c r="C62" s="108"/>
      <c r="D62" s="108"/>
      <c r="E62" s="114"/>
      <c r="F62" s="114"/>
      <c r="G62" s="115"/>
      <c r="H62" s="107"/>
      <c r="I62" s="107"/>
      <c r="J62" s="107"/>
      <c r="K62" s="108"/>
      <c r="L62" s="109"/>
      <c r="M62" s="108"/>
      <c r="N62" s="108"/>
      <c r="O62" s="110"/>
      <c r="P62" s="110"/>
      <c r="Q62" s="110"/>
    </row>
    <row r="63" spans="1:17" s="111" customFormat="1" ht="15.6">
      <c r="A63" s="112"/>
      <c r="B63" s="108"/>
      <c r="C63" s="108"/>
      <c r="D63" s="108"/>
      <c r="E63" s="114"/>
      <c r="F63" s="114"/>
      <c r="G63" s="115"/>
      <c r="H63" s="107"/>
      <c r="I63" s="107"/>
      <c r="J63" s="107"/>
      <c r="K63" s="108"/>
      <c r="L63" s="109"/>
      <c r="M63" s="108"/>
      <c r="N63" s="108"/>
      <c r="O63" s="110"/>
      <c r="P63" s="110"/>
      <c r="Q63" s="110"/>
    </row>
    <row r="64" spans="1:17" s="111" customFormat="1" ht="15.6">
      <c r="A64" s="105"/>
      <c r="B64" s="108"/>
      <c r="C64" s="108"/>
      <c r="D64" s="108"/>
      <c r="E64" s="114"/>
      <c r="F64" s="114"/>
      <c r="G64" s="115"/>
      <c r="H64" s="107"/>
      <c r="I64" s="107"/>
      <c r="J64" s="107"/>
      <c r="K64" s="108"/>
      <c r="L64" s="109"/>
      <c r="M64" s="108"/>
      <c r="N64" s="108"/>
      <c r="O64" s="110"/>
      <c r="P64" s="110"/>
      <c r="Q64" s="110"/>
    </row>
    <row r="65" spans="1:17" s="111" customFormat="1" ht="15.6">
      <c r="A65" s="112"/>
      <c r="B65" s="108"/>
      <c r="C65" s="108"/>
      <c r="D65" s="108"/>
      <c r="E65" s="114"/>
      <c r="F65" s="114"/>
      <c r="G65" s="115"/>
      <c r="H65" s="107"/>
      <c r="I65" s="107"/>
      <c r="J65" s="107"/>
      <c r="K65" s="108"/>
      <c r="L65" s="109"/>
      <c r="M65" s="108"/>
      <c r="N65" s="108"/>
      <c r="O65" s="110"/>
      <c r="P65" s="110"/>
      <c r="Q65" s="110"/>
    </row>
    <row r="66" spans="1:17" s="111" customFormat="1" ht="15.6">
      <c r="A66" s="105"/>
      <c r="B66" s="108"/>
      <c r="C66" s="108"/>
      <c r="D66" s="108"/>
      <c r="E66" s="114"/>
      <c r="F66" s="114"/>
      <c r="G66" s="115"/>
      <c r="H66" s="107"/>
      <c r="I66" s="107"/>
      <c r="J66" s="107"/>
      <c r="K66" s="108"/>
      <c r="L66" s="109"/>
      <c r="M66" s="108"/>
      <c r="N66" s="108"/>
      <c r="O66" s="110"/>
      <c r="P66" s="110"/>
      <c r="Q66" s="110"/>
    </row>
    <row r="67" spans="1:17" s="111" customFormat="1" ht="15.6">
      <c r="A67" s="112"/>
      <c r="B67" s="108"/>
      <c r="C67" s="108"/>
      <c r="D67" s="108"/>
      <c r="E67" s="114"/>
      <c r="F67" s="114"/>
      <c r="G67" s="115"/>
      <c r="H67" s="107"/>
      <c r="I67" s="107"/>
      <c r="J67" s="107"/>
      <c r="K67" s="108"/>
      <c r="L67" s="109"/>
      <c r="M67" s="108"/>
      <c r="N67" s="108"/>
      <c r="O67" s="110"/>
      <c r="P67" s="110"/>
      <c r="Q67" s="110"/>
    </row>
    <row r="68" spans="1:17" s="111" customFormat="1" ht="15.6">
      <c r="A68" s="105"/>
      <c r="B68" s="108"/>
      <c r="C68" s="108"/>
      <c r="D68" s="108"/>
      <c r="E68" s="114"/>
      <c r="F68" s="114"/>
      <c r="G68" s="115"/>
      <c r="H68" s="107"/>
      <c r="I68" s="107"/>
      <c r="J68" s="107"/>
      <c r="K68" s="108"/>
      <c r="L68" s="109"/>
      <c r="M68" s="108"/>
      <c r="N68" s="108"/>
      <c r="O68" s="110"/>
      <c r="P68" s="110"/>
      <c r="Q68" s="110"/>
    </row>
    <row r="69" spans="1:17" s="111" customFormat="1" ht="15.6">
      <c r="A69" s="112"/>
      <c r="B69" s="108"/>
      <c r="C69" s="108"/>
      <c r="D69" s="108"/>
      <c r="E69" s="114"/>
      <c r="F69" s="114"/>
      <c r="G69" s="115"/>
      <c r="H69" s="107"/>
      <c r="I69" s="107"/>
      <c r="J69" s="107"/>
      <c r="K69" s="108"/>
      <c r="L69" s="109"/>
      <c r="M69" s="108"/>
      <c r="N69" s="108"/>
      <c r="O69" s="110"/>
      <c r="P69" s="110"/>
      <c r="Q69" s="110"/>
    </row>
    <row r="70" spans="1:17" s="111" customFormat="1" ht="15.6">
      <c r="A70" s="105"/>
      <c r="B70" s="108"/>
      <c r="C70" s="108"/>
      <c r="D70" s="108"/>
      <c r="E70" s="114"/>
      <c r="F70" s="114"/>
      <c r="G70" s="115"/>
      <c r="H70" s="107"/>
      <c r="I70" s="107"/>
      <c r="J70" s="107"/>
      <c r="K70" s="108"/>
      <c r="L70" s="109"/>
      <c r="M70" s="108"/>
      <c r="N70" s="108"/>
      <c r="O70" s="110"/>
      <c r="P70" s="110"/>
      <c r="Q70" s="110"/>
    </row>
    <row r="71" spans="1:17" s="111" customFormat="1" ht="15.6">
      <c r="A71" s="112"/>
      <c r="B71" s="108"/>
      <c r="C71" s="108"/>
      <c r="D71" s="108"/>
      <c r="E71" s="114"/>
      <c r="F71" s="114"/>
      <c r="G71" s="115"/>
      <c r="H71" s="107"/>
      <c r="I71" s="107"/>
      <c r="J71" s="107"/>
      <c r="K71" s="108"/>
      <c r="L71" s="109"/>
      <c r="M71" s="108"/>
      <c r="N71" s="108"/>
      <c r="O71" s="110"/>
      <c r="P71" s="110"/>
      <c r="Q71" s="110"/>
    </row>
    <row r="72" spans="1:17" s="111" customFormat="1" ht="141.75" customHeight="1">
      <c r="A72" s="105"/>
      <c r="B72" s="108"/>
      <c r="C72" s="108"/>
      <c r="D72" s="108"/>
      <c r="E72" s="114"/>
      <c r="F72" s="114"/>
      <c r="G72" s="115"/>
      <c r="H72" s="107"/>
      <c r="I72" s="107"/>
      <c r="J72" s="107"/>
      <c r="K72" s="108"/>
      <c r="L72" s="109"/>
      <c r="M72" s="108"/>
      <c r="N72" s="108"/>
      <c r="O72" s="110"/>
      <c r="P72" s="110"/>
      <c r="Q72" s="110"/>
    </row>
    <row r="73" spans="1:17" s="111" customFormat="1" ht="15.6">
      <c r="A73" s="112"/>
      <c r="B73" s="108"/>
      <c r="C73" s="108"/>
      <c r="D73" s="108"/>
      <c r="E73" s="114"/>
      <c r="F73" s="114"/>
      <c r="G73" s="115"/>
      <c r="H73" s="107"/>
      <c r="I73" s="107"/>
      <c r="J73" s="107"/>
      <c r="K73" s="108"/>
      <c r="L73" s="109"/>
      <c r="M73" s="108"/>
      <c r="N73" s="108"/>
      <c r="O73" s="110"/>
      <c r="P73" s="110"/>
      <c r="Q73" s="110"/>
    </row>
    <row r="74" spans="1:17" s="111" customFormat="1" ht="15.6">
      <c r="A74" s="105"/>
      <c r="B74" s="108"/>
      <c r="C74" s="108"/>
      <c r="D74" s="108"/>
      <c r="E74" s="114"/>
      <c r="F74" s="114"/>
      <c r="G74" s="115"/>
      <c r="H74" s="107"/>
      <c r="I74" s="107"/>
      <c r="J74" s="107"/>
      <c r="K74" s="108"/>
      <c r="L74" s="109"/>
      <c r="M74" s="108"/>
      <c r="N74" s="108"/>
      <c r="O74" s="110"/>
      <c r="P74" s="110"/>
      <c r="Q74" s="110"/>
    </row>
    <row r="75" spans="1:17" s="111" customFormat="1" ht="15.6">
      <c r="A75" s="112"/>
      <c r="B75" s="108"/>
      <c r="C75" s="108"/>
      <c r="D75" s="108"/>
      <c r="E75" s="114"/>
      <c r="F75" s="114"/>
      <c r="G75" s="115"/>
      <c r="H75" s="107"/>
      <c r="I75" s="107"/>
      <c r="J75" s="107"/>
      <c r="K75" s="108"/>
      <c r="L75" s="109"/>
      <c r="M75" s="108"/>
      <c r="N75" s="108"/>
      <c r="O75" s="110"/>
      <c r="P75" s="110"/>
      <c r="Q75" s="110"/>
    </row>
    <row r="76" spans="1:17" s="111" customFormat="1" ht="15.6">
      <c r="A76" s="105"/>
      <c r="B76" s="108"/>
      <c r="C76" s="108"/>
      <c r="D76" s="108"/>
      <c r="E76" s="114"/>
      <c r="F76" s="114"/>
      <c r="G76" s="115"/>
      <c r="H76" s="107"/>
      <c r="I76" s="107"/>
      <c r="J76" s="107"/>
      <c r="K76" s="108"/>
      <c r="L76" s="109"/>
      <c r="M76" s="108"/>
      <c r="N76" s="108"/>
      <c r="O76" s="110"/>
      <c r="P76" s="110"/>
      <c r="Q76" s="110"/>
    </row>
    <row r="77" spans="1:17" s="111" customFormat="1" ht="39" customHeight="1">
      <c r="A77" s="112"/>
      <c r="B77" s="108"/>
      <c r="C77" s="108"/>
      <c r="D77" s="108"/>
      <c r="E77" s="114"/>
      <c r="F77" s="114"/>
      <c r="G77" s="115"/>
      <c r="H77" s="107"/>
      <c r="I77" s="107"/>
      <c r="J77" s="107"/>
      <c r="K77" s="108"/>
      <c r="L77" s="109"/>
      <c r="M77" s="108"/>
      <c r="N77" s="108"/>
      <c r="O77" s="110"/>
      <c r="P77" s="110"/>
      <c r="Q77" s="110"/>
    </row>
    <row r="78" spans="1:17" s="111" customFormat="1" ht="15.6">
      <c r="A78" s="105"/>
      <c r="B78" s="108"/>
      <c r="C78" s="108"/>
      <c r="D78" s="108"/>
      <c r="E78" s="114"/>
      <c r="F78" s="114"/>
      <c r="G78" s="115"/>
      <c r="H78" s="107"/>
      <c r="I78" s="107"/>
      <c r="J78" s="107"/>
      <c r="K78" s="108"/>
      <c r="L78" s="109"/>
      <c r="M78" s="108"/>
      <c r="N78" s="108"/>
      <c r="O78" s="110"/>
      <c r="P78" s="110"/>
      <c r="Q78" s="110"/>
    </row>
    <row r="79" spans="1:17" s="111" customFormat="1" ht="15.6">
      <c r="A79" s="112"/>
      <c r="B79" s="108"/>
      <c r="C79" s="108"/>
      <c r="D79" s="108"/>
      <c r="E79" s="114"/>
      <c r="F79" s="114"/>
      <c r="G79" s="115"/>
      <c r="H79" s="107"/>
      <c r="I79" s="107"/>
      <c r="J79" s="107"/>
      <c r="K79" s="108"/>
      <c r="L79" s="109"/>
      <c r="M79" s="108"/>
      <c r="N79" s="108"/>
      <c r="O79" s="110"/>
      <c r="P79" s="110"/>
      <c r="Q79" s="110"/>
    </row>
    <row r="80" spans="1:17" s="111" customFormat="1" ht="15.6">
      <c r="A80" s="105"/>
      <c r="B80" s="108"/>
      <c r="C80" s="108"/>
      <c r="D80" s="126"/>
      <c r="E80" s="114"/>
      <c r="F80" s="114"/>
      <c r="G80" s="115"/>
      <c r="H80" s="107"/>
      <c r="I80" s="107"/>
      <c r="J80" s="107"/>
      <c r="K80" s="108"/>
      <c r="L80" s="109"/>
      <c r="M80" s="108"/>
      <c r="N80" s="108"/>
      <c r="O80" s="110"/>
      <c r="P80" s="110"/>
      <c r="Q80" s="110"/>
    </row>
    <row r="81" spans="1:17" s="111" customFormat="1" ht="15.6">
      <c r="A81" s="112"/>
      <c r="B81" s="108"/>
      <c r="C81" s="108"/>
      <c r="D81" s="108"/>
      <c r="E81" s="114"/>
      <c r="F81" s="114"/>
      <c r="G81" s="115"/>
      <c r="H81" s="107"/>
      <c r="I81" s="107"/>
      <c r="J81" s="107"/>
      <c r="K81" s="108"/>
      <c r="L81" s="109"/>
      <c r="M81" s="108"/>
      <c r="N81" s="108"/>
      <c r="O81" s="110"/>
      <c r="P81" s="110"/>
      <c r="Q81" s="110"/>
    </row>
    <row r="82" spans="1:17" s="111" customFormat="1" ht="15.6">
      <c r="A82" s="105"/>
      <c r="B82" s="108"/>
      <c r="C82" s="108"/>
      <c r="D82" s="126"/>
      <c r="E82" s="114"/>
      <c r="F82" s="114"/>
      <c r="G82" s="115"/>
      <c r="H82" s="107"/>
      <c r="I82" s="107"/>
      <c r="J82" s="107"/>
      <c r="K82" s="108"/>
      <c r="L82" s="109"/>
      <c r="M82" s="108"/>
      <c r="N82" s="108"/>
      <c r="O82" s="110"/>
      <c r="P82" s="110"/>
      <c r="Q82" s="110"/>
    </row>
    <row r="83" spans="1:17" s="111" customFormat="1" ht="15.6">
      <c r="A83" s="112"/>
      <c r="B83" s="108"/>
      <c r="C83" s="108"/>
      <c r="D83" s="126"/>
      <c r="E83" s="114"/>
      <c r="F83" s="114"/>
      <c r="G83" s="115"/>
      <c r="H83" s="107"/>
      <c r="I83" s="107"/>
      <c r="J83" s="107"/>
      <c r="K83" s="108"/>
      <c r="L83" s="109"/>
      <c r="M83" s="108"/>
      <c r="N83" s="108"/>
      <c r="O83" s="110"/>
      <c r="P83" s="110"/>
      <c r="Q83" s="110"/>
    </row>
    <row r="84" spans="1:17" s="111" customFormat="1" ht="15.6">
      <c r="A84" s="105"/>
      <c r="B84" s="108"/>
      <c r="C84" s="108"/>
      <c r="D84" s="126"/>
      <c r="E84" s="114"/>
      <c r="F84" s="114"/>
      <c r="G84" s="115"/>
      <c r="H84" s="107"/>
      <c r="I84" s="107"/>
      <c r="J84" s="107"/>
      <c r="K84" s="108"/>
      <c r="L84" s="109"/>
      <c r="M84" s="108"/>
      <c r="N84" s="108"/>
      <c r="O84" s="110"/>
      <c r="P84" s="110"/>
      <c r="Q84" s="110"/>
    </row>
    <row r="85" spans="1:17" s="111" customFormat="1" ht="15.6">
      <c r="A85" s="112"/>
      <c r="B85" s="108"/>
      <c r="C85" s="108"/>
      <c r="D85" s="126"/>
      <c r="E85" s="114"/>
      <c r="F85" s="114"/>
      <c r="G85" s="115"/>
      <c r="H85" s="107"/>
      <c r="I85" s="107"/>
      <c r="J85" s="107"/>
      <c r="K85" s="108"/>
      <c r="L85" s="109"/>
      <c r="M85" s="108"/>
      <c r="N85" s="108"/>
      <c r="O85" s="110"/>
      <c r="P85" s="110"/>
      <c r="Q85" s="110"/>
    </row>
    <row r="86" spans="1:17" s="111" customFormat="1" ht="15.6">
      <c r="A86" s="105"/>
      <c r="B86" s="108"/>
      <c r="C86" s="108"/>
      <c r="D86" s="126"/>
      <c r="E86" s="114"/>
      <c r="F86" s="114"/>
      <c r="G86" s="115"/>
      <c r="H86" s="107"/>
      <c r="I86" s="107"/>
      <c r="J86" s="107"/>
      <c r="K86" s="108"/>
      <c r="L86" s="109"/>
      <c r="M86" s="108"/>
      <c r="N86" s="108"/>
      <c r="O86" s="110"/>
      <c r="P86" s="110"/>
      <c r="Q86" s="110"/>
    </row>
    <row r="87" spans="1:17" s="111" customFormat="1" ht="15.6">
      <c r="A87" s="112"/>
      <c r="B87" s="108"/>
      <c r="C87" s="108"/>
      <c r="D87" s="126"/>
      <c r="E87" s="114"/>
      <c r="F87" s="114"/>
      <c r="G87" s="115"/>
      <c r="H87" s="107"/>
      <c r="I87" s="107"/>
      <c r="J87" s="107"/>
      <c r="K87" s="108"/>
      <c r="L87" s="109"/>
      <c r="M87" s="108"/>
      <c r="N87" s="108"/>
      <c r="O87" s="110"/>
      <c r="P87" s="110"/>
      <c r="Q87" s="110"/>
    </row>
    <row r="88" spans="1:17" s="111" customFormat="1" ht="15.6">
      <c r="A88" s="105"/>
      <c r="B88" s="108"/>
      <c r="C88" s="108"/>
      <c r="D88" s="126"/>
      <c r="E88" s="114"/>
      <c r="F88" s="114"/>
      <c r="G88" s="115"/>
      <c r="H88" s="107"/>
      <c r="I88" s="107"/>
      <c r="J88" s="107"/>
      <c r="K88" s="108"/>
      <c r="L88" s="109"/>
      <c r="M88" s="108"/>
      <c r="N88" s="108"/>
      <c r="O88" s="110"/>
      <c r="P88" s="110"/>
      <c r="Q88" s="110"/>
    </row>
    <row r="89" spans="1:17" s="111" customFormat="1" ht="15.6">
      <c r="A89" s="112"/>
      <c r="B89" s="108"/>
      <c r="C89" s="108"/>
      <c r="D89" s="126"/>
      <c r="E89" s="114"/>
      <c r="F89" s="114"/>
      <c r="G89" s="115"/>
      <c r="H89" s="107"/>
      <c r="I89" s="107"/>
      <c r="J89" s="107"/>
      <c r="K89" s="108"/>
      <c r="L89" s="109"/>
      <c r="M89" s="108"/>
      <c r="N89" s="108"/>
      <c r="O89" s="110"/>
      <c r="P89" s="110"/>
      <c r="Q89" s="110"/>
    </row>
    <row r="90" spans="1:17" s="111" customFormat="1" ht="15.6">
      <c r="A90" s="105"/>
      <c r="B90" s="108"/>
      <c r="C90" s="108"/>
      <c r="D90" s="126"/>
      <c r="E90" s="114"/>
      <c r="F90" s="114"/>
      <c r="G90" s="115"/>
      <c r="H90" s="107"/>
      <c r="I90" s="107"/>
      <c r="J90" s="107"/>
      <c r="K90" s="108"/>
      <c r="L90" s="109"/>
      <c r="M90" s="108"/>
      <c r="N90" s="108"/>
      <c r="O90" s="110"/>
      <c r="P90" s="110"/>
      <c r="Q90" s="110"/>
    </row>
    <row r="91" spans="1:17" s="111" customFormat="1" ht="15.6">
      <c r="A91" s="112"/>
      <c r="B91" s="108"/>
      <c r="C91" s="108"/>
      <c r="D91" s="108"/>
      <c r="E91" s="114"/>
      <c r="F91" s="114"/>
      <c r="G91" s="115"/>
      <c r="H91" s="107"/>
      <c r="I91" s="107"/>
      <c r="J91" s="107"/>
      <c r="K91" s="108"/>
      <c r="L91" s="109"/>
      <c r="M91" s="108"/>
      <c r="N91" s="108"/>
      <c r="O91" s="110"/>
      <c r="P91" s="110"/>
      <c r="Q91" s="110"/>
    </row>
    <row r="92" spans="1:17" s="111" customFormat="1" ht="15.6">
      <c r="A92" s="105"/>
      <c r="B92" s="108"/>
      <c r="C92" s="108"/>
      <c r="D92" s="108"/>
      <c r="E92" s="114"/>
      <c r="F92" s="114"/>
      <c r="G92" s="115"/>
      <c r="H92" s="107"/>
      <c r="I92" s="107"/>
      <c r="J92" s="107"/>
      <c r="K92" s="108"/>
      <c r="L92" s="109"/>
      <c r="M92" s="108"/>
      <c r="N92" s="108"/>
      <c r="O92" s="110"/>
      <c r="P92" s="110"/>
      <c r="Q92" s="110"/>
    </row>
    <row r="93" spans="1:17" s="111" customFormat="1" ht="15.6">
      <c r="A93" s="112"/>
      <c r="B93" s="108"/>
      <c r="C93" s="108"/>
      <c r="D93" s="108"/>
      <c r="E93" s="114"/>
      <c r="F93" s="114"/>
      <c r="G93" s="115"/>
      <c r="H93" s="107"/>
      <c r="I93" s="107"/>
      <c r="J93" s="107"/>
      <c r="K93" s="108"/>
      <c r="L93" s="109"/>
      <c r="M93" s="108"/>
      <c r="N93" s="108"/>
      <c r="O93" s="110"/>
      <c r="P93" s="110"/>
      <c r="Q93" s="110"/>
    </row>
    <row r="94" spans="1:17" s="111" customFormat="1" ht="15.6">
      <c r="A94" s="105"/>
      <c r="B94" s="108"/>
      <c r="C94" s="108"/>
      <c r="D94" s="108"/>
      <c r="E94" s="114"/>
      <c r="F94" s="114"/>
      <c r="G94" s="115"/>
      <c r="H94" s="107"/>
      <c r="I94" s="107"/>
      <c r="J94" s="107"/>
      <c r="K94" s="108"/>
      <c r="L94" s="109"/>
      <c r="M94" s="108"/>
      <c r="N94" s="108"/>
      <c r="O94" s="110"/>
      <c r="P94" s="110"/>
      <c r="Q94" s="110"/>
    </row>
    <row r="95" spans="1:17" s="111" customFormat="1" ht="15.6">
      <c r="A95" s="112"/>
      <c r="B95" s="108"/>
      <c r="C95" s="108"/>
      <c r="D95" s="108"/>
      <c r="E95" s="114"/>
      <c r="F95" s="114"/>
      <c r="G95" s="115"/>
      <c r="H95" s="107"/>
      <c r="I95" s="107"/>
      <c r="J95" s="107"/>
      <c r="K95" s="108"/>
      <c r="L95" s="109"/>
      <c r="M95" s="108"/>
      <c r="N95" s="108"/>
      <c r="O95" s="110"/>
      <c r="P95" s="110"/>
      <c r="Q95" s="110"/>
    </row>
    <row r="96" spans="1:17" s="111" customFormat="1" ht="15.6">
      <c r="A96" s="105"/>
      <c r="B96" s="108"/>
      <c r="C96" s="108"/>
      <c r="D96" s="108"/>
      <c r="E96" s="114"/>
      <c r="F96" s="114"/>
      <c r="G96" s="115"/>
      <c r="H96" s="107"/>
      <c r="I96" s="107"/>
      <c r="J96" s="107"/>
      <c r="K96" s="108"/>
      <c r="L96" s="109"/>
      <c r="M96" s="108"/>
      <c r="N96" s="108"/>
      <c r="O96" s="110"/>
      <c r="P96" s="110"/>
      <c r="Q96" s="110"/>
    </row>
    <row r="97" spans="1:17" s="111" customFormat="1" ht="15.6">
      <c r="A97" s="112"/>
      <c r="B97" s="108"/>
      <c r="C97" s="108"/>
      <c r="D97" s="108"/>
      <c r="E97" s="114"/>
      <c r="F97" s="114"/>
      <c r="G97" s="115"/>
      <c r="H97" s="107"/>
      <c r="I97" s="107"/>
      <c r="J97" s="107"/>
      <c r="K97" s="108"/>
      <c r="L97" s="109"/>
      <c r="M97" s="108"/>
      <c r="N97" s="108"/>
      <c r="O97" s="110"/>
      <c r="P97" s="110"/>
      <c r="Q97" s="110"/>
    </row>
    <row r="98" spans="1:17" s="111" customFormat="1" ht="15.6">
      <c r="A98" s="105"/>
      <c r="B98" s="108"/>
      <c r="C98" s="108"/>
      <c r="D98" s="108"/>
      <c r="E98" s="114"/>
      <c r="F98" s="114"/>
      <c r="G98" s="115"/>
      <c r="H98" s="107"/>
      <c r="I98" s="107"/>
      <c r="J98" s="107"/>
      <c r="K98" s="108"/>
      <c r="L98" s="109"/>
      <c r="M98" s="108"/>
      <c r="N98" s="108"/>
      <c r="O98" s="110"/>
      <c r="P98" s="110"/>
      <c r="Q98" s="110"/>
    </row>
    <row r="99" spans="1:17" s="111" customFormat="1" ht="15.6">
      <c r="A99" s="112"/>
      <c r="B99" s="108"/>
      <c r="C99" s="108"/>
      <c r="D99" s="108"/>
      <c r="E99" s="114"/>
      <c r="F99" s="114"/>
      <c r="G99" s="115"/>
      <c r="H99" s="107"/>
      <c r="I99" s="107"/>
      <c r="J99" s="107"/>
      <c r="K99" s="108"/>
      <c r="L99" s="109"/>
      <c r="M99" s="108"/>
      <c r="N99" s="108"/>
      <c r="O99" s="110"/>
      <c r="P99" s="110"/>
      <c r="Q99" s="110"/>
    </row>
    <row r="100" spans="1:17" s="111" customFormat="1" ht="15.6">
      <c r="A100" s="105"/>
      <c r="B100" s="108"/>
      <c r="C100" s="108"/>
      <c r="D100" s="108"/>
      <c r="E100" s="114"/>
      <c r="F100" s="114"/>
      <c r="G100" s="115"/>
      <c r="H100" s="107"/>
      <c r="I100" s="107"/>
      <c r="J100" s="107"/>
      <c r="K100" s="108"/>
      <c r="L100" s="109"/>
      <c r="M100" s="108"/>
      <c r="N100" s="108"/>
      <c r="O100" s="110"/>
      <c r="P100" s="110"/>
      <c r="Q100" s="110"/>
    </row>
    <row r="101" spans="1:17" s="111" customFormat="1" ht="171" customHeight="1">
      <c r="A101" s="112"/>
      <c r="B101" s="108"/>
      <c r="C101" s="108"/>
      <c r="D101" s="108"/>
      <c r="E101" s="114"/>
      <c r="F101" s="114"/>
      <c r="G101" s="115"/>
      <c r="H101" s="107"/>
      <c r="I101" s="107"/>
      <c r="J101" s="107"/>
      <c r="K101" s="108"/>
      <c r="L101" s="109"/>
      <c r="M101" s="108"/>
      <c r="N101" s="108"/>
      <c r="O101" s="110"/>
      <c r="P101" s="110"/>
      <c r="Q101" s="110"/>
    </row>
    <row r="102" spans="1:17" s="111" customFormat="1" ht="15.6">
      <c r="A102" s="105"/>
      <c r="B102" s="108"/>
      <c r="C102" s="108"/>
      <c r="D102" s="108"/>
      <c r="E102" s="114"/>
      <c r="F102" s="114"/>
      <c r="G102" s="115"/>
      <c r="H102" s="107"/>
      <c r="I102" s="107"/>
      <c r="J102" s="107"/>
      <c r="K102" s="108"/>
      <c r="L102" s="109"/>
      <c r="M102" s="108"/>
      <c r="N102" s="108"/>
      <c r="O102" s="110"/>
      <c r="P102" s="110"/>
      <c r="Q102" s="110"/>
    </row>
    <row r="103" spans="1:17" s="111" customFormat="1" ht="15.6">
      <c r="A103" s="112"/>
      <c r="B103" s="108"/>
      <c r="C103" s="108"/>
      <c r="D103" s="108"/>
      <c r="E103" s="114"/>
      <c r="F103" s="114"/>
      <c r="G103" s="115"/>
      <c r="H103" s="107"/>
      <c r="I103" s="107"/>
      <c r="J103" s="107"/>
      <c r="K103" s="108"/>
      <c r="L103" s="109"/>
      <c r="M103" s="108"/>
      <c r="N103" s="108"/>
      <c r="O103" s="110"/>
      <c r="P103" s="110"/>
      <c r="Q103" s="110"/>
    </row>
    <row r="104" spans="1:17" s="111" customFormat="1" ht="15.6">
      <c r="A104" s="105"/>
      <c r="B104" s="108"/>
      <c r="C104" s="108"/>
      <c r="D104" s="108"/>
      <c r="E104" s="114"/>
      <c r="F104" s="114"/>
      <c r="G104" s="115"/>
      <c r="H104" s="107"/>
      <c r="I104" s="107"/>
      <c r="J104" s="107"/>
      <c r="K104" s="108"/>
      <c r="L104" s="109"/>
      <c r="M104" s="108"/>
      <c r="N104" s="108"/>
      <c r="O104" s="110"/>
      <c r="P104" s="110"/>
      <c r="Q104" s="110"/>
    </row>
    <row r="105" spans="1:17" s="111" customFormat="1" ht="15.6">
      <c r="A105" s="112"/>
      <c r="B105" s="108"/>
      <c r="C105" s="108"/>
      <c r="D105" s="108"/>
      <c r="E105" s="114"/>
      <c r="F105" s="114"/>
      <c r="G105" s="115"/>
      <c r="H105" s="107"/>
      <c r="I105" s="107"/>
      <c r="J105" s="107"/>
      <c r="K105" s="108"/>
      <c r="L105" s="109"/>
      <c r="M105" s="108"/>
      <c r="N105" s="108"/>
      <c r="O105" s="110"/>
      <c r="P105" s="110"/>
      <c r="Q105" s="110"/>
    </row>
    <row r="106" spans="1:17" s="111" customFormat="1" ht="15.6">
      <c r="A106" s="105"/>
      <c r="B106" s="108"/>
      <c r="C106" s="108"/>
      <c r="D106" s="108"/>
      <c r="E106" s="114"/>
      <c r="F106" s="114"/>
      <c r="G106" s="115"/>
      <c r="H106" s="107"/>
      <c r="I106" s="107"/>
      <c r="J106" s="107"/>
      <c r="K106" s="108"/>
      <c r="L106" s="109"/>
      <c r="M106" s="108"/>
      <c r="N106" s="108"/>
      <c r="O106" s="110"/>
      <c r="P106" s="110"/>
      <c r="Q106" s="110"/>
    </row>
    <row r="107" spans="1:17" s="111" customFormat="1" ht="15.6">
      <c r="A107" s="112"/>
      <c r="B107" s="108"/>
      <c r="C107" s="108"/>
      <c r="D107" s="108"/>
      <c r="E107" s="114"/>
      <c r="F107" s="114"/>
      <c r="G107" s="115"/>
      <c r="H107" s="107"/>
      <c r="I107" s="107"/>
      <c r="J107" s="107"/>
      <c r="K107" s="108"/>
      <c r="L107" s="109"/>
      <c r="M107" s="108"/>
      <c r="N107" s="108"/>
      <c r="O107" s="110"/>
      <c r="P107" s="110"/>
      <c r="Q107" s="110"/>
    </row>
    <row r="108" spans="1:17" s="111" customFormat="1" ht="15.6">
      <c r="A108" s="105"/>
      <c r="B108" s="108"/>
      <c r="C108" s="108"/>
      <c r="D108" s="108"/>
      <c r="E108" s="114"/>
      <c r="F108" s="114"/>
      <c r="G108" s="115"/>
      <c r="H108" s="107"/>
      <c r="I108" s="107"/>
      <c r="J108" s="107"/>
      <c r="K108" s="108"/>
      <c r="L108" s="109"/>
      <c r="M108" s="108"/>
      <c r="N108" s="108"/>
      <c r="O108" s="110"/>
      <c r="P108" s="110"/>
      <c r="Q108" s="110"/>
    </row>
    <row r="109" spans="1:17" s="111" customFormat="1" ht="15.6">
      <c r="A109" s="112"/>
      <c r="B109" s="108"/>
      <c r="C109" s="108"/>
      <c r="D109" s="108"/>
      <c r="E109" s="114"/>
      <c r="F109" s="114"/>
      <c r="G109" s="115"/>
      <c r="H109" s="107"/>
      <c r="I109" s="107"/>
      <c r="J109" s="107"/>
      <c r="K109" s="108"/>
      <c r="L109" s="109"/>
      <c r="M109" s="108"/>
      <c r="N109" s="108"/>
      <c r="O109" s="110"/>
      <c r="P109" s="110"/>
      <c r="Q109" s="110"/>
    </row>
    <row r="110" spans="1:17" s="111" customFormat="1" ht="15.6">
      <c r="A110" s="105"/>
      <c r="B110" s="108"/>
      <c r="C110" s="108"/>
      <c r="D110" s="108"/>
      <c r="E110" s="114"/>
      <c r="F110" s="114"/>
      <c r="G110" s="115"/>
      <c r="H110" s="107"/>
      <c r="I110" s="107"/>
      <c r="J110" s="107"/>
      <c r="K110" s="108"/>
      <c r="L110" s="109"/>
      <c r="M110" s="108"/>
      <c r="N110" s="108"/>
      <c r="O110" s="110"/>
      <c r="P110" s="110"/>
      <c r="Q110" s="110"/>
    </row>
    <row r="111" spans="1:17" s="111" customFormat="1" ht="15.6">
      <c r="A111" s="112"/>
      <c r="B111" s="108"/>
      <c r="C111" s="108"/>
      <c r="D111" s="108"/>
      <c r="E111" s="114"/>
      <c r="F111" s="114"/>
      <c r="G111" s="115"/>
      <c r="H111" s="107"/>
      <c r="I111" s="107"/>
      <c r="J111" s="107"/>
      <c r="K111" s="108"/>
      <c r="L111" s="109"/>
      <c r="M111" s="108"/>
      <c r="N111" s="108"/>
      <c r="O111" s="110"/>
      <c r="P111" s="110"/>
      <c r="Q111" s="110"/>
    </row>
    <row r="112" spans="1:17" s="111" customFormat="1" ht="15.6">
      <c r="A112" s="105"/>
      <c r="B112" s="108"/>
      <c r="C112" s="108"/>
      <c r="D112" s="108"/>
      <c r="E112" s="114"/>
      <c r="F112" s="114"/>
      <c r="G112" s="115"/>
      <c r="H112" s="107"/>
      <c r="I112" s="107"/>
      <c r="J112" s="107"/>
      <c r="K112" s="108"/>
      <c r="L112" s="109"/>
      <c r="M112" s="108"/>
      <c r="N112" s="108"/>
      <c r="O112" s="110"/>
      <c r="P112" s="110"/>
      <c r="Q112" s="110"/>
    </row>
    <row r="113" spans="1:17" s="111" customFormat="1" ht="15.6">
      <c r="A113" s="112"/>
      <c r="B113" s="108"/>
      <c r="C113" s="108"/>
      <c r="D113" s="108"/>
      <c r="E113" s="114"/>
      <c r="F113" s="114"/>
      <c r="G113" s="115"/>
      <c r="H113" s="107"/>
      <c r="I113" s="107"/>
      <c r="J113" s="107"/>
      <c r="K113" s="108"/>
      <c r="L113" s="109"/>
      <c r="M113" s="108"/>
      <c r="N113" s="108"/>
      <c r="O113" s="110"/>
      <c r="P113" s="110"/>
      <c r="Q113" s="110"/>
    </row>
    <row r="114" spans="1:17" s="111" customFormat="1" ht="235.5" customHeight="1">
      <c r="A114" s="112"/>
      <c r="B114" s="108"/>
      <c r="C114" s="108"/>
      <c r="D114" s="108"/>
      <c r="E114" s="114"/>
      <c r="F114" s="114"/>
      <c r="G114" s="115"/>
      <c r="H114" s="107"/>
      <c r="I114" s="107"/>
      <c r="J114" s="107"/>
      <c r="K114" s="108"/>
      <c r="L114" s="109"/>
      <c r="M114" s="108"/>
      <c r="N114" s="108"/>
      <c r="O114" s="110"/>
      <c r="P114" s="110"/>
      <c r="Q114" s="110"/>
    </row>
    <row r="115" spans="1:17" s="111" customFormat="1" ht="160.5" customHeight="1">
      <c r="A115" s="105"/>
      <c r="B115" s="108"/>
      <c r="C115" s="108"/>
      <c r="D115" s="108"/>
      <c r="E115" s="114"/>
      <c r="F115" s="114"/>
      <c r="G115" s="115"/>
      <c r="H115" s="107"/>
      <c r="I115" s="107"/>
      <c r="J115" s="107"/>
      <c r="K115" s="108"/>
      <c r="L115" s="109"/>
      <c r="M115" s="108"/>
      <c r="N115" s="108"/>
      <c r="O115" s="110"/>
      <c r="P115" s="110"/>
      <c r="Q115" s="110"/>
    </row>
    <row r="116" spans="1:17" s="111" customFormat="1" ht="15.6">
      <c r="A116" s="105"/>
      <c r="B116" s="108"/>
      <c r="C116" s="108"/>
      <c r="D116" s="108"/>
      <c r="E116" s="114"/>
      <c r="F116" s="114"/>
      <c r="G116" s="115"/>
      <c r="H116" s="107"/>
      <c r="I116" s="107"/>
      <c r="J116" s="107"/>
      <c r="K116" s="108"/>
      <c r="L116" s="109"/>
      <c r="M116" s="108"/>
      <c r="N116" s="108"/>
      <c r="O116" s="110"/>
      <c r="P116" s="110"/>
      <c r="Q116" s="110"/>
    </row>
    <row r="117" spans="1:17" s="111" customFormat="1" ht="15.6">
      <c r="A117" s="112"/>
      <c r="B117" s="108"/>
      <c r="C117" s="108"/>
      <c r="D117" s="108"/>
      <c r="E117" s="114"/>
      <c r="F117" s="114"/>
      <c r="G117" s="115"/>
      <c r="H117" s="107"/>
      <c r="I117" s="107"/>
      <c r="J117" s="107"/>
      <c r="K117" s="108"/>
      <c r="L117" s="109"/>
      <c r="M117" s="108"/>
      <c r="N117" s="108"/>
      <c r="O117" s="110"/>
      <c r="P117" s="110"/>
      <c r="Q117" s="110"/>
    </row>
    <row r="118" spans="1:17" s="111" customFormat="1" ht="15.6">
      <c r="A118" s="105"/>
      <c r="B118" s="108"/>
      <c r="C118" s="108"/>
      <c r="D118" s="108"/>
      <c r="E118" s="114"/>
      <c r="F118" s="114"/>
      <c r="G118" s="115"/>
      <c r="H118" s="107"/>
      <c r="I118" s="107"/>
      <c r="J118" s="107"/>
      <c r="K118" s="108"/>
      <c r="L118" s="109"/>
      <c r="M118" s="108"/>
      <c r="N118" s="108"/>
      <c r="O118" s="110"/>
      <c r="P118" s="110"/>
      <c r="Q118" s="110"/>
    </row>
    <row r="119" spans="1:17" s="111" customFormat="1" ht="15.6">
      <c r="A119" s="112"/>
      <c r="B119" s="108"/>
      <c r="C119" s="108"/>
      <c r="D119" s="108"/>
      <c r="E119" s="114"/>
      <c r="F119" s="114"/>
      <c r="G119" s="115"/>
      <c r="H119" s="107"/>
      <c r="I119" s="107"/>
      <c r="J119" s="107"/>
      <c r="K119" s="108"/>
      <c r="L119" s="109"/>
      <c r="M119" s="108"/>
      <c r="N119" s="108"/>
      <c r="O119" s="110"/>
      <c r="P119" s="110"/>
      <c r="Q119" s="110"/>
    </row>
    <row r="120" spans="1:17" s="111" customFormat="1" ht="15.6">
      <c r="A120" s="105"/>
      <c r="B120" s="108"/>
      <c r="C120" s="108"/>
      <c r="D120" s="108"/>
      <c r="E120" s="114"/>
      <c r="F120" s="114"/>
      <c r="G120" s="115"/>
      <c r="H120" s="107"/>
      <c r="I120" s="107"/>
      <c r="J120" s="107"/>
      <c r="K120" s="108"/>
      <c r="L120" s="109"/>
      <c r="M120" s="108"/>
      <c r="N120" s="108"/>
      <c r="O120" s="110"/>
      <c r="P120" s="110"/>
      <c r="Q120" s="110"/>
    </row>
    <row r="121" spans="1:17" s="111" customFormat="1" ht="15.6">
      <c r="A121" s="112"/>
      <c r="B121" s="108"/>
      <c r="C121" s="108"/>
      <c r="D121" s="108"/>
      <c r="E121" s="114"/>
      <c r="F121" s="114"/>
      <c r="G121" s="115"/>
      <c r="H121" s="107"/>
      <c r="I121" s="107"/>
      <c r="J121" s="107"/>
      <c r="K121" s="108"/>
      <c r="L121" s="109"/>
      <c r="M121" s="108"/>
      <c r="N121" s="108"/>
      <c r="O121" s="110"/>
      <c r="P121" s="110"/>
      <c r="Q121" s="110"/>
    </row>
    <row r="122" spans="1:17" s="111" customFormat="1" ht="15.6">
      <c r="A122" s="105"/>
      <c r="B122" s="108"/>
      <c r="C122" s="108"/>
      <c r="D122" s="108"/>
      <c r="E122" s="114"/>
      <c r="F122" s="114"/>
      <c r="G122" s="117"/>
      <c r="H122" s="108"/>
      <c r="I122" s="108"/>
      <c r="J122" s="107"/>
      <c r="K122" s="108"/>
      <c r="L122" s="109"/>
      <c r="M122" s="108"/>
      <c r="N122" s="108"/>
      <c r="O122" s="110"/>
      <c r="P122" s="110"/>
      <c r="Q122" s="110"/>
    </row>
    <row r="123" spans="1:17" s="111" customFormat="1" ht="15.6">
      <c r="A123" s="112"/>
      <c r="B123" s="108"/>
      <c r="C123" s="108"/>
      <c r="D123" s="127"/>
      <c r="E123" s="114"/>
      <c r="F123" s="114"/>
      <c r="G123" s="115"/>
      <c r="H123" s="107"/>
      <c r="I123" s="107"/>
      <c r="J123" s="107"/>
      <c r="K123" s="108"/>
      <c r="L123" s="109"/>
      <c r="M123" s="108"/>
      <c r="N123" s="108"/>
      <c r="O123" s="110"/>
      <c r="P123" s="110"/>
      <c r="Q123" s="110"/>
    </row>
    <row r="124" spans="1:17" s="111" customFormat="1" ht="15.6">
      <c r="A124" s="105"/>
      <c r="B124" s="108"/>
      <c r="C124" s="108"/>
      <c r="D124" s="127"/>
      <c r="E124" s="114"/>
      <c r="F124" s="114"/>
      <c r="G124" s="115"/>
      <c r="H124" s="107"/>
      <c r="I124" s="107"/>
      <c r="J124" s="107"/>
      <c r="K124" s="108"/>
      <c r="L124" s="109"/>
      <c r="M124" s="108"/>
      <c r="N124" s="108"/>
      <c r="O124" s="110"/>
      <c r="P124" s="110"/>
      <c r="Q124" s="110"/>
    </row>
    <row r="125" spans="1:17" s="111" customFormat="1" ht="15.6">
      <c r="A125" s="112"/>
      <c r="B125" s="108"/>
      <c r="C125" s="108"/>
      <c r="D125" s="108"/>
      <c r="E125" s="114"/>
      <c r="F125" s="114"/>
      <c r="G125" s="115"/>
      <c r="H125" s="107"/>
      <c r="I125" s="107"/>
      <c r="J125" s="107"/>
      <c r="K125" s="108"/>
      <c r="L125" s="109"/>
      <c r="M125" s="108"/>
      <c r="N125" s="108"/>
      <c r="O125" s="110"/>
      <c r="P125" s="110"/>
      <c r="Q125" s="110"/>
    </row>
    <row r="126" spans="1:17" s="111" customFormat="1" ht="15.6">
      <c r="A126" s="105"/>
      <c r="B126" s="108"/>
      <c r="C126" s="108"/>
      <c r="D126" s="108"/>
      <c r="E126" s="114"/>
      <c r="F126" s="114"/>
      <c r="G126" s="115"/>
      <c r="H126" s="107"/>
      <c r="I126" s="107"/>
      <c r="J126" s="107"/>
      <c r="K126" s="108"/>
      <c r="L126" s="109"/>
      <c r="M126" s="108"/>
      <c r="N126" s="108"/>
      <c r="O126" s="110"/>
      <c r="P126" s="110"/>
      <c r="Q126" s="110"/>
    </row>
    <row r="127" spans="1:17" s="111" customFormat="1" ht="15.6">
      <c r="A127" s="112"/>
      <c r="B127" s="108"/>
      <c r="C127" s="108"/>
      <c r="D127" s="108"/>
      <c r="E127" s="114"/>
      <c r="F127" s="114"/>
      <c r="G127" s="115"/>
      <c r="H127" s="107"/>
      <c r="I127" s="107"/>
      <c r="J127" s="107"/>
      <c r="K127" s="108"/>
      <c r="L127" s="109"/>
      <c r="M127" s="108"/>
      <c r="N127" s="108"/>
      <c r="O127" s="110"/>
      <c r="P127" s="110"/>
      <c r="Q127" s="110"/>
    </row>
    <row r="128" spans="1:17" s="111" customFormat="1" ht="15.6">
      <c r="A128" s="105"/>
      <c r="B128" s="108"/>
      <c r="C128" s="108"/>
      <c r="D128" s="108"/>
      <c r="E128" s="114"/>
      <c r="F128" s="114"/>
      <c r="G128" s="115"/>
      <c r="H128" s="107"/>
      <c r="I128" s="107"/>
      <c r="J128" s="107"/>
      <c r="K128" s="108"/>
      <c r="L128" s="109"/>
      <c r="M128" s="108"/>
      <c r="N128" s="108"/>
      <c r="O128" s="110"/>
      <c r="P128" s="110"/>
      <c r="Q128" s="110"/>
    </row>
    <row r="129" spans="1:17" s="111" customFormat="1" ht="15.6">
      <c r="A129" s="112"/>
      <c r="B129" s="108"/>
      <c r="C129" s="108"/>
      <c r="D129" s="108"/>
      <c r="E129" s="114"/>
      <c r="F129" s="114"/>
      <c r="G129" s="115"/>
      <c r="H129" s="107"/>
      <c r="I129" s="107"/>
      <c r="J129" s="107"/>
      <c r="K129" s="108"/>
      <c r="L129" s="109"/>
      <c r="M129" s="108"/>
      <c r="N129" s="108"/>
      <c r="O129" s="110"/>
      <c r="P129" s="110"/>
      <c r="Q129" s="110"/>
    </row>
    <row r="130" spans="1:17" s="111" customFormat="1" ht="15.6">
      <c r="A130" s="105"/>
      <c r="B130" s="108"/>
      <c r="C130" s="108"/>
      <c r="D130" s="108"/>
      <c r="E130" s="114"/>
      <c r="F130" s="114"/>
      <c r="G130" s="115"/>
      <c r="H130" s="107"/>
      <c r="I130" s="107"/>
      <c r="J130" s="107"/>
      <c r="K130" s="108"/>
      <c r="L130" s="109"/>
      <c r="M130" s="108"/>
      <c r="N130" s="108"/>
      <c r="O130" s="110"/>
      <c r="P130" s="110"/>
      <c r="Q130" s="110"/>
    </row>
    <row r="131" spans="1:17" s="111" customFormat="1" ht="15.6">
      <c r="A131" s="112"/>
      <c r="B131" s="108"/>
      <c r="C131" s="108"/>
      <c r="D131" s="108"/>
      <c r="E131" s="114"/>
      <c r="F131" s="114"/>
      <c r="G131" s="115"/>
      <c r="H131" s="107"/>
      <c r="I131" s="107"/>
      <c r="J131" s="107"/>
      <c r="K131" s="108"/>
      <c r="L131" s="109"/>
      <c r="M131" s="108"/>
      <c r="N131" s="108"/>
      <c r="O131" s="110"/>
      <c r="P131" s="110"/>
      <c r="Q131" s="110"/>
    </row>
    <row r="132" spans="1:17" s="111" customFormat="1" ht="15.6">
      <c r="A132" s="105"/>
      <c r="B132" s="108"/>
      <c r="C132" s="108"/>
      <c r="D132" s="108"/>
      <c r="E132" s="114"/>
      <c r="F132" s="114"/>
      <c r="G132" s="115"/>
      <c r="H132" s="107"/>
      <c r="I132" s="107"/>
      <c r="J132" s="107"/>
      <c r="K132" s="108"/>
      <c r="L132" s="109"/>
      <c r="M132" s="108"/>
      <c r="N132" s="108"/>
      <c r="O132" s="110"/>
      <c r="P132" s="110"/>
      <c r="Q132" s="110"/>
    </row>
    <row r="133" spans="1:17" s="111" customFormat="1" ht="15.6">
      <c r="A133" s="112"/>
      <c r="B133" s="108"/>
      <c r="C133" s="108"/>
      <c r="D133" s="108"/>
      <c r="E133" s="114"/>
      <c r="F133" s="114"/>
      <c r="G133" s="115"/>
      <c r="H133" s="107"/>
      <c r="I133" s="107"/>
      <c r="J133" s="107"/>
      <c r="K133" s="108"/>
      <c r="L133" s="109"/>
      <c r="M133" s="108"/>
      <c r="N133" s="108"/>
      <c r="O133" s="110"/>
      <c r="P133" s="110"/>
      <c r="Q133" s="110"/>
    </row>
    <row r="134" spans="1:17" s="111" customFormat="1" ht="15.6">
      <c r="A134" s="105"/>
      <c r="B134" s="108"/>
      <c r="C134" s="108"/>
      <c r="D134" s="108"/>
      <c r="E134" s="114"/>
      <c r="F134" s="114"/>
      <c r="G134" s="115"/>
      <c r="H134" s="107"/>
      <c r="I134" s="107"/>
      <c r="J134" s="107"/>
      <c r="K134" s="108"/>
      <c r="L134" s="109"/>
      <c r="M134" s="108"/>
      <c r="N134" s="108"/>
      <c r="O134" s="110"/>
      <c r="P134" s="110"/>
      <c r="Q134" s="110"/>
    </row>
    <row r="135" spans="1:17" s="111" customFormat="1" ht="15.6">
      <c r="A135" s="112"/>
      <c r="B135" s="108"/>
      <c r="C135" s="108"/>
      <c r="D135" s="108"/>
      <c r="E135" s="114"/>
      <c r="F135" s="114"/>
      <c r="G135" s="115"/>
      <c r="H135" s="107"/>
      <c r="I135" s="107"/>
      <c r="J135" s="107"/>
      <c r="K135" s="108"/>
      <c r="L135" s="109"/>
      <c r="M135" s="108"/>
      <c r="N135" s="108"/>
      <c r="O135" s="110"/>
      <c r="P135" s="110"/>
      <c r="Q135" s="110"/>
    </row>
    <row r="136" spans="1:17" s="111" customFormat="1" ht="15.6">
      <c r="A136" s="105"/>
      <c r="B136" s="108"/>
      <c r="C136" s="108"/>
      <c r="D136" s="108"/>
      <c r="E136" s="114"/>
      <c r="F136" s="114"/>
      <c r="G136" s="115"/>
      <c r="H136" s="107"/>
      <c r="I136" s="107"/>
      <c r="J136" s="107"/>
      <c r="K136" s="108"/>
      <c r="L136" s="109"/>
      <c r="M136" s="108"/>
      <c r="N136" s="108"/>
      <c r="O136" s="110"/>
      <c r="P136" s="110"/>
      <c r="Q136" s="110"/>
    </row>
    <row r="137" spans="1:17" s="111" customFormat="1" ht="15.6">
      <c r="A137" s="112"/>
      <c r="B137" s="108"/>
      <c r="C137" s="108"/>
      <c r="D137" s="108"/>
      <c r="E137" s="114"/>
      <c r="F137" s="114"/>
      <c r="G137" s="115"/>
      <c r="H137" s="107"/>
      <c r="I137" s="107"/>
      <c r="J137" s="107"/>
      <c r="K137" s="108"/>
      <c r="L137" s="109"/>
      <c r="M137" s="108"/>
      <c r="N137" s="108"/>
      <c r="O137" s="110"/>
      <c r="P137" s="110"/>
      <c r="Q137" s="110"/>
    </row>
    <row r="138" spans="1:17" s="111" customFormat="1" ht="15.6">
      <c r="A138" s="105"/>
      <c r="B138" s="108"/>
      <c r="C138" s="108"/>
      <c r="D138" s="108"/>
      <c r="E138" s="114"/>
      <c r="F138" s="114"/>
      <c r="G138" s="115"/>
      <c r="H138" s="107"/>
      <c r="I138" s="107"/>
      <c r="J138" s="107"/>
      <c r="K138" s="108"/>
      <c r="L138" s="109"/>
      <c r="M138" s="108"/>
      <c r="N138" s="108"/>
      <c r="O138" s="110"/>
      <c r="P138" s="110"/>
      <c r="Q138" s="110"/>
    </row>
    <row r="139" spans="1:17" s="111" customFormat="1" ht="15.6">
      <c r="A139" s="112"/>
      <c r="B139" s="108"/>
      <c r="C139" s="108"/>
      <c r="D139" s="108"/>
      <c r="E139" s="114"/>
      <c r="F139" s="114"/>
      <c r="G139" s="115"/>
      <c r="H139" s="107"/>
      <c r="I139" s="107"/>
      <c r="J139" s="107"/>
      <c r="K139" s="108"/>
      <c r="L139" s="109"/>
      <c r="M139" s="108"/>
      <c r="N139" s="108"/>
      <c r="O139" s="110"/>
      <c r="P139" s="110"/>
      <c r="Q139" s="110"/>
    </row>
    <row r="140" spans="1:17" s="111" customFormat="1" ht="15.6">
      <c r="A140" s="105"/>
      <c r="B140" s="108"/>
      <c r="C140" s="108"/>
      <c r="D140" s="108"/>
      <c r="E140" s="114"/>
      <c r="F140" s="114"/>
      <c r="G140" s="115"/>
      <c r="H140" s="107"/>
      <c r="I140" s="107"/>
      <c r="J140" s="107"/>
      <c r="K140" s="108"/>
      <c r="L140" s="109"/>
      <c r="M140" s="108"/>
      <c r="N140" s="108"/>
      <c r="O140" s="110"/>
      <c r="P140" s="110"/>
      <c r="Q140" s="110"/>
    </row>
    <row r="141" spans="1:17" s="111" customFormat="1" ht="15.6">
      <c r="A141" s="112"/>
      <c r="B141" s="108"/>
      <c r="C141" s="108"/>
      <c r="D141" s="108"/>
      <c r="E141" s="114"/>
      <c r="F141" s="114"/>
      <c r="G141" s="115"/>
      <c r="H141" s="107"/>
      <c r="I141" s="107"/>
      <c r="J141" s="107"/>
      <c r="K141" s="108"/>
      <c r="L141" s="109"/>
      <c r="M141" s="108"/>
      <c r="N141" s="108"/>
      <c r="O141" s="110"/>
      <c r="P141" s="110"/>
      <c r="Q141" s="110"/>
    </row>
    <row r="142" spans="1:17" s="111" customFormat="1" ht="15.6">
      <c r="A142" s="105"/>
      <c r="B142" s="108"/>
      <c r="C142" s="108"/>
      <c r="D142" s="108"/>
      <c r="E142" s="114"/>
      <c r="F142" s="114"/>
      <c r="G142" s="115"/>
      <c r="H142" s="107"/>
      <c r="I142" s="107"/>
      <c r="J142" s="107"/>
      <c r="K142" s="108"/>
      <c r="L142" s="109"/>
      <c r="M142" s="108"/>
      <c r="N142" s="108"/>
      <c r="O142" s="110"/>
      <c r="P142" s="110"/>
      <c r="Q142" s="110"/>
    </row>
    <row r="143" spans="1:17" s="111" customFormat="1" ht="15.6">
      <c r="A143" s="105"/>
      <c r="B143" s="108"/>
      <c r="C143" s="108"/>
      <c r="D143" s="108"/>
      <c r="E143" s="114"/>
      <c r="F143" s="114"/>
      <c r="G143" s="115"/>
      <c r="H143" s="107"/>
      <c r="I143" s="107"/>
      <c r="J143" s="107"/>
      <c r="K143" s="108"/>
      <c r="L143" s="109"/>
      <c r="M143" s="108"/>
      <c r="N143" s="108"/>
      <c r="O143" s="110"/>
      <c r="P143" s="110"/>
      <c r="Q143" s="110"/>
    </row>
    <row r="144" spans="1:17" s="111" customFormat="1" ht="15.6">
      <c r="A144" s="112"/>
      <c r="B144" s="108"/>
      <c r="C144" s="108"/>
      <c r="D144" s="108"/>
      <c r="E144" s="114"/>
      <c r="F144" s="114"/>
      <c r="G144" s="115"/>
      <c r="H144" s="107"/>
      <c r="I144" s="107"/>
      <c r="J144" s="107"/>
      <c r="K144" s="108"/>
      <c r="L144" s="109"/>
      <c r="M144" s="108"/>
      <c r="N144" s="108"/>
      <c r="O144" s="110"/>
      <c r="P144" s="110"/>
      <c r="Q144" s="110"/>
    </row>
    <row r="145" spans="1:17" s="111" customFormat="1" ht="15.6">
      <c r="A145" s="105"/>
      <c r="B145" s="108"/>
      <c r="C145" s="108"/>
      <c r="D145" s="127"/>
      <c r="E145" s="109"/>
      <c r="F145" s="109"/>
      <c r="G145" s="115"/>
      <c r="H145" s="107"/>
      <c r="I145" s="107"/>
      <c r="J145" s="107"/>
      <c r="K145" s="126"/>
      <c r="L145" s="109"/>
      <c r="M145" s="108"/>
      <c r="N145" s="108"/>
      <c r="O145" s="110"/>
      <c r="P145" s="110"/>
      <c r="Q145" s="110"/>
    </row>
    <row r="146" spans="1:17" s="111" customFormat="1" ht="15.6">
      <c r="A146" s="105"/>
      <c r="B146" s="108"/>
      <c r="C146" s="108"/>
      <c r="D146" s="127"/>
      <c r="E146" s="109"/>
      <c r="F146" s="109"/>
      <c r="G146" s="115"/>
      <c r="H146" s="107"/>
      <c r="I146" s="107"/>
      <c r="J146" s="107"/>
      <c r="K146" s="126"/>
      <c r="L146" s="109"/>
      <c r="M146" s="108"/>
      <c r="N146" s="108"/>
      <c r="O146" s="110"/>
      <c r="P146" s="110"/>
      <c r="Q146" s="110"/>
    </row>
    <row r="147" spans="1:17" s="111" customFormat="1" ht="15.6">
      <c r="A147" s="112"/>
      <c r="B147" s="108"/>
      <c r="C147" s="108"/>
      <c r="D147" s="127"/>
      <c r="E147" s="109"/>
      <c r="F147" s="109"/>
      <c r="G147" s="115"/>
      <c r="H147" s="107"/>
      <c r="I147" s="107"/>
      <c r="J147" s="107"/>
      <c r="K147" s="108"/>
      <c r="L147" s="109"/>
      <c r="M147" s="108"/>
      <c r="N147" s="108"/>
      <c r="O147" s="110"/>
      <c r="P147" s="110"/>
      <c r="Q147" s="110"/>
    </row>
    <row r="148" spans="1:17" s="111" customFormat="1" ht="15.6">
      <c r="A148" s="105"/>
      <c r="B148" s="108"/>
      <c r="C148" s="108"/>
      <c r="D148" s="127"/>
      <c r="E148" s="109"/>
      <c r="F148" s="109"/>
      <c r="G148" s="115"/>
      <c r="H148" s="107"/>
      <c r="I148" s="107"/>
      <c r="J148" s="107"/>
      <c r="K148" s="126"/>
      <c r="L148" s="109"/>
      <c r="M148" s="108"/>
      <c r="N148" s="108"/>
      <c r="O148" s="110"/>
      <c r="P148" s="110"/>
      <c r="Q148" s="110"/>
    </row>
    <row r="149" spans="1:17" s="111" customFormat="1" ht="15.6">
      <c r="A149" s="105"/>
      <c r="B149" s="108"/>
      <c r="C149" s="108"/>
      <c r="D149" s="127"/>
      <c r="E149" s="109"/>
      <c r="F149" s="109"/>
      <c r="G149" s="115"/>
      <c r="H149" s="107"/>
      <c r="I149" s="107"/>
      <c r="J149" s="107"/>
      <c r="K149" s="126"/>
      <c r="L149" s="109"/>
      <c r="M149" s="108"/>
      <c r="N149" s="108"/>
      <c r="O149" s="110"/>
      <c r="P149" s="110"/>
      <c r="Q149" s="110"/>
    </row>
    <row r="150" spans="1:17" s="111" customFormat="1" ht="15.6">
      <c r="A150" s="112"/>
      <c r="B150" s="108"/>
      <c r="C150" s="108"/>
      <c r="D150" s="127"/>
      <c r="E150" s="109"/>
      <c r="F150" s="109"/>
      <c r="G150" s="115"/>
      <c r="H150" s="107"/>
      <c r="I150" s="107"/>
      <c r="J150" s="107"/>
      <c r="K150" s="126"/>
      <c r="L150" s="109"/>
      <c r="M150" s="108"/>
      <c r="N150" s="108"/>
      <c r="O150" s="110"/>
      <c r="P150" s="110"/>
      <c r="Q150" s="110"/>
    </row>
    <row r="151" spans="1:17" s="111" customFormat="1" ht="15.6">
      <c r="A151" s="105"/>
      <c r="B151" s="108"/>
      <c r="C151" s="108"/>
      <c r="D151" s="127"/>
      <c r="E151" s="109"/>
      <c r="F151" s="109"/>
      <c r="G151" s="115"/>
      <c r="H151" s="107"/>
      <c r="I151" s="107"/>
      <c r="J151" s="107"/>
      <c r="K151" s="126"/>
      <c r="L151" s="109"/>
      <c r="M151" s="108"/>
      <c r="N151" s="108"/>
      <c r="O151" s="110"/>
      <c r="P151" s="110"/>
      <c r="Q151" s="110"/>
    </row>
    <row r="152" spans="1:17" s="111" customFormat="1" ht="15.6">
      <c r="A152" s="105"/>
      <c r="B152" s="108"/>
      <c r="C152" s="108"/>
      <c r="D152" s="127"/>
      <c r="E152" s="109"/>
      <c r="F152" s="109"/>
      <c r="G152" s="115"/>
      <c r="H152" s="107"/>
      <c r="I152" s="107"/>
      <c r="J152" s="107"/>
      <c r="K152" s="126"/>
      <c r="L152" s="109"/>
      <c r="M152" s="108"/>
      <c r="N152" s="108"/>
      <c r="O152" s="110"/>
      <c r="P152" s="110"/>
      <c r="Q152" s="110"/>
    </row>
    <row r="153" spans="1:17" s="111" customFormat="1" ht="15.6">
      <c r="A153" s="112"/>
      <c r="B153" s="108"/>
      <c r="C153" s="108"/>
      <c r="D153" s="127"/>
      <c r="E153" s="109"/>
      <c r="F153" s="109"/>
      <c r="G153" s="115"/>
      <c r="H153" s="107"/>
      <c r="I153" s="107"/>
      <c r="J153" s="107"/>
      <c r="K153" s="108"/>
      <c r="L153" s="109"/>
      <c r="M153" s="108"/>
      <c r="N153" s="108"/>
      <c r="O153" s="110"/>
      <c r="P153" s="110"/>
      <c r="Q153" s="110"/>
    </row>
    <row r="154" spans="1:17" s="111" customFormat="1" ht="15.6">
      <c r="A154" s="105"/>
      <c r="B154" s="108"/>
      <c r="C154" s="108"/>
      <c r="D154" s="127"/>
      <c r="E154" s="109"/>
      <c r="F154" s="109"/>
      <c r="G154" s="115"/>
      <c r="H154" s="107"/>
      <c r="I154" s="107"/>
      <c r="J154" s="107"/>
      <c r="K154" s="108"/>
      <c r="L154" s="109"/>
      <c r="M154" s="108"/>
      <c r="N154" s="108"/>
      <c r="O154" s="110"/>
      <c r="P154" s="110"/>
      <c r="Q154" s="110"/>
    </row>
    <row r="155" spans="1:17" s="111" customFormat="1" ht="15.6">
      <c r="A155" s="105"/>
      <c r="B155" s="108"/>
      <c r="C155" s="108"/>
      <c r="D155" s="127"/>
      <c r="E155" s="109"/>
      <c r="F155" s="109"/>
      <c r="G155" s="115"/>
      <c r="H155" s="107"/>
      <c r="I155" s="107"/>
      <c r="J155" s="107"/>
      <c r="K155" s="126"/>
      <c r="L155" s="109"/>
      <c r="M155" s="108"/>
      <c r="N155" s="108"/>
      <c r="O155" s="110"/>
      <c r="P155" s="110"/>
      <c r="Q155" s="110"/>
    </row>
    <row r="156" spans="1:17" s="111" customFormat="1" ht="15.6">
      <c r="A156" s="105"/>
      <c r="B156" s="108"/>
      <c r="C156" s="108"/>
      <c r="D156" s="127"/>
      <c r="E156" s="109"/>
      <c r="F156" s="109"/>
      <c r="G156" s="115"/>
      <c r="H156" s="107"/>
      <c r="I156" s="107"/>
      <c r="J156" s="107"/>
      <c r="K156" s="108"/>
      <c r="L156" s="109"/>
      <c r="M156" s="108"/>
      <c r="N156" s="108"/>
      <c r="O156" s="110"/>
      <c r="P156" s="110"/>
      <c r="Q156" s="110"/>
    </row>
    <row r="157" spans="1:17" s="111" customFormat="1" ht="15.6">
      <c r="A157" s="105"/>
      <c r="B157" s="108"/>
      <c r="C157" s="108"/>
      <c r="D157" s="127"/>
      <c r="E157" s="128"/>
      <c r="F157" s="109"/>
      <c r="G157" s="115"/>
      <c r="H157" s="107"/>
      <c r="I157" s="107"/>
      <c r="J157" s="107"/>
      <c r="K157" s="126"/>
      <c r="L157" s="109"/>
      <c r="M157" s="108"/>
      <c r="N157" s="108"/>
      <c r="O157" s="110"/>
      <c r="P157" s="110"/>
      <c r="Q157" s="110"/>
    </row>
    <row r="158" spans="1:17" s="111" customFormat="1" ht="15.6">
      <c r="A158" s="105"/>
      <c r="B158" s="108"/>
      <c r="C158" s="108"/>
      <c r="D158" s="127"/>
      <c r="E158" s="128"/>
      <c r="F158" s="109"/>
      <c r="G158" s="115"/>
      <c r="H158" s="107"/>
      <c r="I158" s="107"/>
      <c r="J158" s="107"/>
      <c r="K158" s="108"/>
      <c r="L158" s="109"/>
      <c r="M158" s="108"/>
      <c r="N158" s="108"/>
      <c r="O158" s="110"/>
      <c r="P158" s="110"/>
      <c r="Q158" s="110"/>
    </row>
    <row r="159" spans="1:17" s="111" customFormat="1" ht="15.6">
      <c r="A159" s="105"/>
      <c r="B159" s="108"/>
      <c r="C159" s="108"/>
      <c r="D159" s="127"/>
      <c r="E159" s="128"/>
      <c r="F159" s="109"/>
      <c r="G159" s="115"/>
      <c r="H159" s="107"/>
      <c r="I159" s="107"/>
      <c r="J159" s="107"/>
      <c r="K159" s="108"/>
      <c r="L159" s="109"/>
      <c r="M159" s="108"/>
      <c r="N159" s="108"/>
      <c r="O159" s="110"/>
      <c r="P159" s="110"/>
      <c r="Q159" s="110"/>
    </row>
    <row r="160" spans="1:17" s="111" customFormat="1" ht="15.6">
      <c r="A160" s="105"/>
      <c r="B160" s="108"/>
      <c r="C160" s="108"/>
      <c r="D160" s="127"/>
      <c r="E160" s="128"/>
      <c r="F160" s="109"/>
      <c r="G160" s="115"/>
      <c r="H160" s="107"/>
      <c r="I160" s="107"/>
      <c r="J160" s="107"/>
      <c r="K160" s="129"/>
      <c r="L160" s="109"/>
      <c r="M160" s="108"/>
      <c r="N160" s="108"/>
      <c r="O160" s="110"/>
      <c r="P160" s="110"/>
      <c r="Q160" s="110"/>
    </row>
    <row r="161" spans="1:17" s="111" customFormat="1" ht="15.6">
      <c r="A161" s="105"/>
      <c r="B161" s="108"/>
      <c r="C161" s="108"/>
      <c r="D161" s="127"/>
      <c r="E161" s="128"/>
      <c r="F161" s="109"/>
      <c r="G161" s="115"/>
      <c r="H161" s="107"/>
      <c r="I161" s="107"/>
      <c r="J161" s="107"/>
      <c r="K161" s="129"/>
      <c r="L161" s="109"/>
      <c r="M161" s="108"/>
      <c r="N161" s="108"/>
      <c r="O161" s="110"/>
      <c r="P161" s="110"/>
      <c r="Q161" s="110"/>
    </row>
    <row r="162" spans="1:17" s="111" customFormat="1" ht="15.6">
      <c r="A162" s="105"/>
      <c r="B162" s="108"/>
      <c r="C162" s="108"/>
      <c r="D162" s="127"/>
      <c r="E162" s="128"/>
      <c r="F162" s="109"/>
      <c r="G162" s="115"/>
      <c r="H162" s="107"/>
      <c r="I162" s="107"/>
      <c r="J162" s="107"/>
      <c r="K162" s="108"/>
      <c r="L162" s="109"/>
      <c r="M162" s="108"/>
      <c r="N162" s="108"/>
      <c r="O162" s="110"/>
      <c r="P162" s="110"/>
      <c r="Q162" s="110"/>
    </row>
    <row r="163" spans="1:17" s="111" customFormat="1" ht="15.6">
      <c r="A163" s="105"/>
      <c r="B163" s="108"/>
      <c r="C163" s="108"/>
      <c r="D163" s="127"/>
      <c r="E163" s="128"/>
      <c r="F163" s="109"/>
      <c r="G163" s="115"/>
      <c r="H163" s="107"/>
      <c r="I163" s="107"/>
      <c r="J163" s="107"/>
      <c r="K163" s="108"/>
      <c r="L163" s="109"/>
      <c r="M163" s="108"/>
      <c r="N163" s="108"/>
      <c r="O163" s="110"/>
      <c r="P163" s="110"/>
      <c r="Q163" s="110"/>
    </row>
    <row r="164" spans="1:17" s="111" customFormat="1" ht="15.6">
      <c r="A164" s="105"/>
      <c r="B164" s="108"/>
      <c r="C164" s="108"/>
      <c r="D164" s="127"/>
      <c r="E164" s="109"/>
      <c r="F164" s="109"/>
      <c r="G164" s="115"/>
      <c r="H164" s="107"/>
      <c r="I164" s="107"/>
      <c r="J164" s="107"/>
      <c r="K164" s="108"/>
      <c r="L164" s="109"/>
      <c r="M164" s="108"/>
      <c r="N164" s="108"/>
      <c r="O164" s="110"/>
      <c r="P164" s="110"/>
      <c r="Q164" s="110"/>
    </row>
    <row r="165" spans="1:17" s="111" customFormat="1" ht="15.6">
      <c r="A165" s="112"/>
      <c r="B165" s="108"/>
      <c r="C165" s="108"/>
      <c r="D165" s="127"/>
      <c r="E165" s="109"/>
      <c r="F165" s="109"/>
      <c r="G165" s="115"/>
      <c r="H165" s="107"/>
      <c r="I165" s="107"/>
      <c r="J165" s="107"/>
      <c r="K165" s="108"/>
      <c r="L165" s="109"/>
      <c r="M165" s="108"/>
      <c r="N165" s="108"/>
      <c r="O165" s="110"/>
      <c r="P165" s="110"/>
      <c r="Q165" s="110"/>
    </row>
    <row r="166" spans="1:17" s="111" customFormat="1" ht="15.6">
      <c r="A166" s="105"/>
      <c r="B166" s="108"/>
      <c r="C166" s="108"/>
      <c r="D166" s="127"/>
      <c r="E166" s="109"/>
      <c r="F166" s="109"/>
      <c r="G166" s="115"/>
      <c r="H166" s="107"/>
      <c r="I166" s="107"/>
      <c r="J166" s="107"/>
      <c r="K166" s="108"/>
      <c r="L166" s="109"/>
      <c r="M166" s="108"/>
      <c r="N166" s="108"/>
      <c r="O166" s="110"/>
      <c r="P166" s="110"/>
      <c r="Q166" s="110"/>
    </row>
    <row r="167" spans="1:17" s="111" customFormat="1" ht="15.6">
      <c r="A167" s="105"/>
      <c r="B167" s="108"/>
      <c r="C167" s="108"/>
      <c r="D167" s="127"/>
      <c r="E167" s="109"/>
      <c r="F167" s="109"/>
      <c r="G167" s="115"/>
      <c r="H167" s="107"/>
      <c r="I167" s="107"/>
      <c r="J167" s="107"/>
      <c r="K167" s="108"/>
      <c r="L167" s="109"/>
      <c r="M167" s="108"/>
      <c r="N167" s="108"/>
      <c r="O167" s="110"/>
      <c r="P167" s="110"/>
      <c r="Q167" s="110"/>
    </row>
    <row r="168" spans="1:17" s="111" customFormat="1" ht="15.6">
      <c r="A168" s="112"/>
      <c r="B168" s="108"/>
      <c r="C168" s="108"/>
      <c r="D168" s="127"/>
      <c r="E168" s="109"/>
      <c r="F168" s="109"/>
      <c r="G168" s="115"/>
      <c r="H168" s="107"/>
      <c r="I168" s="107"/>
      <c r="J168" s="107"/>
      <c r="K168" s="108"/>
      <c r="L168" s="109"/>
      <c r="M168" s="108"/>
      <c r="N168" s="108"/>
      <c r="O168" s="110"/>
      <c r="P168" s="110"/>
      <c r="Q168" s="110"/>
    </row>
    <row r="169" spans="1:17" s="111" customFormat="1" ht="15.6">
      <c r="A169" s="105"/>
      <c r="B169" s="108"/>
      <c r="C169" s="108"/>
      <c r="D169" s="130"/>
      <c r="E169" s="109"/>
      <c r="F169" s="109"/>
      <c r="G169" s="115"/>
      <c r="H169" s="107"/>
      <c r="I169" s="107"/>
      <c r="J169" s="107"/>
      <c r="K169" s="108"/>
      <c r="L169" s="109"/>
      <c r="M169" s="108"/>
      <c r="N169" s="108"/>
      <c r="O169" s="110"/>
      <c r="P169" s="110"/>
      <c r="Q169" s="110"/>
    </row>
    <row r="170" spans="1:17" s="111" customFormat="1" ht="15.6">
      <c r="A170" s="105"/>
      <c r="B170" s="108"/>
      <c r="C170" s="108"/>
      <c r="D170" s="130"/>
      <c r="E170" s="109"/>
      <c r="F170" s="109"/>
      <c r="G170" s="115"/>
      <c r="H170" s="107"/>
      <c r="I170" s="107"/>
      <c r="J170" s="107"/>
      <c r="K170" s="108"/>
      <c r="L170" s="109"/>
      <c r="M170" s="108"/>
      <c r="N170" s="108"/>
      <c r="O170" s="110"/>
      <c r="P170" s="110"/>
      <c r="Q170" s="110"/>
    </row>
    <row r="171" spans="1:17" s="111" customFormat="1" ht="15.6">
      <c r="A171" s="112"/>
      <c r="B171" s="108"/>
      <c r="C171" s="108"/>
      <c r="D171" s="130"/>
      <c r="E171" s="109"/>
      <c r="F171" s="109"/>
      <c r="G171" s="115"/>
      <c r="H171" s="107"/>
      <c r="I171" s="107"/>
      <c r="J171" s="107"/>
      <c r="K171" s="108"/>
      <c r="L171" s="109"/>
      <c r="M171" s="108"/>
      <c r="N171" s="108"/>
      <c r="O171" s="110"/>
      <c r="P171" s="110"/>
      <c r="Q171" s="110"/>
    </row>
    <row r="172" spans="1:17" s="111" customFormat="1" ht="15.6">
      <c r="A172" s="105"/>
      <c r="B172" s="108"/>
      <c r="C172" s="108"/>
      <c r="D172" s="130"/>
      <c r="E172" s="109"/>
      <c r="F172" s="109"/>
      <c r="G172" s="115"/>
      <c r="H172" s="107"/>
      <c r="I172" s="107"/>
      <c r="J172" s="107"/>
      <c r="K172" s="108"/>
      <c r="L172" s="109"/>
      <c r="M172" s="108"/>
      <c r="N172" s="108"/>
      <c r="O172" s="110"/>
      <c r="P172" s="110"/>
      <c r="Q172" s="110"/>
    </row>
    <row r="173" spans="1:17" s="111" customFormat="1" ht="15.6">
      <c r="A173" s="105"/>
      <c r="B173" s="108"/>
      <c r="C173" s="108"/>
      <c r="D173" s="108"/>
      <c r="E173" s="109"/>
      <c r="F173" s="109"/>
      <c r="G173" s="115"/>
      <c r="H173" s="107"/>
      <c r="I173" s="107"/>
      <c r="J173" s="107"/>
      <c r="K173" s="108"/>
      <c r="L173" s="109"/>
      <c r="M173" s="108"/>
      <c r="N173" s="108"/>
      <c r="O173" s="110"/>
      <c r="P173" s="110"/>
      <c r="Q173" s="110"/>
    </row>
    <row r="174" spans="1:17" s="111" customFormat="1" ht="15.6">
      <c r="A174" s="112"/>
      <c r="B174" s="108"/>
      <c r="C174" s="108"/>
      <c r="D174" s="108"/>
      <c r="E174" s="109"/>
      <c r="F174" s="109"/>
      <c r="G174" s="115"/>
      <c r="H174" s="107"/>
      <c r="I174" s="107"/>
      <c r="J174" s="107"/>
      <c r="K174" s="108"/>
      <c r="L174" s="109"/>
      <c r="M174" s="108"/>
      <c r="N174" s="108"/>
      <c r="O174" s="110"/>
      <c r="P174" s="110"/>
      <c r="Q174" s="110"/>
    </row>
    <row r="175" spans="1:17" s="111" customFormat="1" ht="15.6">
      <c r="A175" s="105"/>
      <c r="B175" s="108"/>
      <c r="C175" s="108"/>
      <c r="D175" s="108"/>
      <c r="E175" s="109"/>
      <c r="F175" s="109"/>
      <c r="G175" s="115"/>
      <c r="H175" s="107"/>
      <c r="I175" s="107"/>
      <c r="J175" s="107"/>
      <c r="K175" s="126"/>
      <c r="L175" s="109"/>
      <c r="M175" s="108"/>
      <c r="N175" s="108"/>
      <c r="O175" s="110"/>
      <c r="P175" s="110"/>
      <c r="Q175" s="110"/>
    </row>
    <row r="176" spans="1:17" s="111" customFormat="1" ht="15.6">
      <c r="A176" s="105"/>
      <c r="B176" s="108"/>
      <c r="C176" s="108"/>
      <c r="D176" s="108"/>
      <c r="E176" s="109"/>
      <c r="F176" s="109"/>
      <c r="G176" s="115"/>
      <c r="H176" s="107"/>
      <c r="I176" s="107"/>
      <c r="J176" s="107"/>
      <c r="K176" s="108"/>
      <c r="L176" s="109"/>
      <c r="M176" s="108"/>
      <c r="N176" s="108"/>
      <c r="O176" s="110"/>
      <c r="P176" s="110"/>
      <c r="Q176" s="110"/>
    </row>
    <row r="177" spans="1:17" s="111" customFormat="1" ht="15.6">
      <c r="A177" s="112"/>
      <c r="B177" s="108"/>
      <c r="C177" s="108"/>
      <c r="D177" s="108"/>
      <c r="E177" s="109"/>
      <c r="F177" s="109"/>
      <c r="G177" s="115"/>
      <c r="H177" s="107"/>
      <c r="I177" s="107"/>
      <c r="J177" s="107"/>
      <c r="K177" s="108"/>
      <c r="L177" s="109"/>
      <c r="M177" s="108"/>
      <c r="N177" s="108"/>
      <c r="O177" s="110"/>
      <c r="P177" s="110"/>
      <c r="Q177" s="110"/>
    </row>
    <row r="178" spans="1:17" s="111" customFormat="1" ht="15.6">
      <c r="A178" s="105"/>
      <c r="B178" s="108"/>
      <c r="C178" s="108"/>
      <c r="D178" s="130"/>
      <c r="E178" s="109"/>
      <c r="F178" s="109"/>
      <c r="G178" s="115"/>
      <c r="H178" s="107"/>
      <c r="I178" s="107"/>
      <c r="J178" s="107"/>
      <c r="K178" s="108"/>
      <c r="L178" s="109"/>
      <c r="M178" s="108"/>
      <c r="N178" s="108"/>
      <c r="O178" s="110"/>
      <c r="P178" s="110"/>
      <c r="Q178" s="110"/>
    </row>
    <row r="179" spans="1:17" s="111" customFormat="1" ht="15.6">
      <c r="A179" s="105"/>
      <c r="B179" s="108"/>
      <c r="C179" s="108"/>
      <c r="D179" s="108"/>
      <c r="E179" s="109"/>
      <c r="F179" s="109"/>
      <c r="G179" s="115"/>
      <c r="H179" s="107"/>
      <c r="I179" s="107"/>
      <c r="J179" s="107"/>
      <c r="K179" s="108"/>
      <c r="L179" s="109"/>
      <c r="M179" s="108"/>
      <c r="N179" s="108"/>
      <c r="O179" s="110"/>
      <c r="P179" s="110"/>
      <c r="Q179" s="110"/>
    </row>
    <row r="180" spans="1:17" s="111" customFormat="1" ht="15.6">
      <c r="A180" s="112"/>
      <c r="B180" s="108"/>
      <c r="C180" s="108"/>
      <c r="D180" s="108"/>
      <c r="E180" s="109"/>
      <c r="F180" s="109"/>
      <c r="G180" s="115"/>
      <c r="H180" s="107"/>
      <c r="I180" s="107"/>
      <c r="J180" s="107"/>
      <c r="K180" s="108"/>
      <c r="L180" s="109"/>
      <c r="M180" s="108"/>
      <c r="N180" s="108"/>
      <c r="O180" s="110"/>
      <c r="P180" s="110"/>
      <c r="Q180" s="110"/>
    </row>
    <row r="181" spans="1:17" s="111" customFormat="1" ht="15.6">
      <c r="A181" s="105"/>
      <c r="B181" s="108"/>
      <c r="C181" s="108"/>
      <c r="D181" s="108"/>
      <c r="E181" s="109"/>
      <c r="F181" s="109"/>
      <c r="G181" s="115"/>
      <c r="H181" s="107"/>
      <c r="I181" s="107"/>
      <c r="J181" s="107"/>
      <c r="K181" s="108"/>
      <c r="L181" s="109"/>
      <c r="M181" s="108"/>
      <c r="N181" s="108"/>
      <c r="O181" s="110"/>
      <c r="P181" s="110"/>
      <c r="Q181" s="110"/>
    </row>
    <row r="182" spans="1:17" s="111" customFormat="1" ht="15.6">
      <c r="A182" s="105"/>
      <c r="B182" s="108"/>
      <c r="C182" s="108"/>
      <c r="D182" s="108"/>
      <c r="E182" s="109"/>
      <c r="F182" s="109"/>
      <c r="G182" s="115"/>
      <c r="H182" s="107"/>
      <c r="I182" s="107"/>
      <c r="J182" s="107"/>
      <c r="K182" s="108"/>
      <c r="L182" s="109"/>
      <c r="M182" s="108"/>
      <c r="N182" s="108"/>
      <c r="O182" s="110"/>
      <c r="P182" s="110"/>
      <c r="Q182" s="110"/>
    </row>
    <row r="183" spans="1:17" s="111" customFormat="1" ht="15.6">
      <c r="A183" s="112"/>
      <c r="B183" s="108"/>
      <c r="C183" s="108"/>
      <c r="D183" s="108"/>
      <c r="E183" s="109"/>
      <c r="F183" s="109"/>
      <c r="G183" s="115"/>
      <c r="H183" s="107"/>
      <c r="I183" s="107"/>
      <c r="J183" s="107"/>
      <c r="K183" s="108"/>
      <c r="L183" s="109"/>
      <c r="M183" s="108"/>
      <c r="N183" s="108"/>
      <c r="O183" s="110"/>
      <c r="P183" s="110"/>
      <c r="Q183" s="110"/>
    </row>
    <row r="184" spans="1:17" s="111" customFormat="1" ht="15.6">
      <c r="A184" s="105"/>
      <c r="B184" s="108"/>
      <c r="C184" s="108"/>
      <c r="D184" s="108"/>
      <c r="E184" s="109"/>
      <c r="F184" s="109"/>
      <c r="G184" s="115"/>
      <c r="H184" s="107"/>
      <c r="I184" s="107"/>
      <c r="J184" s="107"/>
      <c r="K184" s="108"/>
      <c r="L184" s="109"/>
      <c r="M184" s="108"/>
      <c r="N184" s="108"/>
      <c r="O184" s="110"/>
      <c r="P184" s="110"/>
      <c r="Q184" s="110"/>
    </row>
    <row r="185" spans="1:17" s="111" customFormat="1" ht="15.6">
      <c r="A185" s="105"/>
      <c r="B185" s="108"/>
      <c r="C185" s="108"/>
      <c r="D185" s="108"/>
      <c r="E185" s="109"/>
      <c r="F185" s="109"/>
      <c r="G185" s="115"/>
      <c r="H185" s="107"/>
      <c r="I185" s="107"/>
      <c r="J185" s="107"/>
      <c r="K185" s="108"/>
      <c r="L185" s="109"/>
      <c r="M185" s="108"/>
      <c r="N185" s="108"/>
      <c r="O185" s="110"/>
      <c r="P185" s="110"/>
      <c r="Q185" s="110"/>
    </row>
    <row r="186" spans="1:17" s="111" customFormat="1" ht="15.6">
      <c r="A186" s="112"/>
      <c r="B186" s="108"/>
      <c r="C186" s="108"/>
      <c r="D186" s="108"/>
      <c r="E186" s="109"/>
      <c r="F186" s="109"/>
      <c r="G186" s="115"/>
      <c r="H186" s="107"/>
      <c r="I186" s="107"/>
      <c r="J186" s="107"/>
      <c r="K186" s="108"/>
      <c r="L186" s="109"/>
      <c r="M186" s="108"/>
      <c r="N186" s="108"/>
      <c r="O186" s="110"/>
      <c r="P186" s="110"/>
      <c r="Q186" s="110"/>
    </row>
    <row r="187" spans="1:17" s="111" customFormat="1" ht="15.6">
      <c r="A187" s="105"/>
      <c r="B187" s="108"/>
      <c r="C187" s="108"/>
      <c r="D187" s="108"/>
      <c r="E187" s="109"/>
      <c r="F187" s="109"/>
      <c r="G187" s="115"/>
      <c r="H187" s="107"/>
      <c r="I187" s="107"/>
      <c r="J187" s="107"/>
      <c r="K187" s="108"/>
      <c r="L187" s="109"/>
      <c r="M187" s="108"/>
      <c r="N187" s="108"/>
      <c r="O187" s="110"/>
      <c r="P187" s="110"/>
      <c r="Q187" s="110"/>
    </row>
    <row r="188" spans="1:17" s="111" customFormat="1" ht="15.6">
      <c r="A188" s="105"/>
      <c r="B188" s="108"/>
      <c r="C188" s="108"/>
      <c r="D188" s="108"/>
      <c r="E188" s="109"/>
      <c r="F188" s="109"/>
      <c r="G188" s="115"/>
      <c r="H188" s="107"/>
      <c r="I188" s="107"/>
      <c r="J188" s="107"/>
      <c r="K188" s="108"/>
      <c r="L188" s="109"/>
      <c r="M188" s="108"/>
      <c r="N188" s="108"/>
      <c r="O188" s="110"/>
      <c r="P188" s="110"/>
      <c r="Q188" s="110"/>
    </row>
    <row r="189" spans="1:17" s="111" customFormat="1" ht="15.6">
      <c r="A189" s="112"/>
      <c r="B189" s="108"/>
      <c r="C189" s="108"/>
      <c r="D189" s="108"/>
      <c r="E189" s="109"/>
      <c r="F189" s="109"/>
      <c r="G189" s="115"/>
      <c r="H189" s="107"/>
      <c r="I189" s="107"/>
      <c r="J189" s="107"/>
      <c r="K189" s="108"/>
      <c r="L189" s="109"/>
      <c r="M189" s="108"/>
      <c r="N189" s="108"/>
      <c r="O189" s="110"/>
      <c r="P189" s="110"/>
      <c r="Q189" s="110"/>
    </row>
    <row r="190" spans="1:17" s="111" customFormat="1" ht="15.6">
      <c r="A190" s="105"/>
      <c r="B190" s="108"/>
      <c r="C190" s="108"/>
      <c r="D190" s="108"/>
      <c r="E190" s="109"/>
      <c r="F190" s="109"/>
      <c r="G190" s="115"/>
      <c r="H190" s="107"/>
      <c r="I190" s="107"/>
      <c r="J190" s="107"/>
      <c r="K190" s="108"/>
      <c r="L190" s="109"/>
      <c r="M190" s="108"/>
      <c r="N190" s="108"/>
      <c r="O190" s="110"/>
      <c r="P190" s="110"/>
      <c r="Q190" s="110"/>
    </row>
    <row r="191" spans="1:17" s="111" customFormat="1" ht="15.6">
      <c r="A191" s="105"/>
      <c r="B191" s="108"/>
      <c r="C191" s="108"/>
      <c r="D191" s="108"/>
      <c r="E191" s="109"/>
      <c r="F191" s="109"/>
      <c r="G191" s="115"/>
      <c r="H191" s="107"/>
      <c r="I191" s="107"/>
      <c r="J191" s="107"/>
      <c r="K191" s="108"/>
      <c r="L191" s="109"/>
      <c r="M191" s="108"/>
      <c r="N191" s="108"/>
      <c r="O191" s="110"/>
      <c r="P191" s="110"/>
      <c r="Q191" s="110"/>
    </row>
    <row r="192" spans="1:17" s="111" customFormat="1" ht="15.6">
      <c r="A192" s="112"/>
      <c r="B192" s="108"/>
      <c r="C192" s="108"/>
      <c r="D192" s="108"/>
      <c r="E192" s="109"/>
      <c r="F192" s="109"/>
      <c r="G192" s="115"/>
      <c r="H192" s="107"/>
      <c r="I192" s="107"/>
      <c r="J192" s="107"/>
      <c r="K192" s="108"/>
      <c r="L192" s="109"/>
      <c r="M192" s="108"/>
      <c r="N192" s="108"/>
      <c r="O192" s="110"/>
      <c r="P192" s="110"/>
      <c r="Q192" s="110"/>
    </row>
    <row r="193" spans="1:17" s="111" customFormat="1" ht="15.6">
      <c r="A193" s="105"/>
      <c r="B193" s="108"/>
      <c r="C193" s="108"/>
      <c r="D193" s="108"/>
      <c r="E193" s="109"/>
      <c r="F193" s="109"/>
      <c r="G193" s="115"/>
      <c r="H193" s="107"/>
      <c r="I193" s="107"/>
      <c r="J193" s="107"/>
      <c r="K193" s="108"/>
      <c r="L193" s="109"/>
      <c r="M193" s="108"/>
      <c r="N193" s="108"/>
      <c r="O193" s="110"/>
      <c r="P193" s="110"/>
      <c r="Q193" s="110"/>
    </row>
    <row r="194" spans="1:17" s="111" customFormat="1" ht="15.6">
      <c r="A194" s="105"/>
      <c r="B194" s="108"/>
      <c r="C194" s="108"/>
      <c r="D194" s="108"/>
      <c r="E194" s="109"/>
      <c r="F194" s="109"/>
      <c r="G194" s="115"/>
      <c r="H194" s="107"/>
      <c r="I194" s="107"/>
      <c r="J194" s="107"/>
      <c r="K194" s="108"/>
      <c r="L194" s="109"/>
      <c r="M194" s="108"/>
      <c r="N194" s="108"/>
      <c r="O194" s="110"/>
      <c r="P194" s="110"/>
      <c r="Q194" s="110"/>
    </row>
    <row r="195" spans="1:17" s="111" customFormat="1" ht="15.6">
      <c r="A195" s="112"/>
      <c r="B195" s="108"/>
      <c r="C195" s="108"/>
      <c r="D195" s="130"/>
      <c r="E195" s="109"/>
      <c r="F195" s="109"/>
      <c r="G195" s="115"/>
      <c r="H195" s="107"/>
      <c r="I195" s="107"/>
      <c r="J195" s="107"/>
      <c r="K195" s="108"/>
      <c r="L195" s="109"/>
      <c r="M195" s="108"/>
      <c r="N195" s="108"/>
      <c r="O195" s="110"/>
      <c r="P195" s="110"/>
      <c r="Q195" s="110"/>
    </row>
    <row r="196" spans="1:17" s="111" customFormat="1" ht="15.6">
      <c r="A196" s="105"/>
      <c r="B196" s="108"/>
      <c r="C196" s="108"/>
      <c r="D196" s="108"/>
      <c r="E196" s="109"/>
      <c r="F196" s="109"/>
      <c r="G196" s="115"/>
      <c r="H196" s="107"/>
      <c r="I196" s="107"/>
      <c r="J196" s="107"/>
      <c r="K196" s="108"/>
      <c r="L196" s="109"/>
      <c r="M196" s="108"/>
      <c r="N196" s="108"/>
      <c r="O196" s="110"/>
      <c r="P196" s="110"/>
      <c r="Q196" s="110"/>
    </row>
    <row r="197" spans="1:17" s="111" customFormat="1" ht="15.6">
      <c r="A197" s="105"/>
      <c r="B197" s="108"/>
      <c r="C197" s="108"/>
      <c r="D197" s="108"/>
      <c r="E197" s="109"/>
      <c r="F197" s="109"/>
      <c r="G197" s="115"/>
      <c r="H197" s="107"/>
      <c r="I197" s="107"/>
      <c r="J197" s="107"/>
      <c r="K197" s="108"/>
      <c r="L197" s="109"/>
      <c r="M197" s="108"/>
      <c r="N197" s="108"/>
      <c r="O197" s="110"/>
      <c r="P197" s="110"/>
      <c r="Q197" s="110"/>
    </row>
    <row r="198" spans="1:17" s="111" customFormat="1" ht="15.6">
      <c r="A198" s="112"/>
      <c r="B198" s="108"/>
      <c r="C198" s="108"/>
      <c r="D198" s="130"/>
      <c r="E198" s="109"/>
      <c r="F198" s="109"/>
      <c r="G198" s="115"/>
      <c r="H198" s="107"/>
      <c r="I198" s="107"/>
      <c r="J198" s="107"/>
      <c r="K198" s="108"/>
      <c r="L198" s="109"/>
      <c r="M198" s="108"/>
      <c r="N198" s="108"/>
      <c r="O198" s="110"/>
      <c r="P198" s="110"/>
      <c r="Q198" s="110"/>
    </row>
    <row r="199" spans="1:17" s="111" customFormat="1" ht="15.6">
      <c r="A199" s="105"/>
      <c r="B199" s="108"/>
      <c r="C199" s="108"/>
      <c r="D199" s="130"/>
      <c r="E199" s="109"/>
      <c r="F199" s="109"/>
      <c r="G199" s="115"/>
      <c r="H199" s="107"/>
      <c r="I199" s="107"/>
      <c r="J199" s="107"/>
      <c r="K199" s="108"/>
      <c r="L199" s="109"/>
      <c r="M199" s="108"/>
      <c r="N199" s="108"/>
      <c r="O199" s="110"/>
      <c r="P199" s="110"/>
      <c r="Q199" s="110"/>
    </row>
    <row r="200" spans="1:17" s="111" customFormat="1" ht="15.6">
      <c r="A200" s="105"/>
      <c r="B200" s="108"/>
      <c r="C200" s="108"/>
      <c r="D200" s="130"/>
      <c r="E200" s="109"/>
      <c r="F200" s="109"/>
      <c r="G200" s="115"/>
      <c r="H200" s="107"/>
      <c r="I200" s="107"/>
      <c r="J200" s="107"/>
      <c r="K200" s="108"/>
      <c r="L200" s="109"/>
      <c r="M200" s="108"/>
      <c r="N200" s="108"/>
      <c r="O200" s="110"/>
      <c r="P200" s="110"/>
      <c r="Q200" s="110"/>
    </row>
    <row r="201" spans="1:17" s="111" customFormat="1" ht="15.6">
      <c r="A201" s="112"/>
      <c r="B201" s="108"/>
      <c r="C201" s="108"/>
      <c r="D201" s="130"/>
      <c r="E201" s="109"/>
      <c r="F201" s="109"/>
      <c r="G201" s="115"/>
      <c r="H201" s="107"/>
      <c r="I201" s="107"/>
      <c r="J201" s="107"/>
      <c r="K201" s="108"/>
      <c r="L201" s="109"/>
      <c r="M201" s="108"/>
      <c r="N201" s="108"/>
      <c r="O201" s="110"/>
      <c r="P201" s="110"/>
      <c r="Q201" s="110"/>
    </row>
    <row r="202" spans="1:17" s="111" customFormat="1" ht="15.6">
      <c r="A202" s="105"/>
      <c r="B202" s="108"/>
      <c r="C202" s="108"/>
      <c r="D202" s="130"/>
      <c r="E202" s="109"/>
      <c r="F202" s="109"/>
      <c r="G202" s="115"/>
      <c r="H202" s="107"/>
      <c r="I202" s="107"/>
      <c r="J202" s="107"/>
      <c r="K202" s="108"/>
      <c r="L202" s="109"/>
      <c r="M202" s="108"/>
      <c r="N202" s="108"/>
      <c r="O202" s="110"/>
      <c r="P202" s="110"/>
      <c r="Q202" s="110"/>
    </row>
    <row r="203" spans="1:17" s="111" customFormat="1" ht="15.6">
      <c r="A203" s="112"/>
      <c r="B203" s="108"/>
      <c r="C203" s="108"/>
      <c r="D203" s="130"/>
      <c r="E203" s="109"/>
      <c r="F203" s="109"/>
      <c r="G203" s="115"/>
      <c r="H203" s="107"/>
      <c r="I203" s="107"/>
      <c r="J203" s="107"/>
      <c r="K203" s="108"/>
      <c r="L203" s="109"/>
      <c r="M203" s="108"/>
      <c r="N203" s="108"/>
      <c r="O203" s="110"/>
      <c r="P203" s="110"/>
      <c r="Q203" s="110"/>
    </row>
    <row r="204" spans="1:17" s="111" customFormat="1" ht="15.6">
      <c r="A204" s="105"/>
      <c r="B204" s="108"/>
      <c r="C204" s="108"/>
      <c r="D204" s="108"/>
      <c r="E204" s="109"/>
      <c r="F204" s="109"/>
      <c r="G204" s="115"/>
      <c r="H204" s="107"/>
      <c r="I204" s="107"/>
      <c r="J204" s="107"/>
      <c r="K204" s="108"/>
      <c r="L204" s="109"/>
      <c r="M204" s="108"/>
      <c r="N204" s="108"/>
      <c r="O204" s="110"/>
      <c r="P204" s="110"/>
      <c r="Q204" s="110"/>
    </row>
    <row r="205" spans="1:17" s="111" customFormat="1" ht="15.6">
      <c r="A205" s="112"/>
      <c r="B205" s="108"/>
      <c r="C205" s="108"/>
      <c r="D205" s="108"/>
      <c r="E205" s="109"/>
      <c r="F205" s="109"/>
      <c r="G205" s="115"/>
      <c r="H205" s="107"/>
      <c r="I205" s="107"/>
      <c r="J205" s="107"/>
      <c r="K205" s="108"/>
      <c r="L205" s="109"/>
      <c r="M205" s="108"/>
      <c r="N205" s="108"/>
      <c r="O205" s="110"/>
      <c r="P205" s="110"/>
      <c r="Q205" s="110"/>
    </row>
    <row r="206" spans="1:17" s="111" customFormat="1" ht="15.6">
      <c r="A206" s="105"/>
      <c r="B206" s="108"/>
      <c r="C206" s="108"/>
      <c r="D206" s="108"/>
      <c r="E206" s="109"/>
      <c r="F206" s="109"/>
      <c r="G206" s="115"/>
      <c r="H206" s="107"/>
      <c r="I206" s="107"/>
      <c r="J206" s="107"/>
      <c r="K206" s="108"/>
      <c r="L206" s="109"/>
      <c r="M206" s="108"/>
      <c r="N206" s="108"/>
      <c r="O206" s="110"/>
      <c r="P206" s="110"/>
      <c r="Q206" s="110"/>
    </row>
    <row r="207" spans="1:17" s="111" customFormat="1" ht="15.6">
      <c r="A207" s="112"/>
      <c r="B207" s="108"/>
      <c r="C207" s="108"/>
      <c r="D207" s="108"/>
      <c r="E207" s="109"/>
      <c r="F207" s="109"/>
      <c r="G207" s="115"/>
      <c r="H207" s="107"/>
      <c r="I207" s="107"/>
      <c r="J207" s="107"/>
      <c r="K207" s="108"/>
      <c r="L207" s="109"/>
      <c r="M207" s="108"/>
      <c r="N207" s="108"/>
      <c r="O207" s="110"/>
      <c r="P207" s="110"/>
      <c r="Q207" s="110"/>
    </row>
    <row r="208" spans="1:17" s="111" customFormat="1" ht="15.6">
      <c r="A208" s="105"/>
      <c r="B208" s="108"/>
      <c r="C208" s="108"/>
      <c r="D208" s="108"/>
      <c r="E208" s="109"/>
      <c r="F208" s="109"/>
      <c r="G208" s="115"/>
      <c r="H208" s="107"/>
      <c r="I208" s="107"/>
      <c r="J208" s="107"/>
      <c r="K208" s="108"/>
      <c r="L208" s="109"/>
      <c r="M208" s="108"/>
      <c r="N208" s="108"/>
      <c r="O208" s="110"/>
      <c r="P208" s="110"/>
      <c r="Q208" s="110"/>
    </row>
    <row r="209" spans="1:17" s="111" customFormat="1" ht="15.6">
      <c r="A209" s="112"/>
      <c r="B209" s="108"/>
      <c r="C209" s="108"/>
      <c r="D209" s="108"/>
      <c r="E209" s="109"/>
      <c r="F209" s="109"/>
      <c r="G209" s="115"/>
      <c r="H209" s="107"/>
      <c r="I209" s="107"/>
      <c r="J209" s="107"/>
      <c r="K209" s="108"/>
      <c r="L209" s="109"/>
      <c r="M209" s="108"/>
      <c r="N209" s="108"/>
      <c r="O209" s="110"/>
      <c r="P209" s="110"/>
      <c r="Q209" s="110"/>
    </row>
    <row r="210" spans="1:17" s="111" customFormat="1" ht="15.6">
      <c r="A210" s="105"/>
      <c r="B210" s="108"/>
      <c r="C210" s="108"/>
      <c r="D210" s="108"/>
      <c r="E210" s="109"/>
      <c r="F210" s="109"/>
      <c r="G210" s="115"/>
      <c r="H210" s="107"/>
      <c r="I210" s="107"/>
      <c r="J210" s="107"/>
      <c r="K210" s="108"/>
      <c r="L210" s="109"/>
      <c r="M210" s="108"/>
      <c r="N210" s="108"/>
      <c r="O210" s="110"/>
      <c r="P210" s="110"/>
      <c r="Q210" s="110"/>
    </row>
    <row r="211" spans="1:17" s="111" customFormat="1" ht="15.6">
      <c r="A211" s="112"/>
      <c r="B211" s="108"/>
      <c r="C211" s="108"/>
      <c r="D211" s="108"/>
      <c r="E211" s="109"/>
      <c r="F211" s="109"/>
      <c r="G211" s="115"/>
      <c r="H211" s="107"/>
      <c r="I211" s="107"/>
      <c r="J211" s="107"/>
      <c r="K211" s="108"/>
      <c r="L211" s="109"/>
      <c r="M211" s="108"/>
      <c r="N211" s="108"/>
      <c r="O211" s="110"/>
      <c r="P211" s="110"/>
      <c r="Q211" s="110"/>
    </row>
    <row r="212" spans="1:17" s="111" customFormat="1" ht="15.6">
      <c r="A212" s="105"/>
      <c r="B212" s="108"/>
      <c r="C212" s="108"/>
      <c r="D212" s="108"/>
      <c r="E212" s="109"/>
      <c r="F212" s="109"/>
      <c r="G212" s="115"/>
      <c r="H212" s="107"/>
      <c r="I212" s="107"/>
      <c r="J212" s="107"/>
      <c r="K212" s="108"/>
      <c r="L212" s="109"/>
      <c r="M212" s="108"/>
      <c r="N212" s="108"/>
      <c r="O212" s="110"/>
      <c r="P212" s="110"/>
      <c r="Q212" s="110"/>
    </row>
    <row r="213" spans="1:17" s="111" customFormat="1" ht="15.6">
      <c r="A213" s="112"/>
      <c r="B213" s="108"/>
      <c r="C213" s="108"/>
      <c r="D213" s="108"/>
      <c r="E213" s="109"/>
      <c r="F213" s="109"/>
      <c r="G213" s="115"/>
      <c r="H213" s="107"/>
      <c r="I213" s="107"/>
      <c r="J213" s="107"/>
      <c r="K213" s="108"/>
      <c r="L213" s="109"/>
      <c r="M213" s="108"/>
      <c r="N213" s="108"/>
      <c r="O213" s="110"/>
      <c r="P213" s="110"/>
      <c r="Q213" s="110"/>
    </row>
    <row r="214" spans="1:17" s="111" customFormat="1" ht="15.6">
      <c r="A214" s="105"/>
      <c r="B214" s="108"/>
      <c r="C214" s="108"/>
      <c r="D214" s="108"/>
      <c r="E214" s="109"/>
      <c r="F214" s="109"/>
      <c r="G214" s="115"/>
      <c r="H214" s="107"/>
      <c r="I214" s="107"/>
      <c r="J214" s="107"/>
      <c r="K214" s="108"/>
      <c r="L214" s="109"/>
      <c r="M214" s="108"/>
      <c r="N214" s="108"/>
      <c r="O214" s="110"/>
      <c r="P214" s="110"/>
      <c r="Q214" s="110"/>
    </row>
    <row r="215" spans="1:17" s="111" customFormat="1" ht="15.6">
      <c r="A215" s="112"/>
      <c r="B215" s="108"/>
      <c r="C215" s="108"/>
      <c r="D215" s="108"/>
      <c r="E215" s="109"/>
      <c r="F215" s="109"/>
      <c r="G215" s="115"/>
      <c r="H215" s="107"/>
      <c r="I215" s="107"/>
      <c r="J215" s="107"/>
      <c r="K215" s="126"/>
      <c r="L215" s="109"/>
      <c r="M215" s="108"/>
      <c r="N215" s="108"/>
      <c r="O215" s="110"/>
      <c r="P215" s="110"/>
      <c r="Q215" s="110"/>
    </row>
    <row r="216" spans="1:17" s="111" customFormat="1" ht="15.6">
      <c r="A216" s="105"/>
      <c r="B216" s="108"/>
      <c r="C216" s="108"/>
      <c r="D216" s="108"/>
      <c r="E216" s="109"/>
      <c r="F216" s="109"/>
      <c r="G216" s="115"/>
      <c r="H216" s="107"/>
      <c r="I216" s="107"/>
      <c r="J216" s="107"/>
      <c r="K216" s="108"/>
      <c r="L216" s="109"/>
      <c r="M216" s="108"/>
      <c r="N216" s="108"/>
      <c r="O216" s="110"/>
      <c r="P216" s="110"/>
      <c r="Q216" s="110"/>
    </row>
    <row r="217" spans="1:17" s="111" customFormat="1" ht="15.6">
      <c r="A217" s="112"/>
      <c r="B217" s="108"/>
      <c r="C217" s="108"/>
      <c r="D217" s="108"/>
      <c r="E217" s="109"/>
      <c r="F217" s="109"/>
      <c r="G217" s="115"/>
      <c r="H217" s="107"/>
      <c r="I217" s="107"/>
      <c r="J217" s="107"/>
      <c r="K217" s="108"/>
      <c r="L217" s="109"/>
      <c r="M217" s="108"/>
      <c r="N217" s="108"/>
      <c r="O217" s="110"/>
      <c r="P217" s="110"/>
      <c r="Q217" s="110"/>
    </row>
    <row r="218" spans="1:17" s="111" customFormat="1" ht="15.6">
      <c r="A218" s="105"/>
      <c r="B218" s="108"/>
      <c r="C218" s="108"/>
      <c r="D218" s="108"/>
      <c r="E218" s="109"/>
      <c r="F218" s="109"/>
      <c r="G218" s="115"/>
      <c r="H218" s="107"/>
      <c r="I218" s="107"/>
      <c r="J218" s="107"/>
      <c r="K218" s="129"/>
      <c r="L218" s="109"/>
      <c r="M218" s="108"/>
      <c r="N218" s="108"/>
      <c r="O218" s="110"/>
      <c r="P218" s="110"/>
      <c r="Q218" s="110"/>
    </row>
    <row r="219" spans="1:17" s="111" customFormat="1" ht="15.6">
      <c r="A219" s="112"/>
      <c r="B219" s="108"/>
      <c r="C219" s="108"/>
      <c r="D219" s="108"/>
      <c r="E219" s="109"/>
      <c r="F219" s="109"/>
      <c r="G219" s="115"/>
      <c r="H219" s="107"/>
      <c r="I219" s="107"/>
      <c r="J219" s="107"/>
      <c r="K219" s="108"/>
      <c r="L219" s="109"/>
      <c r="M219" s="108"/>
      <c r="N219" s="108"/>
      <c r="O219" s="110"/>
      <c r="P219" s="110"/>
      <c r="Q219" s="110"/>
    </row>
    <row r="220" spans="1:17" s="111" customFormat="1" ht="15.6">
      <c r="A220" s="105"/>
      <c r="B220" s="108"/>
      <c r="C220" s="108"/>
      <c r="D220" s="130"/>
      <c r="E220" s="109"/>
      <c r="F220" s="109"/>
      <c r="G220" s="115"/>
      <c r="H220" s="107"/>
      <c r="I220" s="107"/>
      <c r="J220" s="107"/>
      <c r="K220" s="108"/>
      <c r="L220" s="109"/>
      <c r="M220" s="108"/>
      <c r="N220" s="108"/>
      <c r="O220" s="110"/>
      <c r="P220" s="110"/>
      <c r="Q220" s="110"/>
    </row>
    <row r="221" spans="1:17" s="111" customFormat="1" ht="15.6">
      <c r="A221" s="112"/>
      <c r="B221" s="108"/>
      <c r="C221" s="108"/>
      <c r="D221" s="130"/>
      <c r="E221" s="109"/>
      <c r="F221" s="109"/>
      <c r="G221" s="115"/>
      <c r="H221" s="107"/>
      <c r="I221" s="107"/>
      <c r="J221" s="107"/>
      <c r="K221" s="108"/>
      <c r="L221" s="109"/>
      <c r="M221" s="108"/>
      <c r="N221" s="108"/>
      <c r="O221" s="110"/>
      <c r="P221" s="110"/>
      <c r="Q221" s="110"/>
    </row>
    <row r="222" spans="1:17" s="111" customFormat="1" ht="15.6">
      <c r="A222" s="105"/>
      <c r="B222" s="108"/>
      <c r="C222" s="108"/>
      <c r="D222" s="108"/>
      <c r="E222" s="109"/>
      <c r="F222" s="109"/>
      <c r="G222" s="115"/>
      <c r="H222" s="107"/>
      <c r="I222" s="107"/>
      <c r="J222" s="107"/>
      <c r="K222" s="108"/>
      <c r="L222" s="109"/>
      <c r="M222" s="108"/>
      <c r="N222" s="108"/>
      <c r="O222" s="110"/>
      <c r="P222" s="110"/>
      <c r="Q222" s="110"/>
    </row>
    <row r="223" spans="1:17" s="111" customFormat="1" ht="15.6">
      <c r="A223" s="112"/>
      <c r="B223" s="108"/>
      <c r="C223" s="108"/>
      <c r="D223" s="108"/>
      <c r="E223" s="109"/>
      <c r="F223" s="109"/>
      <c r="G223" s="115"/>
      <c r="H223" s="107"/>
      <c r="I223" s="107"/>
      <c r="J223" s="107"/>
      <c r="K223" s="108"/>
      <c r="L223" s="109"/>
      <c r="M223" s="108"/>
      <c r="N223" s="108"/>
      <c r="O223" s="110"/>
      <c r="P223" s="110"/>
      <c r="Q223" s="110"/>
    </row>
    <row r="224" spans="1:17" s="111" customFormat="1" ht="15.6">
      <c r="A224" s="105"/>
      <c r="B224" s="108"/>
      <c r="C224" s="108"/>
      <c r="D224" s="108"/>
      <c r="E224" s="109"/>
      <c r="F224" s="109"/>
      <c r="G224" s="115"/>
      <c r="H224" s="107"/>
      <c r="I224" s="107"/>
      <c r="J224" s="107"/>
      <c r="K224" s="108"/>
      <c r="L224" s="109"/>
      <c r="M224" s="108"/>
      <c r="N224" s="108"/>
      <c r="O224" s="110"/>
      <c r="P224" s="110"/>
      <c r="Q224" s="110"/>
    </row>
    <row r="225" spans="1:17" s="111" customFormat="1" ht="15.6">
      <c r="A225" s="112"/>
      <c r="B225" s="108"/>
      <c r="C225" s="108"/>
      <c r="D225" s="108"/>
      <c r="E225" s="109"/>
      <c r="F225" s="109"/>
      <c r="G225" s="115"/>
      <c r="H225" s="107"/>
      <c r="I225" s="107"/>
      <c r="J225" s="107"/>
      <c r="K225" s="108"/>
      <c r="L225" s="109"/>
      <c r="M225" s="108"/>
      <c r="N225" s="108"/>
      <c r="O225" s="110"/>
      <c r="P225" s="110"/>
      <c r="Q225" s="110"/>
    </row>
    <row r="226" spans="1:17" s="111" customFormat="1" ht="15.6">
      <c r="A226" s="105"/>
      <c r="B226" s="108"/>
      <c r="C226" s="108"/>
      <c r="D226" s="108"/>
      <c r="E226" s="109"/>
      <c r="F226" s="109"/>
      <c r="G226" s="115"/>
      <c r="H226" s="107"/>
      <c r="I226" s="107"/>
      <c r="J226" s="107"/>
      <c r="K226" s="108"/>
      <c r="L226" s="109"/>
      <c r="M226" s="108"/>
      <c r="N226" s="108"/>
      <c r="O226" s="110"/>
      <c r="P226" s="110"/>
      <c r="Q226" s="110"/>
    </row>
    <row r="227" spans="1:17" s="111" customFormat="1" ht="15.6">
      <c r="A227" s="112"/>
      <c r="B227" s="108"/>
      <c r="C227" s="108"/>
      <c r="D227" s="108"/>
      <c r="E227" s="109"/>
      <c r="F227" s="109"/>
      <c r="G227" s="115"/>
      <c r="H227" s="107"/>
      <c r="I227" s="107"/>
      <c r="J227" s="107"/>
      <c r="K227" s="108"/>
      <c r="L227" s="109"/>
      <c r="M227" s="108"/>
      <c r="N227" s="108"/>
      <c r="O227" s="110"/>
      <c r="P227" s="110"/>
      <c r="Q227" s="110"/>
    </row>
    <row r="228" spans="1:17" s="111" customFormat="1" ht="15.6">
      <c r="A228" s="105"/>
      <c r="B228" s="108"/>
      <c r="C228" s="108"/>
      <c r="D228" s="108"/>
      <c r="E228" s="109"/>
      <c r="F228" s="109"/>
      <c r="G228" s="115"/>
      <c r="H228" s="107"/>
      <c r="I228" s="107"/>
      <c r="J228" s="107"/>
      <c r="K228" s="108"/>
      <c r="L228" s="109"/>
      <c r="M228" s="108"/>
      <c r="N228" s="108"/>
      <c r="O228" s="110"/>
      <c r="P228" s="110"/>
      <c r="Q228" s="110"/>
    </row>
    <row r="229" spans="1:17" s="111" customFormat="1" ht="15.6">
      <c r="A229" s="112"/>
      <c r="B229" s="108"/>
      <c r="C229" s="108"/>
      <c r="D229" s="108"/>
      <c r="E229" s="109"/>
      <c r="F229" s="109"/>
      <c r="G229" s="115"/>
      <c r="H229" s="107"/>
      <c r="I229" s="107"/>
      <c r="J229" s="107"/>
      <c r="K229" s="108"/>
      <c r="L229" s="109"/>
      <c r="M229" s="108"/>
      <c r="N229" s="108"/>
      <c r="O229" s="110"/>
      <c r="P229" s="110"/>
      <c r="Q229" s="110"/>
    </row>
    <row r="230" spans="1:17" s="111" customFormat="1" ht="15.6">
      <c r="A230" s="105"/>
      <c r="B230" s="108"/>
      <c r="C230" s="108"/>
      <c r="D230" s="108"/>
      <c r="E230" s="109"/>
      <c r="F230" s="109"/>
      <c r="G230" s="115"/>
      <c r="H230" s="107"/>
      <c r="I230" s="107"/>
      <c r="J230" s="107"/>
      <c r="K230" s="108"/>
      <c r="L230" s="109"/>
      <c r="M230" s="108"/>
      <c r="N230" s="108"/>
      <c r="O230" s="110"/>
      <c r="P230" s="110"/>
      <c r="Q230" s="110"/>
    </row>
    <row r="231" spans="1:17" s="111" customFormat="1" ht="15.6">
      <c r="A231" s="112"/>
      <c r="B231" s="108"/>
      <c r="C231" s="108"/>
      <c r="D231" s="108"/>
      <c r="E231" s="109"/>
      <c r="F231" s="109"/>
      <c r="G231" s="115"/>
      <c r="H231" s="107"/>
      <c r="I231" s="107"/>
      <c r="J231" s="107"/>
      <c r="K231" s="108"/>
      <c r="L231" s="109"/>
      <c r="M231" s="108"/>
      <c r="N231" s="108"/>
      <c r="O231" s="110"/>
      <c r="P231" s="110"/>
      <c r="Q231" s="110"/>
    </row>
    <row r="232" spans="1:17" s="111" customFormat="1" ht="15.6">
      <c r="A232" s="105"/>
      <c r="B232" s="108"/>
      <c r="C232" s="108"/>
      <c r="D232" s="108"/>
      <c r="E232" s="109"/>
      <c r="F232" s="109"/>
      <c r="G232" s="115"/>
      <c r="H232" s="107"/>
      <c r="I232" s="107"/>
      <c r="J232" s="107"/>
      <c r="K232" s="108"/>
      <c r="L232" s="109"/>
      <c r="M232" s="108"/>
      <c r="N232" s="108"/>
      <c r="O232" s="110"/>
      <c r="P232" s="110"/>
      <c r="Q232" s="110"/>
    </row>
    <row r="233" spans="1:17" s="111" customFormat="1" ht="15.6">
      <c r="A233" s="112"/>
      <c r="B233" s="108"/>
      <c r="C233" s="108"/>
      <c r="D233" s="108"/>
      <c r="E233" s="109"/>
      <c r="F233" s="109"/>
      <c r="G233" s="115"/>
      <c r="H233" s="107"/>
      <c r="I233" s="107"/>
      <c r="J233" s="107"/>
      <c r="K233" s="108"/>
      <c r="L233" s="109"/>
      <c r="M233" s="108"/>
      <c r="N233" s="108"/>
      <c r="O233" s="110"/>
      <c r="P233" s="110"/>
      <c r="Q233" s="110"/>
    </row>
    <row r="234" spans="1:17" s="111" customFormat="1" ht="15.6">
      <c r="A234" s="105"/>
      <c r="B234" s="108"/>
      <c r="C234" s="108"/>
      <c r="D234" s="108"/>
      <c r="E234" s="109"/>
      <c r="F234" s="109"/>
      <c r="G234" s="115"/>
      <c r="H234" s="107"/>
      <c r="I234" s="107"/>
      <c r="J234" s="107"/>
      <c r="K234" s="108"/>
      <c r="L234" s="109"/>
      <c r="M234" s="108"/>
      <c r="N234" s="108"/>
      <c r="O234" s="110"/>
      <c r="P234" s="110"/>
      <c r="Q234" s="110"/>
    </row>
    <row r="235" spans="1:17" s="111" customFormat="1" ht="15.6">
      <c r="A235" s="112"/>
      <c r="B235" s="108"/>
      <c r="C235" s="108"/>
      <c r="D235" s="108"/>
      <c r="E235" s="109"/>
      <c r="F235" s="109"/>
      <c r="G235" s="115"/>
      <c r="H235" s="107"/>
      <c r="I235" s="107"/>
      <c r="J235" s="107"/>
      <c r="K235" s="108"/>
      <c r="L235" s="109"/>
      <c r="M235" s="108"/>
      <c r="N235" s="108"/>
      <c r="O235" s="110"/>
      <c r="P235" s="110"/>
      <c r="Q235" s="110"/>
    </row>
    <row r="236" spans="1:17" s="111" customFormat="1" ht="15.6">
      <c r="A236" s="105"/>
      <c r="B236" s="108"/>
      <c r="C236" s="108"/>
      <c r="D236" s="108"/>
      <c r="E236" s="109"/>
      <c r="F236" s="109"/>
      <c r="G236" s="115"/>
      <c r="H236" s="107"/>
      <c r="I236" s="107"/>
      <c r="J236" s="107"/>
      <c r="K236" s="108"/>
      <c r="L236" s="109"/>
      <c r="M236" s="108"/>
      <c r="N236" s="108"/>
      <c r="O236" s="110"/>
      <c r="P236" s="110"/>
      <c r="Q236" s="110"/>
    </row>
    <row r="237" spans="1:17" s="111" customFormat="1" ht="15.6">
      <c r="A237" s="112"/>
      <c r="B237" s="108"/>
      <c r="C237" s="108"/>
      <c r="D237" s="108"/>
      <c r="E237" s="109"/>
      <c r="F237" s="109"/>
      <c r="G237" s="115"/>
      <c r="H237" s="107"/>
      <c r="I237" s="107"/>
      <c r="J237" s="107"/>
      <c r="K237" s="108"/>
      <c r="L237" s="109"/>
      <c r="M237" s="108"/>
      <c r="N237" s="108"/>
      <c r="O237" s="110"/>
      <c r="P237" s="110"/>
      <c r="Q237" s="110"/>
    </row>
    <row r="238" spans="1:17" s="111" customFormat="1" ht="15.6">
      <c r="A238" s="105"/>
      <c r="B238" s="108"/>
      <c r="C238" s="108"/>
      <c r="D238" s="108"/>
      <c r="E238" s="109"/>
      <c r="F238" s="109"/>
      <c r="G238" s="115"/>
      <c r="H238" s="107"/>
      <c r="I238" s="107"/>
      <c r="J238" s="107"/>
      <c r="K238" s="108"/>
      <c r="L238" s="109"/>
      <c r="M238" s="108"/>
      <c r="N238" s="108"/>
      <c r="O238" s="110"/>
      <c r="P238" s="110"/>
      <c r="Q238" s="110"/>
    </row>
    <row r="239" spans="1:17" s="111" customFormat="1" ht="15.6">
      <c r="A239" s="112"/>
      <c r="B239" s="108"/>
      <c r="C239" s="108"/>
      <c r="D239" s="108"/>
      <c r="E239" s="109"/>
      <c r="F239" s="109"/>
      <c r="G239" s="115"/>
      <c r="H239" s="107"/>
      <c r="I239" s="107"/>
      <c r="J239" s="107"/>
      <c r="K239" s="108"/>
      <c r="L239" s="109"/>
      <c r="M239" s="108"/>
      <c r="N239" s="108"/>
      <c r="O239" s="110"/>
      <c r="P239" s="110"/>
      <c r="Q239" s="110"/>
    </row>
    <row r="240" spans="1:17" s="111" customFormat="1" ht="15.6">
      <c r="A240" s="105"/>
      <c r="B240" s="108"/>
      <c r="C240" s="108"/>
      <c r="D240" s="108"/>
      <c r="E240" s="109"/>
      <c r="F240" s="109"/>
      <c r="G240" s="115"/>
      <c r="H240" s="107"/>
      <c r="I240" s="107"/>
      <c r="J240" s="107"/>
      <c r="K240" s="108"/>
      <c r="L240" s="109"/>
      <c r="M240" s="108"/>
      <c r="N240" s="108"/>
      <c r="O240" s="110"/>
      <c r="P240" s="110"/>
      <c r="Q240" s="110"/>
    </row>
    <row r="241" spans="1:17" s="111" customFormat="1" ht="15.6">
      <c r="A241" s="112"/>
      <c r="B241" s="108"/>
      <c r="C241" s="108"/>
      <c r="D241" s="108"/>
      <c r="E241" s="109"/>
      <c r="F241" s="109"/>
      <c r="G241" s="115"/>
      <c r="H241" s="107"/>
      <c r="I241" s="107"/>
      <c r="J241" s="107"/>
      <c r="K241" s="108"/>
      <c r="L241" s="109"/>
      <c r="M241" s="108"/>
      <c r="N241" s="108"/>
      <c r="O241" s="110"/>
      <c r="P241" s="110"/>
      <c r="Q241" s="110"/>
    </row>
    <row r="242" spans="1:17" s="111" customFormat="1" ht="15.6">
      <c r="A242" s="105"/>
      <c r="B242" s="108"/>
      <c r="C242" s="108"/>
      <c r="D242" s="130"/>
      <c r="E242" s="109"/>
      <c r="F242" s="109"/>
      <c r="G242" s="115"/>
      <c r="H242" s="107"/>
      <c r="I242" s="107"/>
      <c r="J242" s="107"/>
      <c r="K242" s="108"/>
      <c r="L242" s="109"/>
      <c r="M242" s="108"/>
      <c r="N242" s="108"/>
      <c r="O242" s="110"/>
      <c r="P242" s="110"/>
      <c r="Q242" s="110"/>
    </row>
    <row r="243" spans="1:17" s="111" customFormat="1" ht="15.6">
      <c r="A243" s="112"/>
      <c r="B243" s="108"/>
      <c r="C243" s="108"/>
      <c r="D243" s="108"/>
      <c r="E243" s="109"/>
      <c r="F243" s="109"/>
      <c r="G243" s="115"/>
      <c r="H243" s="107"/>
      <c r="I243" s="107"/>
      <c r="J243" s="107"/>
      <c r="K243" s="108"/>
      <c r="L243" s="109"/>
      <c r="M243" s="108"/>
      <c r="N243" s="108"/>
      <c r="O243" s="110"/>
      <c r="P243" s="110"/>
      <c r="Q243" s="110"/>
    </row>
    <row r="244" spans="1:17" s="111" customFormat="1" ht="15.6">
      <c r="A244" s="105"/>
      <c r="B244" s="108"/>
      <c r="C244" s="108"/>
      <c r="D244" s="108"/>
      <c r="E244" s="109"/>
      <c r="F244" s="109"/>
      <c r="G244" s="115"/>
      <c r="H244" s="107"/>
      <c r="I244" s="107"/>
      <c r="J244" s="107"/>
      <c r="K244" s="108"/>
      <c r="L244" s="109"/>
      <c r="M244" s="108"/>
      <c r="N244" s="108"/>
      <c r="O244" s="110"/>
      <c r="P244" s="110"/>
      <c r="Q244" s="110"/>
    </row>
    <row r="245" spans="1:17" s="111" customFormat="1" ht="15.6">
      <c r="A245" s="112"/>
      <c r="B245" s="108"/>
      <c r="C245" s="108"/>
      <c r="D245" s="108"/>
      <c r="E245" s="109"/>
      <c r="F245" s="109"/>
      <c r="G245" s="115"/>
      <c r="H245" s="107"/>
      <c r="I245" s="107"/>
      <c r="J245" s="107"/>
      <c r="K245" s="108"/>
      <c r="L245" s="109"/>
      <c r="M245" s="108"/>
      <c r="N245" s="108"/>
      <c r="O245" s="110"/>
      <c r="P245" s="110"/>
      <c r="Q245" s="110"/>
    </row>
    <row r="246" spans="1:17" s="111" customFormat="1" ht="15.6">
      <c r="A246" s="105"/>
      <c r="B246" s="108"/>
      <c r="C246" s="108"/>
      <c r="D246" s="108"/>
      <c r="E246" s="109"/>
      <c r="F246" s="109"/>
      <c r="G246" s="115"/>
      <c r="H246" s="107"/>
      <c r="I246" s="107"/>
      <c r="J246" s="107"/>
      <c r="K246" s="108"/>
      <c r="L246" s="109"/>
      <c r="M246" s="108"/>
      <c r="N246" s="108"/>
      <c r="O246" s="110"/>
      <c r="P246" s="110"/>
      <c r="Q246" s="110"/>
    </row>
    <row r="247" spans="1:17" s="111" customFormat="1" ht="15.6">
      <c r="A247" s="112"/>
      <c r="B247" s="108"/>
      <c r="C247" s="108"/>
      <c r="D247" s="108"/>
      <c r="E247" s="109"/>
      <c r="F247" s="109"/>
      <c r="G247" s="115"/>
      <c r="H247" s="107"/>
      <c r="I247" s="107"/>
      <c r="J247" s="107"/>
      <c r="K247" s="108"/>
      <c r="L247" s="109"/>
      <c r="M247" s="108"/>
      <c r="N247" s="108"/>
      <c r="O247" s="110"/>
      <c r="P247" s="110"/>
      <c r="Q247" s="110"/>
    </row>
    <row r="248" spans="1:17" s="111" customFormat="1" ht="15.6">
      <c r="A248" s="105"/>
      <c r="B248" s="108"/>
      <c r="C248" s="108"/>
      <c r="D248" s="108"/>
      <c r="E248" s="109"/>
      <c r="F248" s="109"/>
      <c r="G248" s="115"/>
      <c r="H248" s="107"/>
      <c r="I248" s="107"/>
      <c r="J248" s="107"/>
      <c r="K248" s="108"/>
      <c r="L248" s="109"/>
      <c r="M248" s="108"/>
      <c r="N248" s="108"/>
      <c r="O248" s="110"/>
      <c r="P248" s="110"/>
      <c r="Q248" s="110"/>
    </row>
    <row r="249" spans="1:17" s="111" customFormat="1" ht="15.6">
      <c r="A249" s="112"/>
      <c r="B249" s="108"/>
      <c r="C249" s="108"/>
      <c r="D249" s="108"/>
      <c r="E249" s="109"/>
      <c r="F249" s="109"/>
      <c r="G249" s="115"/>
      <c r="H249" s="107"/>
      <c r="I249" s="107"/>
      <c r="J249" s="107"/>
      <c r="K249" s="108"/>
      <c r="L249" s="109"/>
      <c r="M249" s="108"/>
      <c r="N249" s="108"/>
      <c r="O249" s="110"/>
      <c r="P249" s="110"/>
      <c r="Q249" s="110"/>
    </row>
    <row r="250" spans="1:17" s="111" customFormat="1" ht="15.6">
      <c r="A250" s="105"/>
      <c r="B250" s="108"/>
      <c r="C250" s="108"/>
      <c r="D250" s="108"/>
      <c r="E250" s="109"/>
      <c r="F250" s="109"/>
      <c r="G250" s="115"/>
      <c r="H250" s="107"/>
      <c r="I250" s="107"/>
      <c r="J250" s="107"/>
      <c r="K250" s="108"/>
      <c r="L250" s="109"/>
      <c r="M250" s="108"/>
      <c r="N250" s="108"/>
      <c r="O250" s="110"/>
      <c r="P250" s="110"/>
      <c r="Q250" s="110"/>
    </row>
    <row r="251" spans="1:17" s="111" customFormat="1" ht="15.6">
      <c r="A251" s="112"/>
      <c r="B251" s="108"/>
      <c r="C251" s="108"/>
      <c r="D251" s="108"/>
      <c r="E251" s="109"/>
      <c r="F251" s="109"/>
      <c r="G251" s="115"/>
      <c r="H251" s="107"/>
      <c r="I251" s="107"/>
      <c r="J251" s="107"/>
      <c r="K251" s="108"/>
      <c r="L251" s="109"/>
      <c r="M251" s="108"/>
      <c r="N251" s="108"/>
      <c r="O251" s="110"/>
      <c r="P251" s="110"/>
      <c r="Q251" s="110"/>
    </row>
    <row r="252" spans="1:17" s="111" customFormat="1" ht="15.6">
      <c r="A252" s="105"/>
      <c r="B252" s="108"/>
      <c r="C252" s="108"/>
      <c r="D252" s="108"/>
      <c r="E252" s="109"/>
      <c r="F252" s="109"/>
      <c r="G252" s="115"/>
      <c r="H252" s="107"/>
      <c r="I252" s="107"/>
      <c r="J252" s="107"/>
      <c r="K252" s="108"/>
      <c r="L252" s="109"/>
      <c r="M252" s="108"/>
      <c r="N252" s="108"/>
      <c r="O252" s="110"/>
      <c r="P252" s="110"/>
      <c r="Q252" s="110"/>
    </row>
    <row r="253" spans="1:17" s="111" customFormat="1" ht="15.6">
      <c r="A253" s="112"/>
      <c r="B253" s="108"/>
      <c r="C253" s="108"/>
      <c r="D253" s="130"/>
      <c r="E253" s="109"/>
      <c r="F253" s="109"/>
      <c r="G253" s="115"/>
      <c r="H253" s="107"/>
      <c r="I253" s="107"/>
      <c r="J253" s="107"/>
      <c r="K253" s="108"/>
      <c r="L253" s="109"/>
      <c r="M253" s="108"/>
      <c r="N253" s="108"/>
      <c r="O253" s="110"/>
      <c r="P253" s="110"/>
      <c r="Q253" s="110"/>
    </row>
    <row r="254" spans="1:17" s="111" customFormat="1" ht="15.6">
      <c r="A254" s="105"/>
      <c r="B254" s="108"/>
      <c r="C254" s="108"/>
      <c r="D254" s="130"/>
      <c r="E254" s="109"/>
      <c r="F254" s="109"/>
      <c r="G254" s="115"/>
      <c r="H254" s="107"/>
      <c r="I254" s="107"/>
      <c r="J254" s="107"/>
      <c r="K254" s="108"/>
      <c r="L254" s="109"/>
      <c r="M254" s="108"/>
      <c r="N254" s="108"/>
      <c r="O254" s="110"/>
      <c r="P254" s="110"/>
      <c r="Q254" s="110"/>
    </row>
    <row r="255" spans="1:17" s="111" customFormat="1" ht="15.6">
      <c r="A255" s="112"/>
      <c r="B255" s="108"/>
      <c r="C255" s="108"/>
      <c r="D255" s="130"/>
      <c r="E255" s="109"/>
      <c r="F255" s="109"/>
      <c r="G255" s="115"/>
      <c r="H255" s="107"/>
      <c r="I255" s="107"/>
      <c r="J255" s="107"/>
      <c r="K255" s="108"/>
      <c r="L255" s="109"/>
      <c r="M255" s="108"/>
      <c r="N255" s="108"/>
      <c r="O255" s="110"/>
      <c r="P255" s="110"/>
      <c r="Q255" s="110"/>
    </row>
    <row r="256" spans="1:17" s="111" customFormat="1" ht="15.6">
      <c r="A256" s="105"/>
      <c r="B256" s="108"/>
      <c r="C256" s="108"/>
      <c r="D256" s="130"/>
      <c r="E256" s="109"/>
      <c r="F256" s="109"/>
      <c r="G256" s="115"/>
      <c r="H256" s="107"/>
      <c r="I256" s="107"/>
      <c r="J256" s="107"/>
      <c r="K256" s="108"/>
      <c r="L256" s="109"/>
      <c r="M256" s="108"/>
      <c r="N256" s="108"/>
      <c r="O256" s="110"/>
      <c r="P256" s="110"/>
      <c r="Q256" s="110"/>
    </row>
    <row r="257" spans="1:17" s="111" customFormat="1" ht="15.6">
      <c r="A257" s="112"/>
      <c r="B257" s="108"/>
      <c r="C257" s="108"/>
      <c r="D257" s="108"/>
      <c r="E257" s="109"/>
      <c r="F257" s="109"/>
      <c r="G257" s="115"/>
      <c r="H257" s="107"/>
      <c r="I257" s="107"/>
      <c r="J257" s="107"/>
      <c r="K257" s="108"/>
      <c r="L257" s="109"/>
      <c r="M257" s="108"/>
      <c r="N257" s="108"/>
      <c r="O257" s="110"/>
      <c r="P257" s="110"/>
      <c r="Q257" s="110"/>
    </row>
    <row r="258" spans="1:17" s="111" customFormat="1" ht="15.6">
      <c r="A258" s="105"/>
      <c r="B258" s="108"/>
      <c r="C258" s="108"/>
      <c r="D258" s="108"/>
      <c r="E258" s="109"/>
      <c r="F258" s="109"/>
      <c r="G258" s="115"/>
      <c r="H258" s="107"/>
      <c r="I258" s="107"/>
      <c r="J258" s="107"/>
      <c r="K258" s="108"/>
      <c r="L258" s="109"/>
      <c r="M258" s="108"/>
      <c r="N258" s="108"/>
      <c r="O258" s="110"/>
      <c r="P258" s="110"/>
      <c r="Q258" s="110"/>
    </row>
    <row r="259" spans="1:17" s="111" customFormat="1" ht="15.6">
      <c r="A259" s="112"/>
      <c r="B259" s="108"/>
      <c r="C259" s="108"/>
      <c r="D259" s="108"/>
      <c r="E259" s="109"/>
      <c r="F259" s="109"/>
      <c r="G259" s="115"/>
      <c r="H259" s="107"/>
      <c r="I259" s="107"/>
      <c r="J259" s="107"/>
      <c r="K259" s="108"/>
      <c r="L259" s="109"/>
      <c r="M259" s="108"/>
      <c r="N259" s="108"/>
      <c r="O259" s="110"/>
      <c r="P259" s="110"/>
      <c r="Q259" s="110"/>
    </row>
    <row r="260" spans="1:17" s="111" customFormat="1" ht="15.6">
      <c r="A260" s="105"/>
      <c r="B260" s="108"/>
      <c r="C260" s="108"/>
      <c r="D260" s="108"/>
      <c r="E260" s="109"/>
      <c r="F260" s="109"/>
      <c r="G260" s="115"/>
      <c r="H260" s="107"/>
      <c r="I260" s="107"/>
      <c r="J260" s="107"/>
      <c r="K260" s="108"/>
      <c r="L260" s="109"/>
      <c r="M260" s="108"/>
      <c r="N260" s="108"/>
      <c r="O260" s="110"/>
      <c r="P260" s="110"/>
      <c r="Q260" s="110"/>
    </row>
    <row r="261" spans="1:17" s="111" customFormat="1" ht="15.6">
      <c r="A261" s="112"/>
      <c r="B261" s="108"/>
      <c r="C261" s="108"/>
      <c r="D261" s="130"/>
      <c r="E261" s="109"/>
      <c r="F261" s="109"/>
      <c r="G261" s="115"/>
      <c r="H261" s="107"/>
      <c r="I261" s="107"/>
      <c r="J261" s="107"/>
      <c r="K261" s="108"/>
      <c r="L261" s="109"/>
      <c r="M261" s="108"/>
      <c r="N261" s="108"/>
      <c r="O261" s="110"/>
      <c r="P261" s="110"/>
      <c r="Q261" s="110"/>
    </row>
    <row r="262" spans="1:17" s="111" customFormat="1" ht="15.6">
      <c r="A262" s="105"/>
      <c r="B262" s="108"/>
      <c r="C262" s="108"/>
      <c r="D262" s="108"/>
      <c r="E262" s="109"/>
      <c r="F262" s="109"/>
      <c r="G262" s="115"/>
      <c r="H262" s="107"/>
      <c r="I262" s="107"/>
      <c r="J262" s="107"/>
      <c r="K262" s="108"/>
      <c r="L262" s="109"/>
      <c r="M262" s="108"/>
      <c r="N262" s="108"/>
      <c r="O262" s="110"/>
      <c r="P262" s="110"/>
      <c r="Q262" s="110"/>
    </row>
    <row r="263" spans="1:17" s="111" customFormat="1" ht="15.6">
      <c r="A263" s="112"/>
      <c r="B263" s="108"/>
      <c r="C263" s="108"/>
      <c r="D263" s="108"/>
      <c r="E263" s="109"/>
      <c r="F263" s="109"/>
      <c r="G263" s="115"/>
      <c r="H263" s="107"/>
      <c r="I263" s="107"/>
      <c r="J263" s="107"/>
      <c r="K263" s="108"/>
      <c r="L263" s="109"/>
      <c r="M263" s="108"/>
      <c r="N263" s="108"/>
      <c r="O263" s="110"/>
      <c r="P263" s="110"/>
      <c r="Q263" s="110"/>
    </row>
    <row r="264" spans="1:17" s="111" customFormat="1" ht="15.6">
      <c r="A264" s="105"/>
      <c r="B264" s="108"/>
      <c r="C264" s="108"/>
      <c r="D264" s="108"/>
      <c r="E264" s="109"/>
      <c r="F264" s="109"/>
      <c r="G264" s="115"/>
      <c r="H264" s="107"/>
      <c r="I264" s="107"/>
      <c r="J264" s="107"/>
      <c r="K264" s="108"/>
      <c r="L264" s="109"/>
      <c r="M264" s="108"/>
      <c r="N264" s="108"/>
      <c r="O264" s="110"/>
      <c r="P264" s="110"/>
      <c r="Q264" s="110"/>
    </row>
    <row r="265" spans="1:17" s="111" customFormat="1" ht="15.6">
      <c r="A265" s="112"/>
      <c r="B265" s="108"/>
      <c r="C265" s="108"/>
      <c r="D265" s="108"/>
      <c r="E265" s="109"/>
      <c r="F265" s="109"/>
      <c r="G265" s="115"/>
      <c r="H265" s="107"/>
      <c r="I265" s="107"/>
      <c r="J265" s="107"/>
      <c r="K265" s="108"/>
      <c r="L265" s="109"/>
      <c r="M265" s="108"/>
      <c r="N265" s="108"/>
      <c r="O265" s="110"/>
      <c r="P265" s="110"/>
      <c r="Q265" s="110"/>
    </row>
    <row r="266" spans="1:17" s="111" customFormat="1" ht="15.6">
      <c r="A266" s="105"/>
      <c r="B266" s="108"/>
      <c r="C266" s="108"/>
      <c r="D266" s="108"/>
      <c r="E266" s="109"/>
      <c r="F266" s="109"/>
      <c r="G266" s="115"/>
      <c r="H266" s="107"/>
      <c r="I266" s="107"/>
      <c r="J266" s="107"/>
      <c r="K266" s="108"/>
      <c r="L266" s="109"/>
      <c r="M266" s="108"/>
      <c r="N266" s="108"/>
      <c r="O266" s="110"/>
      <c r="P266" s="110"/>
      <c r="Q266" s="110"/>
    </row>
    <row r="267" spans="1:17" s="111" customFormat="1" ht="15.6">
      <c r="A267" s="112"/>
      <c r="B267" s="108"/>
      <c r="C267" s="108"/>
      <c r="D267" s="108"/>
      <c r="E267" s="109"/>
      <c r="F267" s="109"/>
      <c r="G267" s="115"/>
      <c r="H267" s="107"/>
      <c r="I267" s="107"/>
      <c r="J267" s="107"/>
      <c r="K267" s="108"/>
      <c r="L267" s="109"/>
      <c r="M267" s="108"/>
      <c r="N267" s="108"/>
      <c r="O267" s="110"/>
      <c r="P267" s="110"/>
      <c r="Q267" s="110"/>
    </row>
    <row r="268" spans="1:17" s="111" customFormat="1" ht="15.6">
      <c r="A268" s="105"/>
      <c r="B268" s="108"/>
      <c r="C268" s="108"/>
      <c r="D268" s="130"/>
      <c r="E268" s="109"/>
      <c r="F268" s="109"/>
      <c r="G268" s="115"/>
      <c r="H268" s="107"/>
      <c r="I268" s="107"/>
      <c r="J268" s="107"/>
      <c r="K268" s="108"/>
      <c r="L268" s="109"/>
      <c r="M268" s="108"/>
      <c r="N268" s="108"/>
      <c r="O268" s="110"/>
      <c r="P268" s="110"/>
      <c r="Q268" s="110"/>
    </row>
    <row r="269" spans="1:17" s="111" customFormat="1" ht="15.6">
      <c r="A269" s="112"/>
      <c r="B269" s="108"/>
      <c r="C269" s="108"/>
      <c r="D269" s="108"/>
      <c r="E269" s="109"/>
      <c r="F269" s="109"/>
      <c r="G269" s="115"/>
      <c r="H269" s="107"/>
      <c r="I269" s="107"/>
      <c r="J269" s="107"/>
      <c r="K269" s="108"/>
      <c r="L269" s="109"/>
      <c r="M269" s="108"/>
      <c r="N269" s="108"/>
      <c r="O269" s="110"/>
      <c r="P269" s="110"/>
      <c r="Q269" s="110"/>
    </row>
    <row r="270" spans="1:17" s="111" customFormat="1" ht="15.6">
      <c r="A270" s="105"/>
      <c r="B270" s="108"/>
      <c r="C270" s="108"/>
      <c r="D270" s="108"/>
      <c r="E270" s="109"/>
      <c r="F270" s="109"/>
      <c r="G270" s="115"/>
      <c r="H270" s="107"/>
      <c r="I270" s="107"/>
      <c r="J270" s="107"/>
      <c r="K270" s="108"/>
      <c r="L270" s="109"/>
      <c r="M270" s="108"/>
      <c r="N270" s="108"/>
      <c r="O270" s="110"/>
      <c r="P270" s="110"/>
      <c r="Q270" s="110"/>
    </row>
    <row r="271" spans="1:17" s="111" customFormat="1" ht="15.6">
      <c r="A271" s="112"/>
      <c r="B271" s="108"/>
      <c r="C271" s="108"/>
      <c r="D271" s="108"/>
      <c r="E271" s="109"/>
      <c r="F271" s="109"/>
      <c r="G271" s="115"/>
      <c r="H271" s="107"/>
      <c r="I271" s="107"/>
      <c r="J271" s="107"/>
      <c r="K271" s="108"/>
      <c r="L271" s="109"/>
      <c r="M271" s="108"/>
      <c r="N271" s="108"/>
      <c r="O271" s="110"/>
      <c r="P271" s="110"/>
      <c r="Q271" s="110"/>
    </row>
    <row r="272" spans="1:17" s="111" customFormat="1" ht="15.6">
      <c r="A272" s="105"/>
      <c r="B272" s="108"/>
      <c r="C272" s="108"/>
      <c r="D272" s="108"/>
      <c r="E272" s="109"/>
      <c r="F272" s="109"/>
      <c r="G272" s="115"/>
      <c r="H272" s="107"/>
      <c r="I272" s="107"/>
      <c r="J272" s="107"/>
      <c r="K272" s="108"/>
      <c r="L272" s="109"/>
      <c r="M272" s="108"/>
      <c r="N272" s="108"/>
      <c r="O272" s="110"/>
      <c r="P272" s="110"/>
      <c r="Q272" s="110"/>
    </row>
    <row r="273" spans="1:17" s="111" customFormat="1" ht="15.6">
      <c r="A273" s="112"/>
      <c r="B273" s="108"/>
      <c r="C273" s="108"/>
      <c r="D273" s="108"/>
      <c r="E273" s="109"/>
      <c r="F273" s="109"/>
      <c r="G273" s="115"/>
      <c r="H273" s="107"/>
      <c r="I273" s="107"/>
      <c r="J273" s="107"/>
      <c r="K273" s="108"/>
      <c r="L273" s="109"/>
      <c r="M273" s="108"/>
      <c r="N273" s="108"/>
      <c r="O273" s="110"/>
      <c r="P273" s="110"/>
      <c r="Q273" s="110"/>
    </row>
    <row r="274" spans="1:17" s="111" customFormat="1" ht="15.6">
      <c r="A274" s="105"/>
      <c r="B274" s="108"/>
      <c r="C274" s="108"/>
      <c r="D274" s="108"/>
      <c r="E274" s="109"/>
      <c r="F274" s="109"/>
      <c r="G274" s="115"/>
      <c r="H274" s="107"/>
      <c r="I274" s="107"/>
      <c r="J274" s="107"/>
      <c r="K274" s="108"/>
      <c r="L274" s="109"/>
      <c r="M274" s="108"/>
      <c r="N274" s="108"/>
      <c r="O274" s="110"/>
      <c r="P274" s="110"/>
      <c r="Q274" s="110"/>
    </row>
    <row r="275" spans="1:17" s="111" customFormat="1" ht="15.6">
      <c r="A275" s="112"/>
      <c r="B275" s="108"/>
      <c r="C275" s="108"/>
      <c r="D275" s="108"/>
      <c r="E275" s="109"/>
      <c r="F275" s="109"/>
      <c r="G275" s="115"/>
      <c r="H275" s="107"/>
      <c r="I275" s="107"/>
      <c r="J275" s="107"/>
      <c r="K275" s="108"/>
      <c r="L275" s="109"/>
      <c r="M275" s="108"/>
      <c r="N275" s="108"/>
      <c r="O275" s="110"/>
      <c r="P275" s="110"/>
      <c r="Q275" s="110"/>
    </row>
    <row r="276" spans="1:17" s="111" customFormat="1" ht="15.6">
      <c r="A276" s="105"/>
      <c r="B276" s="108"/>
      <c r="C276" s="108"/>
      <c r="D276" s="108"/>
      <c r="E276" s="109"/>
      <c r="F276" s="109"/>
      <c r="G276" s="115"/>
      <c r="H276" s="107"/>
      <c r="I276" s="107"/>
      <c r="J276" s="107"/>
      <c r="K276" s="108"/>
      <c r="L276" s="109"/>
      <c r="M276" s="108"/>
      <c r="N276" s="108"/>
      <c r="O276" s="110"/>
      <c r="P276" s="110"/>
      <c r="Q276" s="110"/>
    </row>
    <row r="277" spans="1:17" s="111" customFormat="1" ht="15.6">
      <c r="A277" s="112"/>
      <c r="B277" s="108"/>
      <c r="C277" s="108"/>
      <c r="D277" s="108"/>
      <c r="E277" s="109"/>
      <c r="F277" s="109"/>
      <c r="G277" s="115"/>
      <c r="H277" s="107"/>
      <c r="I277" s="107"/>
      <c r="J277" s="107"/>
      <c r="K277" s="108"/>
      <c r="L277" s="109"/>
      <c r="M277" s="108"/>
      <c r="N277" s="108"/>
      <c r="O277" s="110"/>
      <c r="P277" s="110"/>
      <c r="Q277" s="110"/>
    </row>
    <row r="278" spans="1:17" s="111" customFormat="1" ht="15.6">
      <c r="A278" s="105"/>
      <c r="B278" s="108"/>
      <c r="C278" s="108"/>
      <c r="D278" s="108"/>
      <c r="E278" s="109"/>
      <c r="F278" s="109"/>
      <c r="G278" s="115"/>
      <c r="H278" s="107"/>
      <c r="I278" s="107"/>
      <c r="J278" s="107"/>
      <c r="K278" s="108"/>
      <c r="L278" s="109"/>
      <c r="M278" s="108"/>
      <c r="N278" s="108"/>
      <c r="O278" s="110"/>
      <c r="P278" s="110"/>
      <c r="Q278" s="110"/>
    </row>
    <row r="279" spans="1:17" s="111" customFormat="1" ht="15.6">
      <c r="A279" s="112"/>
      <c r="B279" s="108"/>
      <c r="C279" s="108"/>
      <c r="D279" s="108"/>
      <c r="E279" s="109"/>
      <c r="F279" s="109"/>
      <c r="G279" s="115"/>
      <c r="H279" s="107"/>
      <c r="I279" s="107"/>
      <c r="J279" s="107"/>
      <c r="K279" s="108"/>
      <c r="L279" s="109"/>
      <c r="M279" s="108"/>
      <c r="N279" s="108"/>
      <c r="O279" s="110"/>
      <c r="P279" s="110"/>
      <c r="Q279" s="110"/>
    </row>
    <row r="280" spans="1:17" s="111" customFormat="1" ht="15.6">
      <c r="A280" s="105"/>
      <c r="B280" s="108"/>
      <c r="C280" s="108"/>
      <c r="D280" s="108"/>
      <c r="E280" s="109"/>
      <c r="F280" s="109"/>
      <c r="G280" s="115"/>
      <c r="H280" s="107"/>
      <c r="I280" s="107"/>
      <c r="J280" s="107"/>
      <c r="K280" s="108"/>
      <c r="L280" s="109"/>
      <c r="M280" s="108"/>
      <c r="N280" s="108"/>
      <c r="O280" s="110"/>
      <c r="P280" s="110"/>
      <c r="Q280" s="110"/>
    </row>
    <row r="281" spans="1:17" s="111" customFormat="1" ht="15.6">
      <c r="A281" s="112"/>
      <c r="B281" s="108"/>
      <c r="C281" s="108"/>
      <c r="D281" s="108"/>
      <c r="E281" s="109"/>
      <c r="F281" s="109"/>
      <c r="G281" s="115"/>
      <c r="H281" s="107"/>
      <c r="I281" s="107"/>
      <c r="J281" s="107"/>
      <c r="K281" s="108"/>
      <c r="L281" s="109"/>
      <c r="M281" s="108"/>
      <c r="N281" s="108"/>
      <c r="O281" s="110"/>
      <c r="P281" s="110"/>
      <c r="Q281" s="110"/>
    </row>
    <row r="282" spans="1:17" s="111" customFormat="1" ht="15.6">
      <c r="A282" s="105"/>
      <c r="B282" s="108"/>
      <c r="C282" s="108"/>
      <c r="D282" s="108"/>
      <c r="E282" s="109"/>
      <c r="F282" s="109"/>
      <c r="G282" s="115"/>
      <c r="H282" s="107"/>
      <c r="I282" s="107"/>
      <c r="J282" s="107"/>
      <c r="K282" s="108"/>
      <c r="L282" s="109"/>
      <c r="M282" s="108"/>
      <c r="N282" s="108"/>
      <c r="O282" s="110"/>
      <c r="P282" s="110"/>
      <c r="Q282" s="110"/>
    </row>
    <row r="283" spans="1:17" s="111" customFormat="1" ht="15.6">
      <c r="A283" s="112"/>
      <c r="B283" s="108"/>
      <c r="C283" s="108"/>
      <c r="D283" s="108"/>
      <c r="E283" s="109"/>
      <c r="F283" s="109"/>
      <c r="G283" s="115"/>
      <c r="H283" s="107"/>
      <c r="I283" s="107"/>
      <c r="J283" s="107"/>
      <c r="K283" s="108"/>
      <c r="L283" s="109"/>
      <c r="M283" s="108"/>
      <c r="N283" s="108"/>
      <c r="O283" s="110"/>
      <c r="P283" s="110"/>
      <c r="Q283" s="110"/>
    </row>
    <row r="284" spans="1:17" s="111" customFormat="1" ht="15.6">
      <c r="A284" s="105"/>
      <c r="B284" s="108"/>
      <c r="C284" s="108"/>
      <c r="D284" s="108"/>
      <c r="E284" s="109"/>
      <c r="F284" s="109"/>
      <c r="G284" s="115"/>
      <c r="H284" s="107"/>
      <c r="I284" s="107"/>
      <c r="J284" s="107"/>
      <c r="K284" s="108"/>
      <c r="L284" s="109"/>
      <c r="M284" s="108"/>
      <c r="N284" s="108"/>
      <c r="O284" s="110"/>
      <c r="P284" s="110"/>
      <c r="Q284" s="110"/>
    </row>
    <row r="285" spans="1:17" s="111" customFormat="1" ht="15.6">
      <c r="A285" s="112"/>
      <c r="B285" s="108"/>
      <c r="C285" s="108"/>
      <c r="D285" s="108"/>
      <c r="E285" s="109"/>
      <c r="F285" s="109"/>
      <c r="G285" s="115"/>
      <c r="H285" s="107"/>
      <c r="I285" s="107"/>
      <c r="J285" s="107"/>
      <c r="K285" s="108"/>
      <c r="L285" s="109"/>
      <c r="M285" s="108"/>
      <c r="N285" s="108"/>
      <c r="O285" s="110"/>
      <c r="P285" s="110"/>
      <c r="Q285" s="110"/>
    </row>
    <row r="286" spans="1:17" s="111" customFormat="1" ht="15.6">
      <c r="A286" s="105"/>
      <c r="B286" s="108"/>
      <c r="C286" s="108"/>
      <c r="D286" s="108"/>
      <c r="E286" s="109"/>
      <c r="F286" s="109"/>
      <c r="G286" s="115"/>
      <c r="H286" s="107"/>
      <c r="I286" s="107"/>
      <c r="J286" s="107"/>
      <c r="K286" s="108"/>
      <c r="L286" s="109"/>
      <c r="M286" s="108"/>
      <c r="N286" s="108"/>
      <c r="O286" s="110"/>
      <c r="P286" s="110"/>
      <c r="Q286" s="110"/>
    </row>
    <row r="287" spans="1:17" s="111" customFormat="1" ht="15.6">
      <c r="A287" s="112"/>
      <c r="B287" s="108"/>
      <c r="C287" s="108"/>
      <c r="D287" s="108"/>
      <c r="E287" s="109"/>
      <c r="F287" s="109"/>
      <c r="G287" s="115"/>
      <c r="H287" s="107"/>
      <c r="I287" s="107"/>
      <c r="J287" s="107"/>
      <c r="K287" s="127"/>
      <c r="L287" s="109"/>
      <c r="M287" s="108"/>
      <c r="N287" s="108"/>
      <c r="O287" s="110"/>
      <c r="P287" s="110"/>
      <c r="Q287" s="110"/>
    </row>
    <row r="288" spans="1:17" s="111" customFormat="1" ht="15.6">
      <c r="A288" s="112"/>
      <c r="B288" s="108"/>
      <c r="C288" s="108"/>
      <c r="D288" s="108"/>
      <c r="E288" s="109"/>
      <c r="F288" s="109"/>
      <c r="G288" s="115"/>
      <c r="H288" s="107"/>
      <c r="I288" s="107"/>
      <c r="J288" s="107"/>
      <c r="K288" s="127"/>
      <c r="L288" s="109"/>
      <c r="M288" s="108"/>
      <c r="N288" s="108"/>
      <c r="O288" s="110"/>
      <c r="P288" s="110"/>
      <c r="Q288" s="110"/>
    </row>
    <row r="289" spans="1:17" s="111" customFormat="1" ht="15.6">
      <c r="A289" s="105"/>
      <c r="B289" s="108"/>
      <c r="C289" s="108"/>
      <c r="D289" s="108"/>
      <c r="E289" s="109"/>
      <c r="F289" s="109"/>
      <c r="G289" s="115"/>
      <c r="H289" s="107"/>
      <c r="I289" s="107"/>
      <c r="J289" s="107"/>
      <c r="K289" s="127"/>
      <c r="L289" s="109"/>
      <c r="M289" s="108"/>
      <c r="N289" s="108"/>
      <c r="O289" s="110"/>
      <c r="P289" s="110"/>
      <c r="Q289" s="110"/>
    </row>
    <row r="290" spans="1:17" s="111" customFormat="1" ht="15.6">
      <c r="A290" s="112"/>
      <c r="B290" s="108"/>
      <c r="C290" s="108"/>
      <c r="D290" s="108"/>
      <c r="E290" s="109"/>
      <c r="F290" s="109"/>
      <c r="G290" s="115"/>
      <c r="H290" s="107"/>
      <c r="I290" s="107"/>
      <c r="J290" s="107"/>
      <c r="K290" s="131"/>
      <c r="L290" s="109"/>
      <c r="M290" s="108"/>
      <c r="N290" s="108"/>
      <c r="O290" s="110"/>
      <c r="P290" s="110"/>
      <c r="Q290" s="110"/>
    </row>
    <row r="291" spans="1:17" s="111" customFormat="1" ht="15.6">
      <c r="A291" s="105"/>
      <c r="B291" s="108"/>
      <c r="C291" s="108"/>
      <c r="D291" s="108"/>
      <c r="E291" s="109"/>
      <c r="F291" s="109"/>
      <c r="G291" s="115"/>
      <c r="H291" s="107"/>
      <c r="I291" s="107"/>
      <c r="J291" s="107"/>
      <c r="K291" s="127"/>
      <c r="L291" s="109"/>
      <c r="M291" s="108"/>
      <c r="N291" s="108"/>
      <c r="O291" s="110"/>
      <c r="P291" s="110"/>
      <c r="Q291" s="110"/>
    </row>
    <row r="292" spans="1:17" s="111" customFormat="1" ht="15.6">
      <c r="A292" s="112"/>
      <c r="B292" s="108"/>
      <c r="C292" s="108"/>
      <c r="D292" s="108"/>
      <c r="E292" s="109"/>
      <c r="F292" s="109"/>
      <c r="G292" s="115"/>
      <c r="H292" s="107"/>
      <c r="I292" s="107"/>
      <c r="J292" s="107"/>
      <c r="K292" s="131"/>
      <c r="L292" s="109"/>
      <c r="M292" s="108"/>
      <c r="N292" s="108"/>
      <c r="O292" s="110"/>
      <c r="P292" s="110"/>
      <c r="Q292" s="110"/>
    </row>
    <row r="293" spans="1:17" s="111" customFormat="1" ht="15.6">
      <c r="A293" s="105"/>
      <c r="B293" s="108"/>
      <c r="C293" s="108"/>
      <c r="D293" s="108"/>
      <c r="E293" s="109"/>
      <c r="F293" s="109"/>
      <c r="G293" s="115"/>
      <c r="H293" s="107"/>
      <c r="I293" s="107"/>
      <c r="J293" s="107"/>
      <c r="K293" s="127"/>
      <c r="L293" s="109"/>
      <c r="M293" s="108"/>
      <c r="N293" s="108"/>
      <c r="O293" s="110"/>
      <c r="P293" s="110"/>
      <c r="Q293" s="110"/>
    </row>
    <row r="294" spans="1:17" s="111" customFormat="1" ht="15.6">
      <c r="A294" s="112"/>
      <c r="B294" s="108"/>
      <c r="C294" s="108"/>
      <c r="D294" s="108"/>
      <c r="E294" s="109"/>
      <c r="F294" s="109"/>
      <c r="G294" s="115"/>
      <c r="H294" s="107"/>
      <c r="I294" s="107"/>
      <c r="J294" s="107"/>
      <c r="K294" s="127"/>
      <c r="L294" s="109"/>
      <c r="M294" s="108"/>
      <c r="N294" s="108"/>
      <c r="O294" s="110"/>
      <c r="P294" s="110"/>
      <c r="Q294" s="110"/>
    </row>
    <row r="295" spans="1:17" s="111" customFormat="1" ht="15.6">
      <c r="A295" s="105"/>
      <c r="B295" s="108"/>
      <c r="C295" s="108"/>
      <c r="D295" s="108"/>
      <c r="E295" s="109"/>
      <c r="F295" s="109"/>
      <c r="G295" s="115"/>
      <c r="H295" s="107"/>
      <c r="I295" s="107"/>
      <c r="J295" s="107"/>
      <c r="K295" s="127"/>
      <c r="L295" s="109"/>
      <c r="M295" s="108"/>
      <c r="N295" s="108"/>
      <c r="O295" s="110"/>
      <c r="P295" s="110"/>
      <c r="Q295" s="110"/>
    </row>
    <row r="296" spans="1:17" s="111" customFormat="1" ht="15.6">
      <c r="A296" s="112"/>
      <c r="B296" s="108"/>
      <c r="C296" s="108"/>
      <c r="D296" s="108"/>
      <c r="E296" s="109"/>
      <c r="F296" s="109"/>
      <c r="G296" s="115"/>
      <c r="H296" s="107"/>
      <c r="I296" s="107"/>
      <c r="J296" s="107"/>
      <c r="K296" s="127"/>
      <c r="L296" s="109"/>
      <c r="M296" s="108"/>
      <c r="N296" s="108"/>
      <c r="O296" s="110"/>
      <c r="P296" s="110"/>
      <c r="Q296" s="110"/>
    </row>
    <row r="297" spans="1:17" s="111" customFormat="1" ht="15.6">
      <c r="A297" s="105"/>
      <c r="B297" s="108"/>
      <c r="C297" s="108"/>
      <c r="D297" s="108"/>
      <c r="E297" s="109"/>
      <c r="F297" s="109"/>
      <c r="G297" s="115"/>
      <c r="H297" s="107"/>
      <c r="I297" s="107"/>
      <c r="J297" s="107"/>
      <c r="K297" s="127"/>
      <c r="L297" s="109"/>
      <c r="M297" s="108"/>
      <c r="N297" s="108"/>
      <c r="O297" s="110"/>
      <c r="P297" s="110"/>
      <c r="Q297" s="110"/>
    </row>
    <row r="298" spans="1:17" s="111" customFormat="1" ht="15.6">
      <c r="A298" s="112"/>
      <c r="B298" s="108"/>
      <c r="C298" s="108"/>
      <c r="D298" s="108"/>
      <c r="E298" s="109"/>
      <c r="F298" s="109"/>
      <c r="G298" s="115"/>
      <c r="H298" s="107"/>
      <c r="I298" s="107"/>
      <c r="J298" s="107"/>
      <c r="K298" s="127"/>
      <c r="L298" s="109"/>
      <c r="M298" s="108"/>
      <c r="N298" s="108"/>
      <c r="O298" s="110"/>
      <c r="P298" s="110"/>
      <c r="Q298" s="110"/>
    </row>
    <row r="299" spans="1:17" s="111" customFormat="1" ht="15.6">
      <c r="A299" s="105"/>
      <c r="B299" s="108"/>
      <c r="C299" s="108"/>
      <c r="D299" s="108"/>
      <c r="E299" s="109"/>
      <c r="F299" s="109"/>
      <c r="G299" s="115"/>
      <c r="H299" s="107"/>
      <c r="I299" s="107"/>
      <c r="J299" s="107"/>
      <c r="K299" s="127"/>
      <c r="L299" s="109"/>
      <c r="M299" s="108"/>
      <c r="N299" s="108"/>
      <c r="O299" s="110"/>
      <c r="P299" s="110"/>
      <c r="Q299" s="110"/>
    </row>
    <row r="300" spans="1:17" s="111" customFormat="1" ht="15.6">
      <c r="A300" s="112"/>
      <c r="B300" s="108"/>
      <c r="C300" s="108"/>
      <c r="D300" s="108"/>
      <c r="E300" s="109"/>
      <c r="F300" s="109"/>
      <c r="G300" s="115"/>
      <c r="H300" s="107"/>
      <c r="I300" s="107"/>
      <c r="J300" s="107"/>
      <c r="K300" s="127"/>
      <c r="L300" s="109"/>
      <c r="M300" s="108"/>
      <c r="N300" s="108"/>
      <c r="O300" s="110"/>
      <c r="P300" s="110"/>
      <c r="Q300" s="110"/>
    </row>
    <row r="301" spans="1:17" s="111" customFormat="1" ht="15.6">
      <c r="A301" s="105"/>
      <c r="B301" s="108"/>
      <c r="C301" s="108"/>
      <c r="D301" s="108"/>
      <c r="E301" s="109"/>
      <c r="F301" s="109"/>
      <c r="G301" s="115"/>
      <c r="H301" s="107"/>
      <c r="I301" s="107"/>
      <c r="J301" s="107"/>
      <c r="K301" s="127"/>
      <c r="L301" s="109"/>
      <c r="M301" s="108"/>
      <c r="N301" s="108"/>
      <c r="O301" s="110"/>
      <c r="P301" s="110"/>
      <c r="Q301" s="110"/>
    </row>
    <row r="302" spans="1:17" s="111" customFormat="1" ht="15.6">
      <c r="A302" s="112"/>
      <c r="B302" s="108"/>
      <c r="C302" s="108"/>
      <c r="D302" s="108"/>
      <c r="E302" s="109"/>
      <c r="F302" s="109"/>
      <c r="G302" s="115"/>
      <c r="H302" s="107"/>
      <c r="I302" s="107"/>
      <c r="J302" s="107"/>
      <c r="K302" s="127"/>
      <c r="L302" s="109"/>
      <c r="M302" s="108"/>
      <c r="N302" s="108"/>
      <c r="O302" s="110"/>
      <c r="P302" s="110"/>
      <c r="Q302" s="110"/>
    </row>
    <row r="303" spans="1:17" s="111" customFormat="1" ht="15.6">
      <c r="A303" s="105"/>
      <c r="B303" s="108"/>
      <c r="C303" s="108"/>
      <c r="D303" s="108"/>
      <c r="E303" s="109"/>
      <c r="F303" s="109"/>
      <c r="G303" s="115"/>
      <c r="H303" s="107"/>
      <c r="I303" s="107"/>
      <c r="J303" s="107"/>
      <c r="K303" s="127"/>
      <c r="L303" s="109"/>
      <c r="M303" s="108"/>
      <c r="N303" s="108"/>
      <c r="O303" s="110"/>
      <c r="P303" s="110"/>
      <c r="Q303" s="110"/>
    </row>
    <row r="304" spans="1:17" s="111" customFormat="1" ht="15.6">
      <c r="A304" s="112"/>
      <c r="B304" s="108"/>
      <c r="C304" s="108"/>
      <c r="D304" s="108"/>
      <c r="E304" s="109"/>
      <c r="F304" s="109"/>
      <c r="G304" s="115"/>
      <c r="H304" s="107"/>
      <c r="I304" s="107"/>
      <c r="J304" s="107"/>
      <c r="K304" s="127"/>
      <c r="L304" s="109"/>
      <c r="M304" s="108"/>
      <c r="N304" s="108"/>
      <c r="O304" s="110"/>
      <c r="P304" s="110"/>
      <c r="Q304" s="110"/>
    </row>
    <row r="305" spans="1:17" s="111" customFormat="1" ht="15.6">
      <c r="A305" s="105"/>
      <c r="B305" s="108"/>
      <c r="C305" s="108"/>
      <c r="D305" s="108"/>
      <c r="E305" s="109"/>
      <c r="F305" s="109"/>
      <c r="G305" s="115"/>
      <c r="H305" s="107"/>
      <c r="I305" s="107"/>
      <c r="J305" s="107"/>
      <c r="K305" s="127"/>
      <c r="L305" s="109"/>
      <c r="M305" s="108"/>
      <c r="N305" s="108"/>
      <c r="O305" s="110"/>
      <c r="P305" s="110"/>
      <c r="Q305" s="110"/>
    </row>
    <row r="306" spans="1:17" s="111" customFormat="1" ht="15.6">
      <c r="A306" s="112"/>
      <c r="B306" s="108"/>
      <c r="C306" s="108"/>
      <c r="D306" s="108"/>
      <c r="E306" s="109"/>
      <c r="F306" s="109"/>
      <c r="G306" s="115"/>
      <c r="H306" s="107"/>
      <c r="I306" s="107"/>
      <c r="J306" s="107"/>
      <c r="K306" s="127"/>
      <c r="L306" s="109"/>
      <c r="M306" s="108"/>
      <c r="N306" s="108"/>
      <c r="O306" s="110"/>
      <c r="P306" s="110"/>
      <c r="Q306" s="110"/>
    </row>
    <row r="307" spans="1:17" s="111" customFormat="1" ht="15.6">
      <c r="A307" s="105"/>
      <c r="B307" s="108"/>
      <c r="C307" s="108"/>
      <c r="D307" s="108"/>
      <c r="E307" s="109"/>
      <c r="F307" s="109"/>
      <c r="G307" s="115"/>
      <c r="H307" s="107"/>
      <c r="I307" s="107"/>
      <c r="J307" s="107"/>
      <c r="K307" s="131"/>
      <c r="L307" s="109"/>
      <c r="M307" s="108"/>
      <c r="N307" s="108"/>
      <c r="O307" s="110"/>
      <c r="P307" s="110"/>
      <c r="Q307" s="110"/>
    </row>
    <row r="308" spans="1:17" s="111" customFormat="1" ht="15.6">
      <c r="A308" s="112"/>
      <c r="B308" s="108"/>
      <c r="C308" s="108"/>
      <c r="D308" s="108"/>
      <c r="E308" s="109"/>
      <c r="F308" s="109"/>
      <c r="G308" s="115"/>
      <c r="H308" s="107"/>
      <c r="I308" s="107"/>
      <c r="J308" s="107"/>
      <c r="K308" s="131"/>
      <c r="L308" s="109"/>
      <c r="M308" s="108"/>
      <c r="N308" s="108"/>
      <c r="O308" s="110"/>
      <c r="P308" s="110"/>
      <c r="Q308" s="110"/>
    </row>
    <row r="309" spans="1:17" s="111" customFormat="1" ht="15.6">
      <c r="A309" s="105"/>
      <c r="B309" s="108"/>
      <c r="C309" s="108"/>
      <c r="D309" s="108"/>
      <c r="E309" s="109"/>
      <c r="F309" s="109"/>
      <c r="G309" s="115"/>
      <c r="H309" s="107"/>
      <c r="I309" s="107"/>
      <c r="J309" s="107"/>
      <c r="K309" s="131"/>
      <c r="L309" s="109"/>
      <c r="M309" s="108"/>
      <c r="N309" s="108"/>
      <c r="O309" s="110"/>
      <c r="P309" s="110"/>
      <c r="Q309" s="110"/>
    </row>
    <row r="310" spans="1:17" s="111" customFormat="1" ht="15.6">
      <c r="A310" s="112"/>
      <c r="B310" s="108"/>
      <c r="C310" s="108"/>
      <c r="D310" s="108"/>
      <c r="E310" s="109"/>
      <c r="F310" s="109"/>
      <c r="G310" s="115"/>
      <c r="H310" s="107"/>
      <c r="I310" s="107"/>
      <c r="J310" s="107"/>
      <c r="K310" s="131"/>
      <c r="L310" s="109"/>
      <c r="M310" s="108"/>
      <c r="N310" s="108"/>
      <c r="O310" s="110"/>
      <c r="P310" s="110"/>
      <c r="Q310" s="110"/>
    </row>
    <row r="311" spans="1:17" s="111" customFormat="1" ht="15.6">
      <c r="A311" s="105"/>
      <c r="B311" s="108"/>
      <c r="C311" s="108"/>
      <c r="D311" s="108"/>
      <c r="E311" s="109"/>
      <c r="F311" s="109"/>
      <c r="G311" s="115"/>
      <c r="H311" s="107"/>
      <c r="I311" s="107"/>
      <c r="J311" s="107"/>
      <c r="K311" s="131"/>
      <c r="L311" s="109"/>
      <c r="M311" s="108"/>
      <c r="N311" s="108"/>
      <c r="O311" s="110"/>
      <c r="P311" s="110"/>
      <c r="Q311" s="110"/>
    </row>
    <row r="312" spans="1:17" s="111" customFormat="1" ht="15.6">
      <c r="A312" s="112"/>
      <c r="B312" s="108"/>
      <c r="C312" s="108"/>
      <c r="D312" s="108"/>
      <c r="E312" s="109"/>
      <c r="F312" s="109"/>
      <c r="G312" s="115"/>
      <c r="H312" s="107"/>
      <c r="I312" s="107"/>
      <c r="J312" s="107"/>
      <c r="K312" s="127"/>
      <c r="L312" s="109"/>
      <c r="M312" s="108"/>
      <c r="N312" s="108"/>
      <c r="O312" s="110"/>
      <c r="P312" s="110"/>
      <c r="Q312" s="110"/>
    </row>
    <row r="313" spans="1:17" s="111" customFormat="1" ht="15.6">
      <c r="A313" s="105"/>
      <c r="B313" s="108"/>
      <c r="C313" s="108"/>
      <c r="D313" s="108"/>
      <c r="E313" s="109"/>
      <c r="F313" s="109"/>
      <c r="G313" s="115"/>
      <c r="H313" s="107"/>
      <c r="I313" s="107"/>
      <c r="J313" s="107"/>
      <c r="K313" s="131"/>
      <c r="L313" s="109"/>
      <c r="M313" s="108"/>
      <c r="N313" s="108"/>
      <c r="O313" s="110"/>
      <c r="P313" s="110"/>
      <c r="Q313" s="110"/>
    </row>
    <row r="314" spans="1:17" s="111" customFormat="1" ht="15.6">
      <c r="A314" s="112"/>
      <c r="B314" s="108"/>
      <c r="C314" s="108"/>
      <c r="D314" s="108"/>
      <c r="E314" s="109"/>
      <c r="F314" s="109"/>
      <c r="G314" s="115"/>
      <c r="H314" s="107"/>
      <c r="I314" s="107"/>
      <c r="J314" s="107"/>
      <c r="K314" s="132"/>
      <c r="L314" s="109"/>
      <c r="M314" s="108"/>
      <c r="N314" s="108"/>
      <c r="O314" s="110"/>
      <c r="P314" s="110"/>
      <c r="Q314" s="110"/>
    </row>
    <row r="315" spans="1:17" s="111" customFormat="1" ht="15.6">
      <c r="A315" s="105"/>
      <c r="B315" s="108"/>
      <c r="C315" s="108"/>
      <c r="D315" s="108"/>
      <c r="E315" s="109"/>
      <c r="F315" s="109"/>
      <c r="G315" s="115"/>
      <c r="H315" s="107"/>
      <c r="I315" s="107"/>
      <c r="J315" s="107"/>
      <c r="K315" s="132"/>
      <c r="L315" s="109"/>
      <c r="M315" s="108"/>
      <c r="N315" s="108"/>
      <c r="O315" s="110"/>
      <c r="P315" s="110"/>
      <c r="Q315" s="110"/>
    </row>
    <row r="316" spans="1:17" s="111" customFormat="1" ht="15.6">
      <c r="A316" s="112"/>
      <c r="B316" s="108"/>
      <c r="C316" s="108"/>
      <c r="D316" s="108"/>
      <c r="E316" s="109"/>
      <c r="F316" s="109"/>
      <c r="G316" s="115"/>
      <c r="H316" s="107"/>
      <c r="I316" s="107"/>
      <c r="J316" s="107"/>
      <c r="K316" s="131"/>
      <c r="L316" s="109"/>
      <c r="M316" s="108"/>
      <c r="N316" s="108"/>
      <c r="O316" s="110"/>
      <c r="P316" s="110"/>
      <c r="Q316" s="110"/>
    </row>
    <row r="317" spans="1:17" s="111" customFormat="1" ht="15.6">
      <c r="A317" s="105"/>
      <c r="B317" s="108"/>
      <c r="C317" s="108"/>
      <c r="D317" s="108"/>
      <c r="E317" s="109"/>
      <c r="F317" s="109"/>
      <c r="G317" s="115"/>
      <c r="H317" s="107"/>
      <c r="I317" s="107"/>
      <c r="J317" s="107"/>
      <c r="K317" s="131"/>
      <c r="L317" s="109"/>
      <c r="M317" s="108"/>
      <c r="N317" s="108"/>
      <c r="O317" s="110"/>
      <c r="P317" s="110"/>
      <c r="Q317" s="110"/>
    </row>
    <row r="318" spans="1:17" s="111" customFormat="1" ht="15.6">
      <c r="A318" s="112"/>
      <c r="B318" s="108"/>
      <c r="C318" s="108"/>
      <c r="D318" s="108"/>
      <c r="E318" s="109"/>
      <c r="F318" s="109"/>
      <c r="G318" s="115"/>
      <c r="H318" s="107"/>
      <c r="I318" s="107"/>
      <c r="J318" s="107"/>
      <c r="K318" s="132"/>
      <c r="L318" s="109"/>
      <c r="M318" s="108"/>
      <c r="N318" s="108"/>
      <c r="O318" s="110"/>
      <c r="P318" s="110"/>
      <c r="Q318" s="110"/>
    </row>
    <row r="319" spans="1:17" s="111" customFormat="1" ht="15.6">
      <c r="A319" s="105"/>
      <c r="B319" s="108"/>
      <c r="C319" s="108"/>
      <c r="D319" s="108"/>
      <c r="E319" s="109"/>
      <c r="F319" s="109"/>
      <c r="G319" s="115"/>
      <c r="H319" s="107"/>
      <c r="I319" s="107"/>
      <c r="J319" s="107"/>
      <c r="K319" s="132"/>
      <c r="L319" s="109"/>
      <c r="M319" s="108"/>
      <c r="N319" s="108"/>
      <c r="O319" s="110"/>
      <c r="P319" s="110"/>
      <c r="Q319" s="110"/>
    </row>
    <row r="320" spans="1:17" s="111" customFormat="1" ht="15.6">
      <c r="A320" s="112"/>
      <c r="B320" s="108"/>
      <c r="C320" s="108"/>
      <c r="D320" s="108"/>
      <c r="E320" s="109"/>
      <c r="F320" s="109"/>
      <c r="G320" s="115"/>
      <c r="H320" s="107"/>
      <c r="I320" s="107"/>
      <c r="J320" s="107"/>
      <c r="K320" s="132"/>
      <c r="L320" s="109"/>
      <c r="M320" s="108"/>
      <c r="N320" s="108"/>
      <c r="O320" s="110"/>
      <c r="P320" s="110"/>
      <c r="Q320" s="110"/>
    </row>
    <row r="321" spans="1:17" s="111" customFormat="1" ht="15.6">
      <c r="A321" s="105"/>
      <c r="B321" s="108"/>
      <c r="C321" s="108"/>
      <c r="D321" s="108"/>
      <c r="E321" s="109"/>
      <c r="F321" s="109"/>
      <c r="G321" s="115"/>
      <c r="H321" s="107"/>
      <c r="I321" s="107"/>
      <c r="J321" s="107"/>
      <c r="K321" s="132"/>
      <c r="L321" s="109"/>
      <c r="M321" s="108"/>
      <c r="N321" s="108"/>
      <c r="O321" s="110"/>
      <c r="P321" s="110"/>
      <c r="Q321" s="110"/>
    </row>
    <row r="322" spans="1:17" s="111" customFormat="1" ht="15.6">
      <c r="A322" s="112"/>
      <c r="B322" s="108"/>
      <c r="C322" s="108"/>
      <c r="D322" s="108"/>
      <c r="E322" s="109"/>
      <c r="F322" s="109"/>
      <c r="G322" s="115"/>
      <c r="H322" s="107"/>
      <c r="I322" s="107"/>
      <c r="J322" s="107"/>
      <c r="K322" s="132"/>
      <c r="L322" s="109"/>
      <c r="M322" s="108"/>
      <c r="N322" s="108"/>
      <c r="O322" s="110"/>
      <c r="P322" s="110"/>
      <c r="Q322" s="110"/>
    </row>
    <row r="323" spans="1:17" s="111" customFormat="1" ht="15.6">
      <c r="A323" s="105"/>
      <c r="B323" s="108"/>
      <c r="C323" s="108"/>
      <c r="D323" s="108"/>
      <c r="E323" s="109"/>
      <c r="F323" s="109"/>
      <c r="G323" s="115"/>
      <c r="H323" s="107"/>
      <c r="I323" s="107"/>
      <c r="J323" s="107"/>
      <c r="K323" s="108"/>
      <c r="L323" s="109"/>
      <c r="M323" s="108"/>
      <c r="N323" s="108"/>
      <c r="O323" s="110"/>
      <c r="P323" s="110"/>
      <c r="Q323" s="110"/>
    </row>
    <row r="324" spans="1:17" s="111" customFormat="1" ht="15.6">
      <c r="A324" s="112"/>
      <c r="B324" s="108"/>
      <c r="C324" s="108"/>
      <c r="D324" s="108"/>
      <c r="E324" s="109"/>
      <c r="F324" s="109"/>
      <c r="G324" s="115"/>
      <c r="H324" s="107"/>
      <c r="I324" s="107"/>
      <c r="J324" s="107"/>
      <c r="K324" s="133"/>
      <c r="L324" s="109"/>
      <c r="M324" s="108"/>
      <c r="N324" s="108"/>
      <c r="O324" s="110"/>
      <c r="P324" s="110"/>
      <c r="Q324" s="110"/>
    </row>
    <row r="325" spans="1:17" s="111" customFormat="1" ht="15.6">
      <c r="A325" s="105"/>
      <c r="B325" s="108"/>
      <c r="C325" s="108"/>
      <c r="D325" s="108"/>
      <c r="E325" s="109"/>
      <c r="F325" s="109"/>
      <c r="G325" s="115"/>
      <c r="H325" s="107"/>
      <c r="I325" s="107"/>
      <c r="J325" s="107"/>
      <c r="K325" s="108"/>
      <c r="L325" s="109"/>
      <c r="M325" s="108"/>
      <c r="N325" s="108"/>
      <c r="O325" s="110"/>
      <c r="P325" s="110"/>
      <c r="Q325" s="110"/>
    </row>
    <row r="326" spans="1:17" s="111" customFormat="1" ht="15.6">
      <c r="A326" s="112"/>
      <c r="B326" s="108"/>
      <c r="C326" s="108"/>
      <c r="D326" s="108"/>
      <c r="E326" s="109"/>
      <c r="F326" s="109"/>
      <c r="G326" s="115"/>
      <c r="H326" s="107"/>
      <c r="I326" s="107"/>
      <c r="J326" s="107"/>
      <c r="K326" s="134"/>
      <c r="L326" s="109"/>
      <c r="M326" s="108"/>
      <c r="N326" s="108"/>
      <c r="O326" s="110"/>
      <c r="P326" s="110"/>
      <c r="Q326" s="110"/>
    </row>
    <row r="327" spans="1:17" s="111" customFormat="1" ht="15.6">
      <c r="A327" s="105"/>
      <c r="B327" s="108"/>
      <c r="C327" s="108"/>
      <c r="D327" s="108"/>
      <c r="E327" s="109"/>
      <c r="F327" s="109"/>
      <c r="G327" s="115"/>
      <c r="H327" s="107"/>
      <c r="I327" s="107"/>
      <c r="J327" s="107"/>
      <c r="K327" s="130"/>
      <c r="L327" s="109"/>
      <c r="M327" s="108"/>
      <c r="N327" s="108"/>
      <c r="O327" s="110"/>
      <c r="P327" s="110"/>
      <c r="Q327" s="110"/>
    </row>
    <row r="328" spans="1:17" s="111" customFormat="1" ht="15.6">
      <c r="A328" s="112"/>
      <c r="B328" s="108"/>
      <c r="C328" s="108"/>
      <c r="D328" s="108"/>
      <c r="E328" s="109"/>
      <c r="F328" s="109"/>
      <c r="G328" s="115"/>
      <c r="H328" s="107"/>
      <c r="I328" s="107"/>
      <c r="J328" s="107"/>
      <c r="K328" s="130"/>
      <c r="L328" s="109"/>
      <c r="M328" s="108"/>
      <c r="N328" s="108"/>
      <c r="O328" s="110"/>
      <c r="P328" s="110"/>
      <c r="Q328" s="110"/>
    </row>
    <row r="329" spans="1:17" s="111" customFormat="1" ht="15.6">
      <c r="A329" s="105"/>
      <c r="B329" s="108"/>
      <c r="C329" s="108"/>
      <c r="D329" s="108"/>
      <c r="E329" s="109"/>
      <c r="F329" s="109"/>
      <c r="G329" s="115"/>
      <c r="H329" s="107"/>
      <c r="I329" s="107"/>
      <c r="J329" s="107"/>
      <c r="K329" s="130"/>
      <c r="L329" s="109"/>
      <c r="M329" s="108"/>
      <c r="N329" s="108"/>
      <c r="O329" s="110"/>
      <c r="P329" s="110"/>
      <c r="Q329" s="110"/>
    </row>
    <row r="330" spans="1:17" s="111" customFormat="1" ht="15.6">
      <c r="A330" s="112"/>
      <c r="B330" s="108"/>
      <c r="C330" s="108"/>
      <c r="D330" s="108"/>
      <c r="E330" s="109"/>
      <c r="F330" s="109"/>
      <c r="G330" s="115"/>
      <c r="H330" s="107"/>
      <c r="I330" s="107"/>
      <c r="J330" s="107"/>
      <c r="K330" s="130"/>
      <c r="L330" s="109"/>
      <c r="M330" s="108"/>
      <c r="N330" s="108"/>
      <c r="O330" s="110"/>
      <c r="P330" s="110"/>
      <c r="Q330" s="110"/>
    </row>
    <row r="331" spans="1:17" s="111" customFormat="1" ht="15.6">
      <c r="A331" s="105"/>
      <c r="B331" s="108"/>
      <c r="C331" s="108"/>
      <c r="D331" s="108"/>
      <c r="E331" s="109"/>
      <c r="F331" s="109"/>
      <c r="G331" s="115"/>
      <c r="H331" s="107"/>
      <c r="I331" s="107"/>
      <c r="J331" s="107"/>
      <c r="K331" s="108"/>
      <c r="L331" s="109"/>
      <c r="M331" s="108"/>
      <c r="N331" s="108"/>
      <c r="O331" s="110"/>
      <c r="P331" s="110"/>
      <c r="Q331" s="110"/>
    </row>
    <row r="332" spans="1:17" s="111" customFormat="1" ht="15.6">
      <c r="A332" s="112"/>
      <c r="B332" s="108"/>
      <c r="C332" s="108"/>
      <c r="D332" s="108"/>
      <c r="E332" s="109"/>
      <c r="F332" s="109"/>
      <c r="G332" s="115"/>
      <c r="H332" s="107"/>
      <c r="I332" s="107"/>
      <c r="J332" s="107"/>
      <c r="K332" s="108"/>
      <c r="L332" s="109"/>
      <c r="M332" s="108"/>
      <c r="N332" s="108"/>
      <c r="O332" s="110"/>
      <c r="P332" s="110"/>
      <c r="Q332" s="110"/>
    </row>
    <row r="333" spans="1:17" s="111" customFormat="1" ht="15.6">
      <c r="A333" s="105"/>
      <c r="B333" s="108"/>
      <c r="C333" s="108"/>
      <c r="D333" s="108"/>
      <c r="E333" s="109"/>
      <c r="F333" s="109"/>
      <c r="G333" s="115"/>
      <c r="H333" s="107"/>
      <c r="I333" s="107"/>
      <c r="J333" s="107"/>
      <c r="K333" s="108"/>
      <c r="L333" s="109"/>
      <c r="M333" s="108"/>
      <c r="N333" s="108"/>
      <c r="O333" s="110"/>
      <c r="P333" s="110"/>
      <c r="Q333" s="110"/>
    </row>
    <row r="334" spans="1:17" s="111" customFormat="1" ht="15.6">
      <c r="A334" s="112"/>
      <c r="B334" s="108"/>
      <c r="C334" s="108"/>
      <c r="D334" s="108"/>
      <c r="E334" s="109"/>
      <c r="F334" s="109"/>
      <c r="G334" s="115"/>
      <c r="H334" s="107"/>
      <c r="I334" s="107"/>
      <c r="J334" s="107"/>
      <c r="K334" s="135"/>
      <c r="L334" s="109"/>
      <c r="M334" s="108"/>
      <c r="N334" s="108"/>
      <c r="O334" s="110"/>
      <c r="P334" s="110"/>
      <c r="Q334" s="110"/>
    </row>
    <row r="335" spans="1:17" s="111" customFormat="1" ht="15.6">
      <c r="A335" s="105"/>
      <c r="B335" s="108"/>
      <c r="C335" s="108"/>
      <c r="D335" s="108"/>
      <c r="E335" s="109"/>
      <c r="F335" s="109"/>
      <c r="G335" s="115"/>
      <c r="H335" s="107"/>
      <c r="I335" s="107"/>
      <c r="J335" s="107"/>
      <c r="K335" s="108"/>
      <c r="L335" s="109"/>
      <c r="M335" s="108"/>
      <c r="N335" s="108"/>
      <c r="O335" s="110"/>
      <c r="P335" s="110"/>
      <c r="Q335" s="110"/>
    </row>
    <row r="336" spans="1:17" s="111" customFormat="1" ht="15.6">
      <c r="A336" s="112"/>
      <c r="B336" s="108"/>
      <c r="C336" s="108"/>
      <c r="D336" s="108"/>
      <c r="E336" s="109"/>
      <c r="F336" s="109"/>
      <c r="G336" s="115"/>
      <c r="H336" s="107"/>
      <c r="I336" s="107"/>
      <c r="J336" s="107"/>
      <c r="K336" s="108"/>
      <c r="L336" s="109"/>
      <c r="M336" s="108"/>
      <c r="N336" s="108"/>
      <c r="O336" s="110"/>
      <c r="P336" s="110"/>
      <c r="Q336" s="110"/>
    </row>
    <row r="337" spans="1:17" s="111" customFormat="1" ht="15.6">
      <c r="A337" s="105"/>
      <c r="B337" s="108"/>
      <c r="C337" s="108"/>
      <c r="D337" s="108"/>
      <c r="E337" s="109"/>
      <c r="F337" s="109"/>
      <c r="G337" s="115"/>
      <c r="H337" s="107"/>
      <c r="I337" s="107"/>
      <c r="J337" s="107"/>
      <c r="K337" s="108"/>
      <c r="L337" s="109"/>
      <c r="M337" s="108"/>
      <c r="N337" s="108"/>
      <c r="O337" s="110"/>
      <c r="P337" s="110"/>
      <c r="Q337" s="110"/>
    </row>
    <row r="338" spans="1:17" ht="15.6">
      <c r="A338" s="113"/>
      <c r="B338" s="117"/>
      <c r="C338" s="117"/>
      <c r="D338" s="117"/>
      <c r="E338" s="118"/>
      <c r="F338" s="118"/>
      <c r="G338" s="115"/>
      <c r="H338" s="115"/>
      <c r="I338" s="115"/>
      <c r="J338" s="115"/>
      <c r="K338" s="117"/>
      <c r="L338" s="118"/>
      <c r="M338" s="117"/>
      <c r="N338" s="117"/>
      <c r="O338" s="119"/>
      <c r="P338" s="119"/>
      <c r="Q338" s="119"/>
    </row>
    <row r="339" spans="1:17" ht="15.6">
      <c r="A339" s="116"/>
      <c r="B339" s="117"/>
      <c r="C339" s="117"/>
      <c r="D339" s="117"/>
      <c r="E339" s="118"/>
      <c r="F339" s="118"/>
      <c r="G339" s="115"/>
      <c r="H339" s="115"/>
      <c r="I339" s="115"/>
      <c r="J339" s="115"/>
      <c r="K339" s="117"/>
      <c r="L339" s="118"/>
      <c r="M339" s="117"/>
      <c r="N339" s="117"/>
      <c r="O339" s="119"/>
      <c r="P339" s="119"/>
      <c r="Q339" s="119"/>
    </row>
    <row r="340" spans="1:17" ht="15.6">
      <c r="A340" s="113"/>
      <c r="B340" s="117"/>
      <c r="C340" s="117"/>
      <c r="D340" s="117"/>
      <c r="E340" s="118"/>
      <c r="F340" s="118"/>
      <c r="G340" s="115"/>
      <c r="H340" s="115"/>
      <c r="I340" s="115"/>
      <c r="J340" s="115"/>
      <c r="K340" s="117"/>
      <c r="L340" s="118"/>
      <c r="M340" s="117"/>
      <c r="N340" s="117"/>
      <c r="O340" s="119"/>
      <c r="P340" s="119"/>
      <c r="Q340" s="119"/>
    </row>
    <row r="341" spans="1:17" ht="15.6">
      <c r="A341" s="116"/>
      <c r="B341" s="117"/>
      <c r="C341" s="117"/>
      <c r="D341" s="117"/>
      <c r="E341" s="118"/>
      <c r="F341" s="118"/>
      <c r="G341" s="115"/>
      <c r="H341" s="115"/>
      <c r="I341" s="115"/>
      <c r="J341" s="115"/>
      <c r="K341" s="117"/>
      <c r="L341" s="118"/>
      <c r="M341" s="117"/>
      <c r="N341" s="117"/>
      <c r="O341" s="119"/>
      <c r="P341" s="119"/>
      <c r="Q341" s="119"/>
    </row>
    <row r="342" spans="1:17" ht="15.6">
      <c r="A342" s="113"/>
      <c r="B342" s="117"/>
      <c r="C342" s="117"/>
      <c r="D342" s="117"/>
      <c r="E342" s="118"/>
      <c r="F342" s="118"/>
      <c r="G342" s="115"/>
      <c r="H342" s="115"/>
      <c r="I342" s="115"/>
      <c r="J342" s="115"/>
      <c r="K342" s="117"/>
      <c r="L342" s="118"/>
      <c r="M342" s="117"/>
      <c r="N342" s="117"/>
      <c r="O342" s="119"/>
      <c r="P342" s="119"/>
      <c r="Q342" s="119"/>
    </row>
    <row r="343" spans="1:17" ht="15.6">
      <c r="A343" s="116"/>
      <c r="B343" s="117"/>
      <c r="C343" s="117"/>
      <c r="D343" s="117"/>
      <c r="E343" s="118"/>
      <c r="F343" s="118"/>
      <c r="G343" s="115"/>
      <c r="H343" s="115"/>
      <c r="I343" s="115"/>
      <c r="J343" s="115"/>
      <c r="K343" s="117"/>
      <c r="L343" s="118"/>
      <c r="M343" s="117"/>
      <c r="N343" s="117"/>
      <c r="O343" s="119"/>
      <c r="P343" s="119"/>
      <c r="Q343" s="119"/>
    </row>
    <row r="344" spans="1:17" ht="15.6">
      <c r="A344" s="113"/>
      <c r="B344" s="117"/>
      <c r="C344" s="117"/>
      <c r="D344" s="117"/>
      <c r="E344" s="118"/>
      <c r="F344" s="118"/>
      <c r="G344" s="115"/>
      <c r="H344" s="115"/>
      <c r="I344" s="115"/>
      <c r="J344" s="115"/>
      <c r="K344" s="117"/>
      <c r="L344" s="118"/>
      <c r="M344" s="117"/>
      <c r="N344" s="117"/>
      <c r="O344" s="119"/>
      <c r="P344" s="119"/>
      <c r="Q344" s="119"/>
    </row>
    <row r="345" spans="1:17" ht="15.6">
      <c r="A345" s="116"/>
      <c r="B345" s="117"/>
      <c r="C345" s="117"/>
      <c r="D345" s="117"/>
      <c r="E345" s="118"/>
      <c r="F345" s="118"/>
      <c r="G345" s="115"/>
      <c r="H345" s="115"/>
      <c r="I345" s="115"/>
      <c r="J345" s="115"/>
      <c r="K345" s="117"/>
      <c r="L345" s="118"/>
      <c r="M345" s="117"/>
      <c r="N345" s="117"/>
      <c r="O345" s="119"/>
      <c r="P345" s="119"/>
      <c r="Q345" s="119"/>
    </row>
    <row r="346" spans="1:17" ht="15.6">
      <c r="A346" s="113"/>
      <c r="B346" s="117"/>
      <c r="C346" s="117"/>
      <c r="D346" s="117"/>
      <c r="E346" s="118"/>
      <c r="F346" s="118"/>
      <c r="G346" s="115"/>
      <c r="H346" s="115"/>
      <c r="I346" s="115"/>
      <c r="J346" s="115"/>
      <c r="K346" s="117"/>
      <c r="L346" s="118"/>
      <c r="M346" s="117"/>
      <c r="N346" s="117"/>
      <c r="O346" s="119"/>
      <c r="P346" s="119"/>
      <c r="Q346" s="119"/>
    </row>
    <row r="347" spans="1:17" ht="15.6">
      <c r="A347" s="116"/>
      <c r="B347" s="117"/>
      <c r="C347" s="117"/>
      <c r="D347" s="117"/>
      <c r="E347" s="118"/>
      <c r="F347" s="118"/>
      <c r="G347" s="115"/>
      <c r="H347" s="115"/>
      <c r="I347" s="115"/>
      <c r="J347" s="115"/>
      <c r="K347" s="117"/>
      <c r="L347" s="118"/>
      <c r="M347" s="117"/>
      <c r="N347" s="117"/>
      <c r="O347" s="119"/>
      <c r="P347" s="119"/>
      <c r="Q347" s="119"/>
    </row>
    <row r="348" spans="1:17" ht="15.6">
      <c r="A348" s="113"/>
      <c r="B348" s="117"/>
      <c r="C348" s="117"/>
      <c r="D348" s="117"/>
      <c r="E348" s="118"/>
      <c r="F348" s="118"/>
      <c r="G348" s="115"/>
      <c r="H348" s="115"/>
      <c r="I348" s="115"/>
      <c r="J348" s="115"/>
      <c r="K348" s="117"/>
      <c r="L348" s="118"/>
      <c r="M348" s="117"/>
      <c r="N348" s="117"/>
      <c r="O348" s="119"/>
      <c r="P348" s="119"/>
      <c r="Q348" s="119"/>
    </row>
    <row r="349" spans="1:17" ht="15.6">
      <c r="A349" s="116"/>
      <c r="B349" s="117"/>
      <c r="C349" s="117"/>
      <c r="D349" s="117"/>
      <c r="E349" s="118"/>
      <c r="F349" s="118"/>
      <c r="G349" s="115"/>
      <c r="H349" s="115"/>
      <c r="I349" s="115"/>
      <c r="J349" s="115"/>
      <c r="K349" s="136"/>
      <c r="L349" s="118"/>
      <c r="M349" s="117"/>
      <c r="N349" s="117"/>
      <c r="O349" s="119"/>
      <c r="P349" s="119"/>
      <c r="Q349" s="119"/>
    </row>
    <row r="350" spans="1:17" ht="15.6">
      <c r="A350" s="113"/>
      <c r="B350" s="117"/>
      <c r="C350" s="117"/>
      <c r="D350" s="117"/>
      <c r="E350" s="118"/>
      <c r="F350" s="118"/>
      <c r="G350" s="115"/>
      <c r="H350" s="115"/>
      <c r="I350" s="115"/>
      <c r="J350" s="115"/>
      <c r="K350" s="117"/>
      <c r="L350" s="118"/>
      <c r="M350" s="117"/>
      <c r="N350" s="117"/>
      <c r="O350" s="119"/>
      <c r="P350" s="119"/>
      <c r="Q350" s="119"/>
    </row>
    <row r="351" spans="1:17" ht="15.6">
      <c r="A351" s="116"/>
      <c r="B351" s="117"/>
      <c r="C351" s="117"/>
      <c r="D351" s="117"/>
      <c r="E351" s="118"/>
      <c r="F351" s="118"/>
      <c r="G351" s="115"/>
      <c r="H351" s="115"/>
      <c r="I351" s="115"/>
      <c r="J351" s="115"/>
      <c r="K351" s="117"/>
      <c r="L351" s="118"/>
      <c r="M351" s="117"/>
      <c r="N351" s="117"/>
      <c r="O351" s="119"/>
      <c r="P351" s="119"/>
      <c r="Q351" s="119"/>
    </row>
    <row r="352" spans="1:17" ht="15.6">
      <c r="A352" s="113"/>
      <c r="B352" s="117"/>
      <c r="C352" s="117"/>
      <c r="D352" s="117"/>
      <c r="E352" s="118"/>
      <c r="F352" s="118"/>
      <c r="G352" s="115"/>
      <c r="H352" s="115"/>
      <c r="I352" s="115"/>
      <c r="J352" s="115"/>
      <c r="K352" s="117"/>
      <c r="L352" s="118"/>
      <c r="M352" s="117"/>
      <c r="N352" s="117"/>
      <c r="O352" s="119"/>
      <c r="P352" s="119"/>
      <c r="Q352" s="119"/>
    </row>
    <row r="353" spans="1:17" ht="15.6">
      <c r="A353" s="116"/>
      <c r="B353" s="117"/>
      <c r="C353" s="117"/>
      <c r="D353" s="117"/>
      <c r="E353" s="118"/>
      <c r="F353" s="118"/>
      <c r="G353" s="115"/>
      <c r="H353" s="115"/>
      <c r="I353" s="115"/>
      <c r="J353" s="115"/>
      <c r="K353" s="117"/>
      <c r="L353" s="118"/>
      <c r="M353" s="117"/>
      <c r="N353" s="117"/>
      <c r="O353" s="119"/>
      <c r="P353" s="119"/>
      <c r="Q353" s="119"/>
    </row>
    <row r="354" spans="1:17" ht="15.6">
      <c r="A354" s="113"/>
      <c r="B354" s="117"/>
      <c r="C354" s="117"/>
      <c r="D354" s="117"/>
      <c r="E354" s="118"/>
      <c r="F354" s="118"/>
      <c r="G354" s="115"/>
      <c r="H354" s="115"/>
      <c r="I354" s="115"/>
      <c r="J354" s="115"/>
      <c r="K354" s="117"/>
      <c r="L354" s="118"/>
      <c r="M354" s="117"/>
      <c r="N354" s="117"/>
      <c r="O354" s="119"/>
      <c r="P354" s="119"/>
      <c r="Q354" s="119"/>
    </row>
    <row r="355" spans="1:17" ht="15.6">
      <c r="A355" s="116"/>
      <c r="B355" s="117"/>
      <c r="C355" s="117"/>
      <c r="D355" s="117"/>
      <c r="E355" s="118"/>
      <c r="F355" s="118"/>
      <c r="G355" s="115"/>
      <c r="H355" s="115"/>
      <c r="I355" s="115"/>
      <c r="J355" s="115"/>
      <c r="K355" s="117"/>
      <c r="L355" s="118"/>
      <c r="M355" s="117"/>
      <c r="N355" s="117"/>
      <c r="O355" s="119"/>
      <c r="P355" s="119"/>
      <c r="Q355" s="119"/>
    </row>
    <row r="356" spans="1:17" ht="15.6">
      <c r="A356" s="113"/>
      <c r="B356" s="117"/>
      <c r="C356" s="117"/>
      <c r="D356" s="117"/>
      <c r="E356" s="118"/>
      <c r="F356" s="118"/>
      <c r="G356" s="115"/>
      <c r="H356" s="115"/>
      <c r="I356" s="115"/>
      <c r="J356" s="115"/>
      <c r="K356" s="117"/>
      <c r="L356" s="118"/>
      <c r="M356" s="117"/>
      <c r="N356" s="117"/>
      <c r="O356" s="119"/>
      <c r="P356" s="119"/>
      <c r="Q356" s="119"/>
    </row>
    <row r="357" spans="1:17" ht="15.6">
      <c r="A357" s="116"/>
      <c r="B357" s="117"/>
      <c r="C357" s="117"/>
      <c r="D357" s="117"/>
      <c r="E357" s="118"/>
      <c r="F357" s="118"/>
      <c r="G357" s="115"/>
      <c r="H357" s="115"/>
      <c r="I357" s="115"/>
      <c r="J357" s="115"/>
      <c r="K357" s="117"/>
      <c r="L357" s="118"/>
      <c r="M357" s="117"/>
      <c r="N357" s="117"/>
      <c r="O357" s="119"/>
      <c r="P357" s="119"/>
      <c r="Q357" s="119"/>
    </row>
    <row r="358" spans="1:17" ht="15.6">
      <c r="A358" s="113"/>
      <c r="B358" s="117"/>
      <c r="C358" s="117"/>
      <c r="D358" s="117"/>
      <c r="E358" s="118"/>
      <c r="F358" s="118"/>
      <c r="G358" s="115"/>
      <c r="H358" s="115"/>
      <c r="I358" s="115"/>
      <c r="J358" s="115"/>
      <c r="K358" s="117"/>
      <c r="L358" s="118"/>
      <c r="M358" s="117"/>
      <c r="N358" s="117"/>
      <c r="O358" s="119"/>
      <c r="P358" s="119"/>
      <c r="Q358" s="119"/>
    </row>
    <row r="359" spans="1:17" ht="15.6">
      <c r="A359" s="116"/>
      <c r="B359" s="117"/>
      <c r="C359" s="117"/>
      <c r="D359" s="117"/>
      <c r="E359" s="118"/>
      <c r="F359" s="118"/>
      <c r="G359" s="115"/>
      <c r="H359" s="115"/>
      <c r="I359" s="115"/>
      <c r="J359" s="115"/>
      <c r="K359" s="117"/>
      <c r="L359" s="118"/>
      <c r="M359" s="117"/>
      <c r="N359" s="117"/>
      <c r="O359" s="119"/>
      <c r="P359" s="119"/>
      <c r="Q359" s="119"/>
    </row>
    <row r="360" spans="1:17" ht="15.6">
      <c r="A360" s="113"/>
      <c r="B360" s="117"/>
      <c r="C360" s="117"/>
      <c r="D360" s="117"/>
      <c r="E360" s="118"/>
      <c r="F360" s="118"/>
      <c r="G360" s="115"/>
      <c r="H360" s="115"/>
      <c r="I360" s="115"/>
      <c r="J360" s="115"/>
      <c r="K360" s="117"/>
      <c r="L360" s="118"/>
      <c r="M360" s="117"/>
      <c r="N360" s="117"/>
      <c r="O360" s="119"/>
      <c r="P360" s="119"/>
      <c r="Q360" s="119"/>
    </row>
    <row r="361" spans="1:17" ht="15.6">
      <c r="A361" s="116"/>
      <c r="B361" s="117"/>
      <c r="C361" s="117"/>
      <c r="D361" s="117"/>
      <c r="E361" s="118"/>
      <c r="F361" s="118"/>
      <c r="G361" s="115"/>
      <c r="H361" s="115"/>
      <c r="I361" s="115"/>
      <c r="J361" s="115"/>
      <c r="K361" s="117"/>
      <c r="L361" s="118"/>
      <c r="M361" s="117"/>
      <c r="N361" s="117"/>
      <c r="O361" s="119"/>
      <c r="P361" s="119"/>
      <c r="Q361" s="119"/>
    </row>
    <row r="362" spans="1:17" ht="15.6">
      <c r="A362" s="113"/>
      <c r="B362" s="117"/>
      <c r="C362" s="117"/>
      <c r="D362" s="117"/>
      <c r="E362" s="118"/>
      <c r="F362" s="118"/>
      <c r="G362" s="115"/>
      <c r="H362" s="115"/>
      <c r="I362" s="115"/>
      <c r="J362" s="115"/>
      <c r="K362" s="117"/>
      <c r="L362" s="118"/>
      <c r="M362" s="117"/>
      <c r="N362" s="117"/>
      <c r="O362" s="119"/>
      <c r="P362" s="119"/>
      <c r="Q362" s="119"/>
    </row>
    <row r="363" spans="1:17" ht="15.6">
      <c r="A363" s="116"/>
      <c r="B363" s="117"/>
      <c r="C363" s="117"/>
      <c r="D363" s="117"/>
      <c r="E363" s="118"/>
      <c r="F363" s="118"/>
      <c r="G363" s="115"/>
      <c r="H363" s="115"/>
      <c r="I363" s="115"/>
      <c r="J363" s="115"/>
      <c r="K363" s="117"/>
      <c r="L363" s="118"/>
      <c r="M363" s="117"/>
      <c r="N363" s="117"/>
      <c r="O363" s="119"/>
      <c r="P363" s="119"/>
      <c r="Q363" s="119"/>
    </row>
    <row r="364" spans="1:17" ht="15.6">
      <c r="A364" s="113"/>
      <c r="B364" s="117"/>
      <c r="C364" s="117"/>
      <c r="D364" s="117"/>
      <c r="E364" s="118"/>
      <c r="F364" s="118"/>
      <c r="G364" s="115"/>
      <c r="H364" s="115"/>
      <c r="I364" s="115"/>
      <c r="J364" s="115"/>
      <c r="K364" s="117"/>
      <c r="L364" s="118"/>
      <c r="M364" s="117"/>
      <c r="N364" s="117"/>
      <c r="O364" s="119"/>
      <c r="P364" s="119"/>
      <c r="Q364" s="119"/>
    </row>
    <row r="365" spans="1:17" ht="15.6">
      <c r="A365" s="116"/>
      <c r="B365" s="117"/>
      <c r="C365" s="117"/>
      <c r="D365" s="117"/>
      <c r="E365" s="118"/>
      <c r="F365" s="118"/>
      <c r="G365" s="115"/>
      <c r="H365" s="115"/>
      <c r="I365" s="115"/>
      <c r="J365" s="115"/>
      <c r="K365" s="117"/>
      <c r="L365" s="118"/>
      <c r="M365" s="117"/>
      <c r="N365" s="117"/>
      <c r="O365" s="119"/>
      <c r="P365" s="119"/>
      <c r="Q365" s="119"/>
    </row>
    <row r="366" spans="1:17" ht="15.6">
      <c r="A366" s="113"/>
      <c r="B366" s="117"/>
      <c r="C366" s="117"/>
      <c r="D366" s="117"/>
      <c r="E366" s="118"/>
      <c r="F366" s="118"/>
      <c r="G366" s="115"/>
      <c r="H366" s="115"/>
      <c r="I366" s="115"/>
      <c r="J366" s="115"/>
      <c r="K366" s="117"/>
      <c r="L366" s="118"/>
      <c r="M366" s="117"/>
      <c r="N366" s="117"/>
      <c r="O366" s="119"/>
      <c r="P366" s="119"/>
      <c r="Q366" s="119"/>
    </row>
    <row r="367" spans="1:17" ht="15.6">
      <c r="A367" s="116"/>
      <c r="B367" s="117"/>
      <c r="C367" s="117"/>
      <c r="D367" s="117"/>
      <c r="E367" s="118"/>
      <c r="F367" s="118"/>
      <c r="G367" s="115"/>
      <c r="H367" s="115"/>
      <c r="I367" s="115"/>
      <c r="J367" s="115"/>
      <c r="K367" s="117"/>
      <c r="L367" s="118"/>
      <c r="M367" s="117"/>
      <c r="N367" s="117"/>
      <c r="O367" s="119"/>
      <c r="P367" s="119"/>
      <c r="Q367" s="119"/>
    </row>
    <row r="368" spans="1:17" ht="15.6">
      <c r="A368" s="113"/>
      <c r="B368" s="117"/>
      <c r="C368" s="117"/>
      <c r="D368" s="117"/>
      <c r="E368" s="118"/>
      <c r="F368" s="118"/>
      <c r="G368" s="115"/>
      <c r="H368" s="115"/>
      <c r="I368" s="115"/>
      <c r="J368" s="115"/>
      <c r="K368" s="117"/>
      <c r="L368" s="118"/>
      <c r="M368" s="117"/>
      <c r="N368" s="117"/>
      <c r="O368" s="119"/>
      <c r="P368" s="119"/>
      <c r="Q368" s="119"/>
    </row>
    <row r="369" spans="1:17" ht="15.6">
      <c r="A369" s="116"/>
      <c r="B369" s="117"/>
      <c r="C369" s="117"/>
      <c r="D369" s="117"/>
      <c r="E369" s="118"/>
      <c r="F369" s="118"/>
      <c r="G369" s="115"/>
      <c r="H369" s="115"/>
      <c r="I369" s="115"/>
      <c r="J369" s="115"/>
      <c r="K369" s="117"/>
      <c r="L369" s="118"/>
      <c r="M369" s="117"/>
      <c r="N369" s="117"/>
      <c r="O369" s="119"/>
      <c r="P369" s="119"/>
      <c r="Q369" s="119"/>
    </row>
    <row r="370" spans="1:17" ht="15.6">
      <c r="A370" s="113"/>
      <c r="B370" s="117"/>
      <c r="C370" s="117"/>
      <c r="D370" s="117"/>
      <c r="E370" s="118"/>
      <c r="F370" s="118"/>
      <c r="G370" s="115"/>
      <c r="H370" s="115"/>
      <c r="I370" s="115"/>
      <c r="J370" s="115"/>
      <c r="K370" s="117"/>
      <c r="L370" s="118"/>
      <c r="M370" s="117"/>
      <c r="N370" s="117"/>
      <c r="O370" s="119"/>
      <c r="P370" s="119"/>
      <c r="Q370" s="119"/>
    </row>
    <row r="371" spans="1:17" ht="15.6">
      <c r="A371" s="116"/>
      <c r="B371" s="117"/>
      <c r="C371" s="117"/>
      <c r="D371" s="117"/>
      <c r="E371" s="118"/>
      <c r="F371" s="118"/>
      <c r="G371" s="115"/>
      <c r="H371" s="115"/>
      <c r="I371" s="115"/>
      <c r="J371" s="115"/>
      <c r="K371" s="117"/>
      <c r="L371" s="118"/>
      <c r="M371" s="117"/>
      <c r="N371" s="117"/>
      <c r="O371" s="119"/>
      <c r="P371" s="119"/>
      <c r="Q371" s="119"/>
    </row>
    <row r="372" spans="1:17" ht="15.6">
      <c r="A372" s="113"/>
      <c r="B372" s="117"/>
      <c r="C372" s="117"/>
      <c r="D372" s="117"/>
      <c r="E372" s="118"/>
      <c r="F372" s="118"/>
      <c r="G372" s="115"/>
      <c r="H372" s="115"/>
      <c r="I372" s="115"/>
      <c r="J372" s="115"/>
      <c r="K372" s="117"/>
      <c r="L372" s="118"/>
      <c r="M372" s="117"/>
      <c r="N372" s="117"/>
      <c r="O372" s="119"/>
      <c r="P372" s="119"/>
      <c r="Q372" s="119"/>
    </row>
    <row r="373" spans="1:17" ht="15.6">
      <c r="A373" s="116"/>
      <c r="B373" s="117"/>
      <c r="C373" s="117"/>
      <c r="D373" s="117"/>
      <c r="E373" s="118"/>
      <c r="F373" s="118"/>
      <c r="G373" s="115"/>
      <c r="H373" s="115"/>
      <c r="I373" s="115"/>
      <c r="J373" s="115"/>
      <c r="K373" s="117"/>
      <c r="L373" s="118"/>
      <c r="M373" s="117"/>
      <c r="N373" s="117"/>
      <c r="O373" s="119"/>
      <c r="P373" s="119"/>
      <c r="Q373" s="119"/>
    </row>
    <row r="374" spans="1:17" ht="15.6">
      <c r="A374" s="113"/>
      <c r="B374" s="117"/>
      <c r="C374" s="117"/>
      <c r="D374" s="117"/>
      <c r="E374" s="118"/>
      <c r="F374" s="118"/>
      <c r="G374" s="115"/>
      <c r="H374" s="115"/>
      <c r="I374" s="115"/>
      <c r="J374" s="115"/>
      <c r="K374" s="117"/>
      <c r="L374" s="118"/>
      <c r="M374" s="117"/>
      <c r="N374" s="117"/>
      <c r="O374" s="119"/>
      <c r="P374" s="119"/>
      <c r="Q374" s="119"/>
    </row>
    <row r="375" spans="1:17" ht="15.6">
      <c r="A375" s="116"/>
      <c r="B375" s="117"/>
      <c r="C375" s="117"/>
      <c r="D375" s="117"/>
      <c r="E375" s="118"/>
      <c r="F375" s="118"/>
      <c r="G375" s="115"/>
      <c r="H375" s="115"/>
      <c r="I375" s="115"/>
      <c r="J375" s="115"/>
      <c r="K375" s="117"/>
      <c r="L375" s="118"/>
      <c r="M375" s="117"/>
      <c r="N375" s="117"/>
      <c r="O375" s="119"/>
      <c r="P375" s="119"/>
      <c r="Q375" s="119"/>
    </row>
    <row r="376" spans="1:17" ht="15.6">
      <c r="A376" s="113"/>
      <c r="B376" s="117"/>
      <c r="C376" s="117"/>
      <c r="D376" s="117"/>
      <c r="E376" s="118"/>
      <c r="F376" s="118"/>
      <c r="G376" s="115"/>
      <c r="H376" s="115"/>
      <c r="I376" s="115"/>
      <c r="J376" s="115"/>
      <c r="K376" s="117"/>
      <c r="L376" s="118"/>
      <c r="M376" s="117"/>
      <c r="N376" s="117"/>
      <c r="O376" s="119"/>
      <c r="P376" s="119"/>
      <c r="Q376" s="119"/>
    </row>
    <row r="377" spans="1:17" ht="15.6">
      <c r="A377" s="116"/>
      <c r="B377" s="117"/>
      <c r="C377" s="117"/>
      <c r="D377" s="117"/>
      <c r="E377" s="118"/>
      <c r="F377" s="118"/>
      <c r="G377" s="115"/>
      <c r="H377" s="115"/>
      <c r="I377" s="115"/>
      <c r="J377" s="115"/>
      <c r="K377" s="117"/>
      <c r="L377" s="118"/>
      <c r="M377" s="117"/>
      <c r="N377" s="117"/>
      <c r="O377" s="119"/>
      <c r="P377" s="119"/>
      <c r="Q377" s="119"/>
    </row>
    <row r="378" spans="1:17" ht="15.6">
      <c r="A378" s="113"/>
      <c r="B378" s="117"/>
      <c r="C378" s="117"/>
      <c r="D378" s="117"/>
      <c r="E378" s="118"/>
      <c r="F378" s="118"/>
      <c r="G378" s="115"/>
      <c r="H378" s="115"/>
      <c r="I378" s="115"/>
      <c r="J378" s="115"/>
      <c r="K378" s="117"/>
      <c r="L378" s="118"/>
      <c r="M378" s="117"/>
      <c r="N378" s="117"/>
      <c r="O378" s="119"/>
      <c r="P378" s="119"/>
      <c r="Q378" s="119"/>
    </row>
    <row r="379" spans="1:17" ht="15.6">
      <c r="A379" s="116"/>
      <c r="B379" s="117"/>
      <c r="C379" s="117"/>
      <c r="D379" s="117"/>
      <c r="E379" s="118"/>
      <c r="F379" s="118"/>
      <c r="G379" s="115"/>
      <c r="H379" s="115"/>
      <c r="I379" s="115"/>
      <c r="J379" s="115"/>
      <c r="K379" s="137"/>
      <c r="L379" s="118"/>
      <c r="M379" s="117"/>
      <c r="N379" s="117"/>
      <c r="O379" s="119"/>
      <c r="P379" s="119"/>
      <c r="Q379" s="119"/>
    </row>
    <row r="380" spans="1:17" ht="15.6">
      <c r="A380" s="113"/>
      <c r="B380" s="117"/>
      <c r="C380" s="117"/>
      <c r="D380" s="117"/>
      <c r="E380" s="118"/>
      <c r="F380" s="118"/>
      <c r="G380" s="115"/>
      <c r="H380" s="115"/>
      <c r="I380" s="115"/>
      <c r="J380" s="115"/>
      <c r="K380" s="117"/>
      <c r="L380" s="118"/>
      <c r="M380" s="117"/>
      <c r="N380" s="117"/>
      <c r="O380" s="119"/>
      <c r="P380" s="119"/>
      <c r="Q380" s="119"/>
    </row>
    <row r="381" spans="1:17" ht="15.6">
      <c r="A381" s="116"/>
      <c r="B381" s="117"/>
      <c r="C381" s="117"/>
      <c r="D381" s="117"/>
      <c r="E381" s="118"/>
      <c r="F381" s="118"/>
      <c r="G381" s="115"/>
      <c r="H381" s="115"/>
      <c r="I381" s="115"/>
      <c r="J381" s="115"/>
      <c r="K381" s="117"/>
      <c r="L381" s="118"/>
      <c r="M381" s="117"/>
      <c r="N381" s="117"/>
      <c r="O381" s="119"/>
      <c r="P381" s="119"/>
      <c r="Q381" s="119"/>
    </row>
    <row r="382" spans="1:17" ht="15.6">
      <c r="A382" s="113"/>
      <c r="B382" s="117"/>
      <c r="C382" s="117"/>
      <c r="D382" s="117"/>
      <c r="E382" s="118"/>
      <c r="F382" s="118"/>
      <c r="G382" s="115"/>
      <c r="H382" s="115"/>
      <c r="I382" s="115"/>
      <c r="J382" s="115"/>
      <c r="K382" s="137"/>
      <c r="L382" s="118"/>
      <c r="M382" s="117"/>
      <c r="N382" s="117"/>
      <c r="O382" s="119"/>
      <c r="P382" s="119"/>
      <c r="Q382" s="119"/>
    </row>
    <row r="383" spans="1:17" ht="15.6">
      <c r="A383" s="116"/>
      <c r="B383" s="117"/>
      <c r="C383" s="117"/>
      <c r="D383" s="117"/>
      <c r="E383" s="118"/>
      <c r="F383" s="118"/>
      <c r="G383" s="115"/>
      <c r="H383" s="115"/>
      <c r="I383" s="115"/>
      <c r="J383" s="115"/>
      <c r="K383" s="117"/>
      <c r="L383" s="118"/>
      <c r="M383" s="117"/>
      <c r="N383" s="117"/>
      <c r="O383" s="119"/>
      <c r="P383" s="119"/>
      <c r="Q383" s="119"/>
    </row>
    <row r="384" spans="1:17" ht="15.6">
      <c r="A384" s="113"/>
      <c r="B384" s="117"/>
      <c r="C384" s="117"/>
      <c r="D384" s="137"/>
      <c r="E384" s="118"/>
      <c r="F384" s="118"/>
      <c r="G384" s="138"/>
      <c r="H384" s="138"/>
      <c r="I384" s="138"/>
      <c r="J384" s="138"/>
      <c r="K384" s="137"/>
      <c r="L384" s="106"/>
    </row>
    <row r="385" spans="1:14" ht="15.6">
      <c r="A385" s="116"/>
      <c r="B385" s="117"/>
      <c r="C385" s="117"/>
      <c r="D385" s="137"/>
      <c r="E385" s="118"/>
      <c r="F385" s="118"/>
      <c r="G385" s="138"/>
      <c r="H385" s="138"/>
      <c r="I385" s="138"/>
      <c r="J385" s="138"/>
      <c r="K385" s="137"/>
      <c r="L385" s="106"/>
    </row>
    <row r="386" spans="1:14" ht="15.6">
      <c r="A386" s="113"/>
      <c r="B386" s="117"/>
      <c r="C386" s="117"/>
      <c r="D386" s="137"/>
      <c r="E386" s="118"/>
      <c r="F386" s="118"/>
      <c r="G386" s="138"/>
      <c r="H386" s="138"/>
      <c r="I386" s="138"/>
      <c r="J386" s="138"/>
      <c r="K386" s="137"/>
      <c r="L386" s="106"/>
      <c r="N386" s="137"/>
    </row>
    <row r="387" spans="1:14" ht="15.6">
      <c r="A387" s="116"/>
      <c r="B387" s="117"/>
      <c r="C387" s="117"/>
      <c r="D387" s="137"/>
      <c r="E387" s="118"/>
      <c r="F387" s="118"/>
      <c r="G387" s="138"/>
      <c r="H387" s="138"/>
      <c r="I387" s="138"/>
      <c r="J387" s="138"/>
      <c r="K387" s="137"/>
      <c r="L387" s="106"/>
    </row>
    <row r="388" spans="1:14" ht="15.6">
      <c r="A388" s="113"/>
      <c r="B388" s="117"/>
      <c r="C388" s="117"/>
      <c r="D388" s="137"/>
      <c r="E388" s="118"/>
      <c r="F388" s="118"/>
      <c r="G388" s="138"/>
      <c r="H388" s="138"/>
      <c r="I388" s="138"/>
      <c r="J388" s="138"/>
      <c r="K388" s="137"/>
      <c r="L388" s="106"/>
    </row>
    <row r="389" spans="1:14" ht="15.6">
      <c r="A389" s="116"/>
      <c r="B389" s="117"/>
      <c r="C389" s="117"/>
      <c r="D389" s="137"/>
      <c r="E389" s="118"/>
      <c r="F389" s="118"/>
      <c r="G389" s="138"/>
      <c r="H389" s="138"/>
      <c r="I389" s="138"/>
      <c r="J389" s="138"/>
      <c r="K389" s="137"/>
      <c r="L389" s="106"/>
      <c r="N389" s="137"/>
    </row>
    <row r="390" spans="1:14" ht="15.6">
      <c r="A390" s="113"/>
      <c r="B390" s="117"/>
      <c r="C390" s="117"/>
      <c r="D390" s="137"/>
      <c r="E390" s="118"/>
      <c r="F390" s="118"/>
      <c r="G390" s="138"/>
      <c r="H390" s="138"/>
      <c r="I390" s="138"/>
      <c r="J390" s="138"/>
      <c r="K390" s="137"/>
      <c r="L390" s="106"/>
      <c r="N390" s="137"/>
    </row>
    <row r="391" spans="1:14" ht="15.6">
      <c r="A391" s="116"/>
      <c r="B391" s="117"/>
      <c r="C391" s="117"/>
      <c r="D391" s="137"/>
      <c r="E391" s="118"/>
      <c r="F391" s="118"/>
      <c r="G391" s="138"/>
      <c r="H391" s="138"/>
      <c r="I391" s="138"/>
      <c r="J391" s="138"/>
      <c r="K391" s="137"/>
      <c r="L391" s="106"/>
      <c r="N391" s="137"/>
    </row>
    <row r="392" spans="1:14" ht="15.6">
      <c r="A392" s="113"/>
      <c r="B392" s="117"/>
      <c r="C392" s="117"/>
      <c r="D392" s="137"/>
      <c r="E392" s="118"/>
      <c r="F392" s="118"/>
      <c r="G392" s="138"/>
      <c r="H392" s="138"/>
      <c r="I392" s="138"/>
      <c r="J392" s="138"/>
      <c r="K392" s="137"/>
      <c r="L392" s="106"/>
    </row>
    <row r="393" spans="1:14" ht="15.6">
      <c r="A393" s="116"/>
      <c r="B393" s="117"/>
      <c r="C393" s="117"/>
      <c r="D393" s="137"/>
      <c r="E393" s="118"/>
      <c r="F393" s="118"/>
      <c r="G393" s="138"/>
      <c r="H393" s="138"/>
      <c r="I393" s="138"/>
      <c r="J393" s="138"/>
      <c r="K393" s="137"/>
      <c r="L393" s="106"/>
      <c r="N393" s="137"/>
    </row>
    <row r="394" spans="1:14" ht="15.6">
      <c r="A394" s="113"/>
      <c r="B394" s="117"/>
      <c r="C394" s="117"/>
      <c r="D394" s="137"/>
      <c r="E394" s="118"/>
      <c r="F394" s="118"/>
      <c r="G394" s="138"/>
      <c r="H394" s="138"/>
      <c r="I394" s="138"/>
      <c r="J394" s="138"/>
      <c r="K394" s="137"/>
      <c r="L394" s="106"/>
      <c r="N394" s="137"/>
    </row>
    <row r="395" spans="1:14" ht="15.6">
      <c r="A395" s="116"/>
      <c r="B395" s="117"/>
      <c r="C395" s="117"/>
      <c r="D395" s="137"/>
      <c r="E395" s="118"/>
      <c r="F395" s="118"/>
      <c r="G395" s="138"/>
      <c r="H395" s="138"/>
      <c r="I395" s="138"/>
      <c r="J395" s="138"/>
      <c r="K395" s="137"/>
      <c r="L395" s="106"/>
    </row>
    <row r="396" spans="1:14" ht="15.6">
      <c r="A396" s="113"/>
      <c r="B396" s="117"/>
      <c r="C396" s="117"/>
      <c r="D396" s="137"/>
      <c r="E396" s="118"/>
      <c r="F396" s="118"/>
      <c r="G396" s="138"/>
      <c r="H396" s="138"/>
      <c r="I396" s="138"/>
      <c r="J396" s="138"/>
      <c r="K396" s="137"/>
      <c r="L396" s="106"/>
    </row>
    <row r="397" spans="1:14" ht="15.6">
      <c r="A397" s="116"/>
      <c r="B397" s="117"/>
      <c r="C397" s="117"/>
      <c r="D397" s="137"/>
      <c r="E397" s="118"/>
      <c r="F397" s="118"/>
      <c r="G397" s="138"/>
      <c r="H397" s="138"/>
      <c r="I397" s="138"/>
      <c r="J397" s="138"/>
      <c r="K397" s="137"/>
      <c r="L397" s="106"/>
    </row>
    <row r="398" spans="1:14" ht="15.6">
      <c r="A398" s="113"/>
      <c r="B398" s="117"/>
      <c r="C398" s="117"/>
      <c r="D398" s="137"/>
      <c r="E398" s="118"/>
      <c r="F398" s="118"/>
      <c r="G398" s="138"/>
      <c r="H398" s="138"/>
      <c r="I398" s="138"/>
      <c r="J398" s="138"/>
      <c r="K398" s="137"/>
      <c r="L398" s="106"/>
      <c r="N398" s="137"/>
    </row>
    <row r="399" spans="1:14" ht="15.6">
      <c r="A399" s="116"/>
      <c r="B399" s="117"/>
      <c r="C399" s="117"/>
      <c r="D399" s="137"/>
      <c r="E399" s="118"/>
      <c r="F399" s="118"/>
      <c r="G399" s="138"/>
      <c r="H399" s="138"/>
      <c r="I399" s="138"/>
      <c r="J399" s="138"/>
      <c r="K399" s="137"/>
      <c r="L399" s="106"/>
      <c r="N399" s="137"/>
    </row>
    <row r="400" spans="1:14" ht="15.6">
      <c r="A400" s="113"/>
      <c r="B400" s="117"/>
      <c r="C400" s="117"/>
      <c r="D400" s="137"/>
      <c r="E400" s="118"/>
      <c r="F400" s="118"/>
      <c r="G400" s="138"/>
      <c r="H400" s="138"/>
      <c r="I400" s="138"/>
      <c r="J400" s="138"/>
      <c r="K400" s="137"/>
      <c r="L400" s="106"/>
      <c r="N400" s="137"/>
    </row>
    <row r="401" spans="1:14" ht="15.6">
      <c r="A401" s="116"/>
      <c r="B401" s="117"/>
      <c r="C401" s="117"/>
      <c r="D401" s="137"/>
      <c r="E401" s="118"/>
      <c r="F401" s="118"/>
      <c r="G401" s="138"/>
      <c r="H401" s="138"/>
      <c r="I401" s="138"/>
      <c r="J401" s="138"/>
      <c r="K401" s="137"/>
      <c r="L401" s="106"/>
    </row>
    <row r="402" spans="1:14" ht="15.6">
      <c r="A402" s="113"/>
      <c r="B402" s="117"/>
      <c r="C402" s="117"/>
      <c r="D402" s="137"/>
      <c r="E402" s="118"/>
      <c r="F402" s="118"/>
      <c r="G402" s="138"/>
      <c r="H402" s="138"/>
      <c r="I402" s="138"/>
      <c r="J402" s="138"/>
      <c r="K402" s="137"/>
      <c r="L402" s="106"/>
      <c r="N402" s="137"/>
    </row>
    <row r="403" spans="1:14" ht="15.6">
      <c r="A403" s="116"/>
      <c r="B403" s="117"/>
      <c r="C403" s="117"/>
      <c r="D403" s="137"/>
      <c r="E403" s="118"/>
      <c r="F403" s="118"/>
      <c r="G403" s="138"/>
      <c r="H403" s="138"/>
      <c r="I403" s="138"/>
      <c r="J403" s="138"/>
      <c r="K403" s="137"/>
      <c r="L403" s="106"/>
    </row>
    <row r="404" spans="1:14" ht="15.6">
      <c r="A404" s="113"/>
      <c r="B404" s="117"/>
      <c r="C404" s="117"/>
      <c r="D404" s="137"/>
      <c r="E404" s="118"/>
      <c r="F404" s="118"/>
      <c r="G404" s="138"/>
      <c r="H404" s="138"/>
      <c r="I404" s="138"/>
      <c r="J404" s="138"/>
      <c r="K404" s="137"/>
      <c r="L404" s="106"/>
      <c r="N404" s="137"/>
    </row>
    <row r="405" spans="1:14" ht="15.6">
      <c r="A405" s="116"/>
      <c r="B405" s="117"/>
      <c r="C405" s="117"/>
      <c r="D405" s="137"/>
      <c r="E405" s="118"/>
      <c r="F405" s="118"/>
      <c r="G405" s="138"/>
      <c r="H405" s="138"/>
      <c r="I405" s="138"/>
      <c r="J405" s="138"/>
      <c r="K405" s="137"/>
      <c r="L405" s="106"/>
    </row>
    <row r="406" spans="1:14" ht="15.6">
      <c r="A406" s="113"/>
      <c r="B406" s="117"/>
      <c r="C406" s="117"/>
      <c r="D406" s="137"/>
      <c r="E406" s="118"/>
      <c r="F406" s="118"/>
      <c r="G406" s="138"/>
      <c r="H406" s="138"/>
      <c r="I406" s="138"/>
      <c r="J406" s="138"/>
      <c r="K406" s="137"/>
      <c r="L406" s="106"/>
    </row>
    <row r="407" spans="1:14" ht="15.6">
      <c r="A407" s="116"/>
      <c r="B407" s="117"/>
      <c r="C407" s="117"/>
      <c r="D407" s="137"/>
      <c r="E407" s="118"/>
      <c r="F407" s="118"/>
      <c r="G407" s="138"/>
      <c r="H407" s="138"/>
      <c r="I407" s="138"/>
      <c r="J407" s="138"/>
      <c r="K407" s="137"/>
      <c r="L407" s="106"/>
    </row>
    <row r="408" spans="1:14" ht="15.6">
      <c r="A408" s="113"/>
      <c r="B408" s="117"/>
      <c r="C408" s="117"/>
      <c r="D408" s="137"/>
      <c r="E408" s="118"/>
      <c r="F408" s="118"/>
      <c r="G408" s="138"/>
      <c r="H408" s="138"/>
      <c r="I408" s="138"/>
      <c r="J408" s="138"/>
      <c r="K408" s="137"/>
      <c r="L408" s="106"/>
    </row>
    <row r="409" spans="1:14" ht="15.6">
      <c r="A409" s="116"/>
      <c r="B409" s="117"/>
      <c r="C409" s="117"/>
      <c r="D409" s="137"/>
      <c r="E409" s="118"/>
      <c r="F409" s="118"/>
      <c r="G409" s="138"/>
      <c r="H409" s="138"/>
      <c r="I409" s="138"/>
      <c r="J409" s="138"/>
      <c r="K409" s="137"/>
      <c r="L409" s="106"/>
    </row>
    <row r="410" spans="1:14" ht="15.6">
      <c r="A410" s="113"/>
      <c r="B410" s="117"/>
      <c r="C410" s="117"/>
      <c r="D410" s="137"/>
      <c r="E410" s="118"/>
      <c r="F410" s="118"/>
      <c r="G410" s="138"/>
      <c r="H410" s="138"/>
      <c r="I410" s="138"/>
      <c r="J410" s="138"/>
      <c r="K410" s="137"/>
      <c r="L410" s="106"/>
    </row>
    <row r="411" spans="1:14" ht="15.6">
      <c r="A411" s="116"/>
      <c r="B411" s="117"/>
      <c r="C411" s="117"/>
      <c r="D411" s="137"/>
      <c r="E411" s="118"/>
      <c r="F411" s="118"/>
      <c r="G411" s="138"/>
      <c r="H411" s="138"/>
      <c r="I411" s="138"/>
      <c r="J411" s="138"/>
      <c r="K411" s="137"/>
      <c r="L411" s="106"/>
    </row>
    <row r="412" spans="1:14" ht="15.6">
      <c r="A412" s="113"/>
      <c r="B412" s="117"/>
      <c r="C412" s="117"/>
      <c r="D412" s="137"/>
      <c r="E412" s="118"/>
      <c r="F412" s="118"/>
      <c r="G412" s="138"/>
      <c r="H412" s="138"/>
      <c r="I412" s="138"/>
      <c r="J412" s="138"/>
      <c r="K412" s="137"/>
      <c r="L412" s="106"/>
      <c r="N412" s="137"/>
    </row>
    <row r="413" spans="1:14" ht="15.6">
      <c r="A413" s="116"/>
      <c r="B413" s="117"/>
      <c r="C413" s="117"/>
      <c r="D413" s="137"/>
      <c r="E413" s="118"/>
      <c r="F413" s="118"/>
      <c r="G413" s="138"/>
      <c r="H413" s="138"/>
      <c r="I413" s="138"/>
      <c r="J413" s="138"/>
      <c r="K413" s="137"/>
      <c r="L413" s="106"/>
    </row>
    <row r="414" spans="1:14" ht="15.6">
      <c r="A414" s="113"/>
      <c r="B414" s="117"/>
      <c r="C414" s="117"/>
      <c r="D414" s="137"/>
      <c r="E414" s="118"/>
      <c r="F414" s="118"/>
      <c r="G414" s="138"/>
      <c r="H414" s="138"/>
      <c r="I414" s="138"/>
      <c r="J414" s="138"/>
      <c r="K414" s="137"/>
      <c r="L414" s="106"/>
      <c r="N414" s="137"/>
    </row>
    <row r="415" spans="1:14" ht="15.6">
      <c r="A415" s="116"/>
      <c r="B415" s="117"/>
      <c r="C415" s="117"/>
      <c r="D415" s="137"/>
      <c r="E415" s="118"/>
      <c r="F415" s="118"/>
      <c r="G415" s="138"/>
      <c r="H415" s="138"/>
      <c r="I415" s="138"/>
      <c r="J415" s="138"/>
      <c r="K415" s="137"/>
      <c r="L415" s="106"/>
    </row>
    <row r="416" spans="1:14" ht="15.6">
      <c r="A416" s="113"/>
      <c r="B416" s="117"/>
      <c r="C416" s="117"/>
      <c r="D416" s="137"/>
      <c r="E416" s="118"/>
      <c r="F416" s="118"/>
      <c r="G416" s="138"/>
      <c r="H416" s="138"/>
      <c r="I416" s="138"/>
      <c r="J416" s="138"/>
      <c r="K416" s="137"/>
      <c r="L416" s="106"/>
    </row>
    <row r="417" spans="1:14" ht="15.6">
      <c r="A417" s="116"/>
      <c r="B417" s="117"/>
      <c r="C417" s="117"/>
      <c r="D417" s="137"/>
      <c r="E417" s="118"/>
      <c r="F417" s="118"/>
      <c r="G417" s="138"/>
      <c r="H417" s="138"/>
      <c r="I417" s="138"/>
      <c r="J417" s="138"/>
      <c r="K417" s="137"/>
      <c r="L417" s="106"/>
      <c r="N417" s="137"/>
    </row>
    <row r="418" spans="1:14" ht="15.6">
      <c r="A418" s="113"/>
      <c r="B418" s="117"/>
      <c r="C418" s="117"/>
      <c r="D418" s="137"/>
      <c r="E418" s="118"/>
      <c r="F418" s="118"/>
      <c r="G418" s="138"/>
      <c r="H418" s="138"/>
      <c r="I418" s="138"/>
      <c r="J418" s="138"/>
      <c r="K418" s="137"/>
      <c r="L418" s="106"/>
    </row>
    <row r="419" spans="1:14" ht="15.6">
      <c r="A419" s="116"/>
      <c r="B419" s="117"/>
      <c r="C419" s="117"/>
      <c r="D419" s="141"/>
      <c r="E419" s="118"/>
      <c r="F419" s="118"/>
      <c r="G419" s="138"/>
      <c r="H419" s="138"/>
      <c r="I419" s="138"/>
      <c r="J419" s="138"/>
      <c r="K419" s="142"/>
      <c r="L419" s="106"/>
      <c r="N419" s="137"/>
    </row>
    <row r="420" spans="1:14" ht="15.6">
      <c r="A420" s="113"/>
      <c r="B420" s="117"/>
      <c r="C420" s="117"/>
      <c r="D420" s="117"/>
      <c r="E420" s="118"/>
      <c r="F420" s="118"/>
      <c r="G420" s="138"/>
      <c r="H420" s="138"/>
      <c r="I420" s="138"/>
      <c r="J420" s="138"/>
      <c r="K420" s="137"/>
      <c r="L420" s="106"/>
    </row>
    <row r="421" spans="1:14" ht="15.6">
      <c r="A421" s="116"/>
      <c r="B421" s="117"/>
      <c r="C421" s="117"/>
      <c r="D421" s="117"/>
      <c r="E421" s="118"/>
      <c r="F421" s="118"/>
      <c r="G421" s="138"/>
      <c r="H421" s="138"/>
      <c r="I421" s="138"/>
      <c r="J421" s="138"/>
      <c r="K421" s="137"/>
      <c r="L421" s="106"/>
    </row>
    <row r="422" spans="1:14" ht="15.6">
      <c r="A422" s="113"/>
      <c r="B422" s="117"/>
      <c r="C422" s="117"/>
      <c r="D422" s="117"/>
      <c r="E422" s="118"/>
      <c r="F422" s="118"/>
      <c r="G422" s="138"/>
      <c r="H422" s="138"/>
      <c r="I422" s="138"/>
      <c r="J422" s="138"/>
      <c r="K422" s="137"/>
      <c r="L422" s="106"/>
      <c r="N422" s="137"/>
    </row>
    <row r="423" spans="1:14" ht="15.6">
      <c r="A423" s="116"/>
      <c r="B423" s="117"/>
      <c r="C423" s="117"/>
      <c r="D423" s="117"/>
      <c r="E423" s="118"/>
      <c r="F423" s="118"/>
      <c r="G423" s="138"/>
      <c r="H423" s="138"/>
      <c r="I423" s="138"/>
      <c r="J423" s="138"/>
      <c r="K423" s="137"/>
      <c r="L423" s="106"/>
    </row>
    <row r="424" spans="1:14" ht="15.6">
      <c r="A424" s="113"/>
      <c r="B424" s="117"/>
      <c r="C424" s="117"/>
      <c r="D424" s="117"/>
      <c r="E424" s="118"/>
      <c r="F424" s="118"/>
      <c r="G424" s="138"/>
      <c r="H424" s="138"/>
      <c r="I424" s="138"/>
      <c r="J424" s="138"/>
      <c r="K424" s="137"/>
      <c r="L424" s="106"/>
    </row>
    <row r="425" spans="1:14" ht="15.6">
      <c r="A425" s="116"/>
      <c r="B425" s="117"/>
      <c r="C425" s="117"/>
      <c r="D425" s="117"/>
      <c r="E425" s="118"/>
      <c r="F425" s="118"/>
      <c r="G425" s="138"/>
      <c r="H425" s="138"/>
      <c r="I425" s="138"/>
      <c r="J425" s="138"/>
      <c r="K425" s="137"/>
      <c r="L425" s="106"/>
    </row>
    <row r="426" spans="1:14" ht="15.6">
      <c r="A426" s="113"/>
      <c r="B426" s="117"/>
      <c r="C426" s="117"/>
      <c r="D426" s="117"/>
      <c r="E426" s="118"/>
      <c r="F426" s="118"/>
      <c r="G426" s="138"/>
      <c r="H426" s="138"/>
      <c r="I426" s="138"/>
      <c r="J426" s="138"/>
      <c r="K426" s="137"/>
      <c r="L426" s="106"/>
    </row>
    <row r="427" spans="1:14" ht="15.6">
      <c r="A427" s="116"/>
      <c r="B427" s="117"/>
      <c r="C427" s="117"/>
      <c r="D427" s="117"/>
      <c r="E427" s="118"/>
      <c r="F427" s="118"/>
      <c r="G427" s="138"/>
      <c r="H427" s="138"/>
      <c r="I427" s="138"/>
      <c r="J427" s="138"/>
      <c r="K427" s="137"/>
      <c r="L427" s="106"/>
    </row>
    <row r="428" spans="1:14" ht="15.6">
      <c r="A428" s="113"/>
      <c r="B428" s="117"/>
      <c r="C428" s="117"/>
      <c r="D428" s="141"/>
      <c r="E428" s="118"/>
      <c r="F428" s="118"/>
      <c r="G428" s="138"/>
      <c r="H428" s="138"/>
      <c r="I428" s="138"/>
      <c r="J428" s="138"/>
      <c r="K428" s="137"/>
      <c r="L428" s="106"/>
      <c r="N428" s="137"/>
    </row>
    <row r="429" spans="1:14" ht="15.6">
      <c r="A429" s="116"/>
      <c r="B429" s="117"/>
      <c r="C429" s="117"/>
      <c r="D429" s="141"/>
      <c r="E429" s="118"/>
      <c r="F429" s="118"/>
      <c r="G429" s="138"/>
      <c r="H429" s="138"/>
      <c r="I429" s="138"/>
      <c r="J429" s="138"/>
      <c r="K429" s="137"/>
      <c r="L429" s="106"/>
      <c r="N429" s="137"/>
    </row>
    <row r="430" spans="1:14" ht="15.6">
      <c r="A430" s="113"/>
      <c r="B430" s="117"/>
      <c r="C430" s="117"/>
      <c r="D430" s="117"/>
      <c r="E430" s="118"/>
      <c r="F430" s="118"/>
      <c r="G430" s="138"/>
      <c r="H430" s="138"/>
      <c r="I430" s="138"/>
      <c r="J430" s="138"/>
      <c r="K430" s="137"/>
      <c r="L430" s="106"/>
    </row>
    <row r="431" spans="1:14" ht="15.6">
      <c r="A431" s="116"/>
      <c r="B431" s="117"/>
      <c r="C431" s="117"/>
      <c r="D431" s="141"/>
      <c r="E431" s="118"/>
      <c r="F431" s="118"/>
      <c r="G431" s="138"/>
      <c r="H431" s="138"/>
      <c r="I431" s="138"/>
      <c r="J431" s="138"/>
      <c r="K431" s="137"/>
      <c r="L431" s="106"/>
    </row>
    <row r="432" spans="1:14" ht="15.6">
      <c r="A432" s="113"/>
      <c r="B432" s="117"/>
      <c r="C432" s="117"/>
      <c r="D432" s="117"/>
      <c r="E432" s="118"/>
      <c r="F432" s="118"/>
      <c r="G432" s="138"/>
      <c r="H432" s="138"/>
      <c r="I432" s="138"/>
      <c r="J432" s="138"/>
      <c r="K432" s="137"/>
      <c r="L432" s="106"/>
      <c r="N432" s="117"/>
    </row>
    <row r="433" spans="1:14" ht="15.6">
      <c r="A433" s="116"/>
      <c r="B433" s="117"/>
      <c r="C433" s="117"/>
      <c r="D433" s="117"/>
      <c r="E433" s="118"/>
      <c r="F433" s="118"/>
      <c r="G433" s="138"/>
      <c r="H433" s="138"/>
      <c r="I433" s="138"/>
      <c r="J433" s="138"/>
      <c r="K433" s="137"/>
      <c r="L433" s="106"/>
    </row>
    <row r="434" spans="1:14" ht="15.6">
      <c r="A434" s="113"/>
      <c r="B434" s="117"/>
      <c r="C434" s="117"/>
      <c r="D434" s="117"/>
      <c r="E434" s="118"/>
      <c r="F434" s="118"/>
      <c r="G434" s="138"/>
      <c r="H434" s="138"/>
      <c r="I434" s="138"/>
      <c r="J434" s="138"/>
      <c r="K434" s="137"/>
      <c r="L434" s="106"/>
      <c r="N434" s="137"/>
    </row>
    <row r="435" spans="1:14" ht="15.6">
      <c r="A435" s="116"/>
      <c r="B435" s="117"/>
      <c r="C435" s="117"/>
      <c r="D435" s="117"/>
      <c r="E435" s="118"/>
      <c r="F435" s="118"/>
      <c r="G435" s="138"/>
      <c r="H435" s="138"/>
      <c r="I435" s="138"/>
      <c r="J435" s="138"/>
      <c r="K435" s="137"/>
      <c r="L435" s="106"/>
    </row>
    <row r="436" spans="1:14" ht="15.6">
      <c r="A436" s="113"/>
      <c r="B436" s="117"/>
      <c r="C436" s="117"/>
      <c r="D436" s="117"/>
      <c r="E436" s="118"/>
      <c r="F436" s="118"/>
      <c r="G436" s="138"/>
      <c r="H436" s="138"/>
      <c r="I436" s="138"/>
      <c r="J436" s="138"/>
      <c r="K436" s="137"/>
      <c r="L436" s="106"/>
    </row>
    <row r="437" spans="1:14" ht="15.6">
      <c r="A437" s="116"/>
      <c r="B437" s="117"/>
      <c r="C437" s="117"/>
      <c r="D437" s="117"/>
      <c r="E437" s="118"/>
      <c r="F437" s="118"/>
      <c r="G437" s="138"/>
      <c r="H437" s="138"/>
      <c r="I437" s="138"/>
      <c r="J437" s="138"/>
      <c r="K437" s="137"/>
      <c r="L437" s="106"/>
    </row>
    <row r="438" spans="1:14" ht="15.6">
      <c r="A438" s="113"/>
      <c r="B438" s="117"/>
      <c r="C438" s="117"/>
      <c r="D438" s="117"/>
      <c r="E438" s="118"/>
      <c r="F438" s="118"/>
      <c r="G438" s="138"/>
      <c r="H438" s="138"/>
      <c r="I438" s="138"/>
      <c r="J438" s="138"/>
      <c r="K438" s="137"/>
      <c r="L438" s="106"/>
    </row>
    <row r="439" spans="1:14" ht="15.6">
      <c r="A439" s="116"/>
      <c r="B439" s="117"/>
      <c r="C439" s="117"/>
      <c r="D439" s="117"/>
      <c r="E439" s="118"/>
      <c r="F439" s="118"/>
      <c r="G439" s="138"/>
      <c r="H439" s="138"/>
      <c r="I439" s="138"/>
      <c r="J439" s="138"/>
      <c r="K439" s="137"/>
      <c r="L439" s="106"/>
    </row>
    <row r="440" spans="1:14" ht="15.6">
      <c r="A440" s="113"/>
      <c r="B440" s="117"/>
      <c r="C440" s="117"/>
      <c r="D440" s="117"/>
      <c r="E440" s="118"/>
      <c r="F440" s="118"/>
      <c r="G440" s="138"/>
      <c r="H440" s="138"/>
      <c r="I440" s="138"/>
      <c r="J440" s="138"/>
      <c r="K440" s="137"/>
      <c r="L440" s="106"/>
      <c r="N440" s="117"/>
    </row>
    <row r="441" spans="1:14" ht="15.6">
      <c r="A441" s="116"/>
      <c r="B441" s="117"/>
      <c r="C441" s="117"/>
      <c r="D441" s="117"/>
      <c r="E441" s="118"/>
      <c r="F441" s="118"/>
      <c r="G441" s="138"/>
      <c r="H441" s="138"/>
      <c r="I441" s="138"/>
      <c r="J441" s="138"/>
      <c r="K441" s="137"/>
      <c r="L441" s="106"/>
      <c r="M441" s="137"/>
      <c r="N441" s="137"/>
    </row>
    <row r="442" spans="1:14" ht="15.6">
      <c r="A442" s="113"/>
      <c r="B442" s="117"/>
      <c r="C442" s="117"/>
      <c r="D442" s="117"/>
      <c r="E442" s="118"/>
      <c r="F442" s="118"/>
      <c r="G442" s="138"/>
      <c r="H442" s="138"/>
      <c r="I442" s="138"/>
      <c r="J442" s="138"/>
      <c r="K442" s="137"/>
      <c r="L442" s="106"/>
      <c r="M442" s="137"/>
      <c r="N442" s="137"/>
    </row>
    <row r="443" spans="1:14" ht="15.6">
      <c r="A443" s="116"/>
      <c r="B443" s="117"/>
      <c r="C443" s="117"/>
      <c r="D443" s="117"/>
      <c r="E443" s="118"/>
      <c r="F443" s="118"/>
      <c r="G443" s="138"/>
      <c r="H443" s="138"/>
      <c r="I443" s="138"/>
      <c r="J443" s="138"/>
      <c r="K443" s="137"/>
      <c r="L443" s="106"/>
      <c r="M443" s="137"/>
      <c r="N443" s="137"/>
    </row>
    <row r="444" spans="1:14" ht="15.6">
      <c r="A444" s="113"/>
      <c r="B444" s="117"/>
      <c r="C444" s="117"/>
      <c r="D444" s="117"/>
      <c r="E444" s="118"/>
      <c r="F444" s="118"/>
      <c r="G444" s="138"/>
      <c r="H444" s="138"/>
      <c r="I444" s="138"/>
      <c r="J444" s="138"/>
      <c r="K444" s="137"/>
      <c r="L444" s="106"/>
      <c r="M444" s="137"/>
      <c r="N444" s="137"/>
    </row>
    <row r="445" spans="1:14" ht="15.6">
      <c r="A445" s="116"/>
      <c r="B445" s="117"/>
      <c r="C445" s="117"/>
      <c r="D445" s="117"/>
      <c r="E445" s="118"/>
      <c r="F445" s="118"/>
      <c r="G445" s="138"/>
      <c r="H445" s="138"/>
      <c r="I445" s="138"/>
      <c r="J445" s="138"/>
      <c r="K445" s="137"/>
      <c r="L445" s="106"/>
      <c r="M445" s="137"/>
      <c r="N445" s="137"/>
    </row>
    <row r="446" spans="1:14" ht="15.6">
      <c r="A446" s="113"/>
      <c r="B446" s="117"/>
      <c r="C446" s="117"/>
      <c r="D446" s="117"/>
      <c r="E446" s="118"/>
      <c r="F446" s="118"/>
      <c r="G446" s="138"/>
      <c r="H446" s="138"/>
      <c r="I446" s="138"/>
      <c r="J446" s="138"/>
      <c r="K446" s="137"/>
      <c r="L446" s="106"/>
      <c r="M446" s="137"/>
      <c r="N446" s="137"/>
    </row>
    <row r="447" spans="1:14" ht="15.6">
      <c r="A447" s="116"/>
      <c r="B447" s="117"/>
      <c r="C447" s="117"/>
      <c r="D447" s="117"/>
      <c r="E447" s="118"/>
      <c r="F447" s="118"/>
      <c r="G447" s="138"/>
      <c r="H447" s="138"/>
      <c r="I447" s="138"/>
      <c r="J447" s="138"/>
      <c r="K447" s="137"/>
      <c r="L447" s="106"/>
      <c r="M447" s="137"/>
      <c r="N447" s="137"/>
    </row>
    <row r="448" spans="1:14" ht="15.6">
      <c r="A448" s="113"/>
      <c r="B448" s="117"/>
      <c r="C448" s="117"/>
      <c r="D448" s="117"/>
      <c r="E448" s="118"/>
      <c r="F448" s="118"/>
      <c r="G448" s="138"/>
      <c r="H448" s="138"/>
      <c r="I448" s="138"/>
      <c r="J448" s="138"/>
      <c r="K448" s="137"/>
      <c r="L448" s="106"/>
      <c r="M448" s="137"/>
      <c r="N448" s="137"/>
    </row>
    <row r="449" spans="1:14" ht="15.6">
      <c r="A449" s="116"/>
      <c r="B449" s="117"/>
      <c r="C449" s="117"/>
      <c r="D449" s="117"/>
      <c r="E449" s="118"/>
      <c r="F449" s="118"/>
      <c r="G449" s="138"/>
      <c r="H449" s="138"/>
      <c r="I449" s="138"/>
      <c r="J449" s="138"/>
      <c r="K449" s="137"/>
      <c r="L449" s="106"/>
      <c r="M449" s="137"/>
      <c r="N449" s="137"/>
    </row>
    <row r="450" spans="1:14" ht="15.6">
      <c r="A450" s="113"/>
      <c r="B450" s="117"/>
      <c r="C450" s="117"/>
      <c r="D450" s="117"/>
      <c r="E450" s="118"/>
      <c r="F450" s="118"/>
      <c r="G450" s="138"/>
      <c r="H450" s="138"/>
      <c r="I450" s="138"/>
      <c r="J450" s="138"/>
      <c r="K450" s="137"/>
      <c r="L450" s="106"/>
      <c r="M450" s="137"/>
      <c r="N450" s="137"/>
    </row>
    <row r="451" spans="1:14" ht="15.6">
      <c r="A451" s="116"/>
      <c r="B451" s="117"/>
      <c r="C451" s="117"/>
      <c r="D451" s="117"/>
      <c r="E451" s="118"/>
      <c r="F451" s="118"/>
      <c r="G451" s="138"/>
      <c r="H451" s="138"/>
      <c r="I451" s="138"/>
      <c r="J451" s="138"/>
      <c r="K451" s="137"/>
      <c r="L451" s="106"/>
      <c r="M451" s="137"/>
      <c r="N451" s="137"/>
    </row>
    <row r="452" spans="1:14" ht="15.6">
      <c r="A452" s="113"/>
      <c r="B452" s="117"/>
      <c r="C452" s="117"/>
      <c r="D452" s="117"/>
      <c r="E452" s="118"/>
      <c r="F452" s="118"/>
      <c r="G452" s="138"/>
      <c r="H452" s="138"/>
      <c r="I452" s="138"/>
      <c r="J452" s="138"/>
      <c r="K452" s="137"/>
      <c r="L452" s="106"/>
      <c r="M452" s="137"/>
      <c r="N452" s="137"/>
    </row>
    <row r="453" spans="1:14" ht="15.6">
      <c r="A453" s="116"/>
      <c r="B453" s="117"/>
      <c r="C453" s="117"/>
      <c r="D453" s="117"/>
      <c r="E453" s="118"/>
      <c r="F453" s="118"/>
      <c r="G453" s="138"/>
      <c r="H453" s="138"/>
      <c r="I453" s="138"/>
      <c r="J453" s="138"/>
      <c r="K453" s="137"/>
      <c r="L453" s="106"/>
      <c r="M453" s="137"/>
      <c r="N453" s="137"/>
    </row>
    <row r="454" spans="1:14" ht="15.6">
      <c r="A454" s="113"/>
      <c r="B454" s="117"/>
      <c r="C454" s="117"/>
      <c r="D454" s="117"/>
      <c r="E454" s="118"/>
      <c r="F454" s="118"/>
      <c r="G454" s="138"/>
      <c r="H454" s="138"/>
      <c r="I454" s="138"/>
      <c r="J454" s="138"/>
      <c r="K454" s="137"/>
      <c r="L454" s="106"/>
      <c r="M454" s="137"/>
      <c r="N454" s="137"/>
    </row>
    <row r="455" spans="1:14" ht="15.6">
      <c r="A455" s="116"/>
      <c r="B455" s="117"/>
      <c r="C455" s="117"/>
      <c r="D455" s="117"/>
      <c r="E455" s="118"/>
      <c r="F455" s="118"/>
      <c r="G455" s="138"/>
      <c r="H455" s="138"/>
      <c r="I455" s="138"/>
      <c r="J455" s="138"/>
      <c r="K455" s="137"/>
      <c r="L455" s="106"/>
      <c r="M455" s="137"/>
      <c r="N455" s="137"/>
    </row>
    <row r="456" spans="1:14" ht="15.6">
      <c r="A456" s="113"/>
      <c r="B456" s="117"/>
      <c r="C456" s="117"/>
      <c r="D456" s="117"/>
      <c r="E456" s="118"/>
      <c r="F456" s="118"/>
      <c r="G456" s="138"/>
      <c r="H456" s="138"/>
      <c r="I456" s="138"/>
      <c r="J456" s="138"/>
      <c r="K456" s="137"/>
      <c r="L456" s="106"/>
      <c r="M456" s="137"/>
      <c r="N456" s="137"/>
    </row>
    <row r="457" spans="1:14" ht="15.6">
      <c r="A457" s="116"/>
      <c r="B457" s="117"/>
      <c r="C457" s="117"/>
      <c r="D457" s="117"/>
      <c r="E457" s="118"/>
      <c r="F457" s="118"/>
      <c r="G457" s="138"/>
      <c r="H457" s="138"/>
      <c r="I457" s="138"/>
      <c r="J457" s="138"/>
      <c r="K457" s="137"/>
      <c r="L457" s="106"/>
      <c r="M457" s="137"/>
      <c r="N457" s="137"/>
    </row>
    <row r="458" spans="1:14" ht="15.6">
      <c r="A458" s="113"/>
      <c r="B458" s="117"/>
      <c r="C458" s="117"/>
      <c r="D458" s="117"/>
      <c r="E458" s="118"/>
      <c r="F458" s="118"/>
      <c r="G458" s="138"/>
      <c r="H458" s="138"/>
      <c r="I458" s="138"/>
      <c r="J458" s="138"/>
      <c r="K458" s="137"/>
      <c r="L458" s="106"/>
      <c r="M458" s="137"/>
      <c r="N458" s="137"/>
    </row>
    <row r="459" spans="1:14" ht="15.6">
      <c r="A459" s="116"/>
      <c r="B459" s="117"/>
      <c r="C459" s="117"/>
      <c r="D459" s="117"/>
      <c r="E459" s="118"/>
      <c r="F459" s="118"/>
      <c r="G459" s="138"/>
      <c r="H459" s="138"/>
      <c r="I459" s="138"/>
      <c r="J459" s="138"/>
      <c r="K459" s="137"/>
      <c r="L459" s="106"/>
      <c r="M459" s="137"/>
      <c r="N459" s="137"/>
    </row>
    <row r="460" spans="1:14" ht="15.6">
      <c r="A460" s="113"/>
      <c r="B460" s="117"/>
      <c r="C460" s="117"/>
      <c r="D460" s="117"/>
      <c r="E460" s="118"/>
      <c r="F460" s="118"/>
      <c r="G460" s="138"/>
      <c r="H460" s="138"/>
      <c r="I460" s="138"/>
      <c r="J460" s="138"/>
      <c r="K460" s="137"/>
      <c r="L460" s="106"/>
      <c r="M460" s="137"/>
      <c r="N460" s="137"/>
    </row>
    <row r="461" spans="1:14" ht="15.6">
      <c r="A461" s="116"/>
      <c r="B461" s="117"/>
      <c r="C461" s="117"/>
      <c r="D461" s="117"/>
      <c r="E461" s="118"/>
      <c r="F461" s="118"/>
      <c r="G461" s="138"/>
      <c r="H461" s="138"/>
      <c r="I461" s="138"/>
      <c r="J461" s="138"/>
      <c r="K461" s="137"/>
      <c r="L461" s="106"/>
      <c r="M461" s="137"/>
      <c r="N461" s="137"/>
    </row>
    <row r="462" spans="1:14" ht="15.6">
      <c r="A462" s="113"/>
      <c r="B462" s="117"/>
      <c r="C462" s="117"/>
      <c r="D462" s="117"/>
      <c r="E462" s="118"/>
      <c r="F462" s="118"/>
      <c r="G462" s="138"/>
      <c r="H462" s="138"/>
      <c r="I462" s="138"/>
      <c r="J462" s="138"/>
      <c r="K462" s="137"/>
      <c r="L462" s="106"/>
      <c r="M462" s="137"/>
      <c r="N462" s="137"/>
    </row>
    <row r="463" spans="1:14" ht="15.6">
      <c r="A463" s="116"/>
      <c r="B463" s="117"/>
      <c r="C463" s="117"/>
      <c r="D463" s="117"/>
      <c r="E463" s="118"/>
      <c r="F463" s="118"/>
      <c r="G463" s="138"/>
      <c r="H463" s="138"/>
      <c r="I463" s="138"/>
      <c r="J463" s="138"/>
      <c r="K463" s="137"/>
      <c r="L463" s="106"/>
      <c r="M463" s="137"/>
      <c r="N463" s="137"/>
    </row>
    <row r="464" spans="1:14" ht="15.6">
      <c r="A464" s="113"/>
      <c r="B464" s="117"/>
      <c r="C464" s="117"/>
      <c r="D464" s="117"/>
      <c r="E464" s="118"/>
      <c r="F464" s="118"/>
      <c r="G464" s="138"/>
      <c r="H464" s="138"/>
      <c r="I464" s="138"/>
      <c r="J464" s="138"/>
      <c r="K464" s="137"/>
      <c r="L464" s="106"/>
      <c r="M464" s="137"/>
      <c r="N464" s="137"/>
    </row>
    <row r="465" spans="1:14" ht="15.6">
      <c r="A465" s="116"/>
      <c r="B465" s="117"/>
      <c r="C465" s="117"/>
      <c r="D465" s="117"/>
      <c r="E465" s="118"/>
      <c r="F465" s="118"/>
      <c r="G465" s="138"/>
      <c r="H465" s="138"/>
      <c r="I465" s="138"/>
      <c r="J465" s="138"/>
      <c r="K465" s="137"/>
      <c r="L465" s="106"/>
      <c r="M465" s="137"/>
      <c r="N465" s="137"/>
    </row>
    <row r="466" spans="1:14" ht="15.6">
      <c r="A466" s="113"/>
      <c r="B466" s="117"/>
      <c r="C466" s="117"/>
      <c r="D466" s="117"/>
      <c r="E466" s="118"/>
      <c r="F466" s="118"/>
      <c r="G466" s="138"/>
      <c r="H466" s="138"/>
      <c r="I466" s="138"/>
      <c r="J466" s="138"/>
      <c r="K466" s="137"/>
      <c r="L466" s="106"/>
      <c r="M466" s="137"/>
      <c r="N466" s="137"/>
    </row>
    <row r="467" spans="1:14" ht="15.6">
      <c r="A467" s="116"/>
      <c r="B467" s="117"/>
      <c r="C467" s="117"/>
      <c r="D467" s="117"/>
      <c r="E467" s="118"/>
      <c r="F467" s="118"/>
      <c r="G467" s="138"/>
      <c r="H467" s="138"/>
      <c r="I467" s="138"/>
      <c r="J467" s="138"/>
      <c r="K467" s="137"/>
      <c r="L467" s="106"/>
      <c r="M467" s="137"/>
      <c r="N467" s="117"/>
    </row>
    <row r="468" spans="1:14" ht="15.6">
      <c r="A468" s="113"/>
      <c r="B468" s="117"/>
      <c r="C468" s="117"/>
      <c r="D468" s="117"/>
      <c r="E468" s="118"/>
      <c r="F468" s="118"/>
      <c r="G468" s="138"/>
      <c r="H468" s="138"/>
      <c r="I468" s="138"/>
      <c r="J468" s="138"/>
      <c r="K468" s="137"/>
      <c r="L468" s="106"/>
      <c r="M468" s="137"/>
      <c r="N468" s="137"/>
    </row>
    <row r="469" spans="1:14" ht="15.6">
      <c r="A469" s="116"/>
      <c r="B469" s="117"/>
      <c r="C469" s="117"/>
      <c r="D469" s="117"/>
      <c r="E469" s="118"/>
      <c r="F469" s="118"/>
      <c r="G469" s="138"/>
      <c r="H469" s="138"/>
      <c r="I469" s="138"/>
      <c r="J469" s="138"/>
      <c r="K469" s="137"/>
      <c r="L469" s="106"/>
      <c r="M469" s="137"/>
      <c r="N469" s="137"/>
    </row>
    <row r="470" spans="1:14" ht="15.6">
      <c r="A470" s="113"/>
      <c r="B470" s="117"/>
      <c r="C470" s="117"/>
      <c r="D470" s="117"/>
      <c r="E470" s="118"/>
      <c r="F470" s="118"/>
      <c r="G470" s="138"/>
      <c r="H470" s="138"/>
      <c r="I470" s="138"/>
      <c r="J470" s="138"/>
      <c r="K470" s="137"/>
      <c r="L470" s="106"/>
      <c r="M470" s="137"/>
      <c r="N470" s="137"/>
    </row>
    <row r="471" spans="1:14" ht="15.6">
      <c r="A471" s="116"/>
      <c r="B471" s="117"/>
      <c r="C471" s="117"/>
      <c r="D471" s="117"/>
      <c r="E471" s="118"/>
      <c r="F471" s="118"/>
      <c r="G471" s="138"/>
      <c r="H471" s="138"/>
      <c r="I471" s="138"/>
      <c r="J471" s="138"/>
      <c r="K471" s="137"/>
      <c r="L471" s="106"/>
      <c r="M471" s="137"/>
      <c r="N471" s="117"/>
    </row>
    <row r="472" spans="1:14" ht="15.6">
      <c r="A472" s="113"/>
      <c r="B472" s="117"/>
      <c r="C472" s="117"/>
      <c r="D472" s="117"/>
      <c r="E472" s="118"/>
      <c r="F472" s="118"/>
      <c r="G472" s="138"/>
      <c r="H472" s="138"/>
      <c r="I472" s="138"/>
      <c r="J472" s="138"/>
      <c r="K472" s="137"/>
      <c r="L472" s="106"/>
      <c r="M472" s="137"/>
      <c r="N472" s="137"/>
    </row>
    <row r="473" spans="1:14" ht="15.6">
      <c r="A473" s="116"/>
      <c r="B473" s="117"/>
      <c r="C473" s="117"/>
      <c r="D473" s="117"/>
      <c r="E473" s="118"/>
      <c r="F473" s="118"/>
      <c r="G473" s="138"/>
      <c r="H473" s="138"/>
      <c r="I473" s="138"/>
      <c r="J473" s="138"/>
      <c r="K473" s="137"/>
      <c r="L473" s="106"/>
      <c r="M473" s="137"/>
      <c r="N473" s="137"/>
    </row>
    <row r="474" spans="1:14" ht="15.6">
      <c r="A474" s="113"/>
      <c r="B474" s="117"/>
      <c r="C474" s="117"/>
      <c r="D474" s="117"/>
      <c r="E474" s="118"/>
      <c r="F474" s="118"/>
      <c r="G474" s="138"/>
      <c r="H474" s="138"/>
      <c r="I474" s="138"/>
      <c r="J474" s="138"/>
      <c r="K474" s="137"/>
      <c r="L474" s="106"/>
      <c r="M474" s="137"/>
      <c r="N474" s="137"/>
    </row>
    <row r="475" spans="1:14" ht="15.6">
      <c r="A475" s="116"/>
      <c r="B475" s="117"/>
      <c r="C475" s="117"/>
      <c r="D475" s="117"/>
      <c r="E475" s="118"/>
      <c r="F475" s="118"/>
      <c r="G475" s="138"/>
      <c r="H475" s="138"/>
      <c r="I475" s="138"/>
      <c r="J475" s="138"/>
      <c r="K475" s="137"/>
      <c r="L475" s="106"/>
      <c r="M475" s="137"/>
      <c r="N475" s="137"/>
    </row>
    <row r="476" spans="1:14" ht="15.6">
      <c r="A476" s="113"/>
      <c r="B476" s="117"/>
      <c r="C476" s="117"/>
      <c r="D476" s="117"/>
      <c r="E476" s="118"/>
      <c r="F476" s="118"/>
      <c r="G476" s="138"/>
      <c r="H476" s="138"/>
      <c r="I476" s="138"/>
      <c r="J476" s="138"/>
      <c r="K476" s="137"/>
      <c r="L476" s="106"/>
      <c r="M476" s="137"/>
      <c r="N476" s="137"/>
    </row>
    <row r="477" spans="1:14" ht="15.6">
      <c r="A477" s="116"/>
      <c r="B477" s="117"/>
      <c r="C477" s="117"/>
      <c r="D477" s="117"/>
      <c r="E477" s="118"/>
      <c r="F477" s="118"/>
      <c r="G477" s="138"/>
      <c r="H477" s="138"/>
      <c r="I477" s="138"/>
      <c r="J477" s="138"/>
      <c r="K477" s="137"/>
      <c r="L477" s="106"/>
      <c r="M477" s="137"/>
      <c r="N477" s="137"/>
    </row>
    <row r="478" spans="1:14" ht="15.6">
      <c r="A478" s="113"/>
      <c r="B478" s="117"/>
      <c r="C478" s="117"/>
      <c r="D478" s="141"/>
      <c r="E478" s="118"/>
      <c r="F478" s="118"/>
      <c r="G478" s="138"/>
      <c r="H478" s="138"/>
      <c r="I478" s="138"/>
      <c r="J478" s="138"/>
      <c r="K478" s="137"/>
      <c r="L478" s="106"/>
      <c r="M478" s="137"/>
      <c r="N478" s="137"/>
    </row>
    <row r="479" spans="1:14" ht="15.6">
      <c r="A479" s="116"/>
      <c r="B479" s="117"/>
      <c r="C479" s="117"/>
      <c r="D479" s="117"/>
      <c r="E479" s="118"/>
      <c r="F479" s="118"/>
      <c r="G479" s="138"/>
      <c r="H479" s="138"/>
      <c r="I479" s="138"/>
      <c r="J479" s="138"/>
      <c r="K479" s="137"/>
      <c r="L479" s="106"/>
    </row>
    <row r="480" spans="1:14" ht="15.6">
      <c r="A480" s="113"/>
      <c r="B480" s="117"/>
      <c r="C480" s="117"/>
      <c r="D480" s="117"/>
      <c r="E480" s="118"/>
      <c r="F480" s="118"/>
      <c r="G480" s="138"/>
      <c r="H480" s="138"/>
      <c r="I480" s="138"/>
      <c r="J480" s="138"/>
      <c r="K480" s="137"/>
      <c r="L480" s="106"/>
    </row>
    <row r="481" spans="1:14" ht="15.6">
      <c r="A481" s="116"/>
      <c r="B481" s="117"/>
      <c r="C481" s="117"/>
      <c r="D481" s="117"/>
      <c r="E481" s="118"/>
      <c r="F481" s="118"/>
      <c r="G481" s="138"/>
      <c r="H481" s="138"/>
      <c r="I481" s="138"/>
      <c r="J481" s="138"/>
      <c r="K481" s="137"/>
      <c r="L481" s="106"/>
    </row>
    <row r="482" spans="1:14" ht="15.6">
      <c r="A482" s="113"/>
      <c r="B482" s="117"/>
      <c r="C482" s="117"/>
      <c r="D482" s="117"/>
      <c r="E482" s="118"/>
      <c r="F482" s="118"/>
      <c r="G482" s="138"/>
      <c r="H482" s="138"/>
      <c r="I482" s="138"/>
      <c r="J482" s="138"/>
      <c r="K482" s="137"/>
      <c r="L482" s="106"/>
      <c r="N482" s="137"/>
    </row>
    <row r="483" spans="1:14" ht="15.6">
      <c r="A483" s="116"/>
      <c r="B483" s="117"/>
      <c r="C483" s="117"/>
      <c r="D483" s="117"/>
      <c r="E483" s="118"/>
      <c r="F483" s="118"/>
      <c r="G483" s="138"/>
      <c r="H483" s="138"/>
      <c r="I483" s="138"/>
      <c r="J483" s="138"/>
      <c r="K483" s="137"/>
      <c r="L483" s="106"/>
      <c r="M483" s="137"/>
      <c r="N483" s="137"/>
    </row>
    <row r="484" spans="1:14" ht="15.6">
      <c r="A484" s="113"/>
      <c r="B484" s="117"/>
      <c r="C484" s="117"/>
      <c r="D484" s="117"/>
      <c r="E484" s="118"/>
      <c r="F484" s="118"/>
      <c r="G484" s="138"/>
      <c r="H484" s="138"/>
      <c r="I484" s="138"/>
      <c r="J484" s="138"/>
      <c r="K484" s="137"/>
      <c r="L484" s="106"/>
    </row>
    <row r="485" spans="1:14" ht="15.6">
      <c r="A485" s="116"/>
      <c r="B485" s="117"/>
      <c r="C485" s="117"/>
      <c r="D485" s="117"/>
      <c r="E485" s="118"/>
      <c r="F485" s="118"/>
      <c r="G485" s="138"/>
      <c r="H485" s="138"/>
      <c r="I485" s="138"/>
      <c r="J485" s="138"/>
      <c r="K485" s="137"/>
      <c r="L485" s="106"/>
    </row>
    <row r="486" spans="1:14" ht="15.6">
      <c r="A486" s="113"/>
      <c r="B486" s="117"/>
      <c r="C486" s="117"/>
      <c r="D486" s="117"/>
      <c r="E486" s="118"/>
      <c r="F486" s="118"/>
      <c r="G486" s="138"/>
      <c r="H486" s="138"/>
      <c r="I486" s="138"/>
      <c r="J486" s="138"/>
      <c r="K486" s="137"/>
      <c r="L486" s="106"/>
    </row>
    <row r="487" spans="1:14" ht="15.6">
      <c r="A487" s="116"/>
      <c r="B487" s="117"/>
      <c r="C487" s="117"/>
      <c r="D487" s="117"/>
      <c r="E487" s="118"/>
      <c r="F487" s="118"/>
      <c r="G487" s="138"/>
      <c r="H487" s="138"/>
      <c r="I487" s="138"/>
      <c r="J487" s="138"/>
      <c r="K487" s="137"/>
      <c r="L487" s="106"/>
    </row>
    <row r="488" spans="1:14" ht="15.6">
      <c r="A488" s="113"/>
      <c r="B488" s="117"/>
      <c r="C488" s="117"/>
      <c r="D488" s="117"/>
      <c r="E488" s="118"/>
      <c r="F488" s="118"/>
      <c r="G488" s="138"/>
      <c r="H488" s="138"/>
      <c r="I488" s="138"/>
      <c r="J488" s="138"/>
      <c r="K488" s="137"/>
      <c r="L488" s="106"/>
    </row>
    <row r="489" spans="1:14" ht="15.6">
      <c r="A489" s="116"/>
      <c r="B489" s="117"/>
      <c r="C489" s="117"/>
      <c r="D489" s="117"/>
      <c r="E489" s="118"/>
      <c r="F489" s="118"/>
      <c r="G489" s="138"/>
      <c r="H489" s="138"/>
      <c r="I489" s="138"/>
      <c r="J489" s="138"/>
      <c r="K489" s="137"/>
      <c r="L489" s="106"/>
    </row>
    <row r="490" spans="1:14" ht="15.6">
      <c r="A490" s="113"/>
      <c r="B490" s="117"/>
      <c r="C490" s="117"/>
      <c r="D490" s="117"/>
      <c r="E490" s="118"/>
      <c r="F490" s="118"/>
      <c r="G490" s="138"/>
      <c r="H490" s="138"/>
      <c r="I490" s="138"/>
      <c r="J490" s="138"/>
      <c r="K490" s="137"/>
      <c r="L490" s="106"/>
    </row>
    <row r="491" spans="1:14" ht="15.6">
      <c r="A491" s="116"/>
      <c r="B491" s="117"/>
      <c r="C491" s="117"/>
      <c r="D491" s="117"/>
      <c r="E491" s="118"/>
      <c r="F491" s="118"/>
      <c r="G491" s="138"/>
      <c r="H491" s="138"/>
      <c r="I491" s="138"/>
      <c r="J491" s="138"/>
      <c r="K491" s="137"/>
      <c r="L491" s="106"/>
      <c r="N491" s="137"/>
    </row>
    <row r="492" spans="1:14" ht="15.6">
      <c r="A492" s="113"/>
      <c r="B492" s="117"/>
      <c r="C492" s="117"/>
      <c r="D492" s="117"/>
      <c r="E492" s="118"/>
      <c r="F492" s="118"/>
      <c r="G492" s="138"/>
      <c r="H492" s="138"/>
      <c r="I492" s="138"/>
      <c r="J492" s="138"/>
      <c r="K492" s="137"/>
      <c r="L492" s="106"/>
    </row>
    <row r="493" spans="1:14" ht="15.6">
      <c r="A493" s="116"/>
      <c r="B493" s="117"/>
      <c r="C493" s="117"/>
      <c r="D493" s="141"/>
      <c r="E493" s="118"/>
      <c r="F493" s="118"/>
      <c r="G493" s="138"/>
      <c r="H493" s="138"/>
      <c r="I493" s="138"/>
      <c r="J493" s="138"/>
      <c r="K493" s="137"/>
      <c r="L493" s="106"/>
      <c r="M493" s="137"/>
      <c r="N493" s="137"/>
    </row>
    <row r="494" spans="1:14" ht="15.6">
      <c r="A494" s="113"/>
      <c r="B494" s="117"/>
      <c r="C494" s="117"/>
      <c r="D494" s="141"/>
      <c r="E494" s="118"/>
      <c r="F494" s="118"/>
      <c r="G494" s="138"/>
      <c r="H494" s="138"/>
      <c r="I494" s="138"/>
      <c r="J494" s="138"/>
      <c r="K494" s="137"/>
      <c r="L494" s="106"/>
      <c r="M494" s="137"/>
      <c r="N494" s="137"/>
    </row>
    <row r="495" spans="1:14" ht="15.6">
      <c r="A495" s="116"/>
      <c r="B495" s="117"/>
      <c r="C495" s="117"/>
      <c r="D495" s="117"/>
      <c r="E495" s="118"/>
      <c r="F495" s="118"/>
      <c r="G495" s="138"/>
      <c r="H495" s="138"/>
      <c r="I495" s="138"/>
      <c r="J495" s="138"/>
      <c r="K495" s="137"/>
      <c r="L495" s="106"/>
      <c r="M495" s="137"/>
      <c r="N495" s="137"/>
    </row>
    <row r="496" spans="1:14" ht="15.6">
      <c r="A496" s="113"/>
      <c r="B496" s="117"/>
      <c r="C496" s="117"/>
      <c r="D496" s="117"/>
      <c r="E496" s="118"/>
      <c r="F496" s="118"/>
      <c r="G496" s="138"/>
      <c r="H496" s="138"/>
      <c r="I496" s="138"/>
      <c r="J496" s="138"/>
      <c r="K496" s="137"/>
      <c r="L496" s="106"/>
      <c r="M496" s="137"/>
      <c r="N496" s="137"/>
    </row>
    <row r="497" spans="1:14" ht="15.6">
      <c r="A497" s="116"/>
      <c r="B497" s="117"/>
      <c r="C497" s="117"/>
      <c r="D497" s="117"/>
      <c r="E497" s="118"/>
      <c r="F497" s="118"/>
      <c r="G497" s="138"/>
      <c r="H497" s="138"/>
      <c r="I497" s="138"/>
      <c r="J497" s="138"/>
      <c r="K497" s="137"/>
      <c r="L497" s="106"/>
      <c r="M497" s="137"/>
      <c r="N497" s="137"/>
    </row>
    <row r="498" spans="1:14" ht="15.6">
      <c r="A498" s="113"/>
      <c r="B498" s="117"/>
      <c r="C498" s="117"/>
      <c r="D498" s="117"/>
      <c r="E498" s="118"/>
      <c r="F498" s="118"/>
      <c r="G498" s="138"/>
      <c r="H498" s="138"/>
      <c r="I498" s="138"/>
      <c r="J498" s="138"/>
      <c r="K498" s="137"/>
      <c r="L498" s="106"/>
      <c r="M498" s="137"/>
      <c r="N498" s="137"/>
    </row>
    <row r="499" spans="1:14" ht="15.6">
      <c r="A499" s="116"/>
      <c r="B499" s="117"/>
      <c r="C499" s="117"/>
      <c r="D499" s="117"/>
      <c r="E499" s="118"/>
      <c r="F499" s="118"/>
      <c r="G499" s="138"/>
      <c r="H499" s="138"/>
      <c r="I499" s="138"/>
      <c r="J499" s="138"/>
      <c r="K499" s="137"/>
      <c r="L499" s="106"/>
      <c r="M499" s="137"/>
      <c r="N499" s="117"/>
    </row>
    <row r="500" spans="1:14" ht="15.6">
      <c r="A500" s="113"/>
      <c r="B500" s="117"/>
      <c r="C500" s="117"/>
      <c r="D500" s="117"/>
      <c r="E500" s="118"/>
      <c r="F500" s="118"/>
      <c r="G500" s="138"/>
      <c r="H500" s="138"/>
      <c r="I500" s="138"/>
      <c r="J500" s="138"/>
      <c r="K500" s="137"/>
      <c r="L500" s="106"/>
      <c r="M500" s="137"/>
      <c r="N500" s="117"/>
    </row>
    <row r="501" spans="1:14" ht="15.6">
      <c r="A501" s="116"/>
      <c r="B501" s="117"/>
      <c r="C501" s="117"/>
      <c r="D501" s="117"/>
      <c r="E501" s="118"/>
      <c r="F501" s="118"/>
      <c r="G501" s="138"/>
      <c r="H501" s="138"/>
      <c r="I501" s="138"/>
      <c r="J501" s="138"/>
      <c r="K501" s="137"/>
      <c r="L501" s="106"/>
      <c r="M501" s="137"/>
      <c r="N501" s="117"/>
    </row>
    <row r="502" spans="1:14" ht="15.6">
      <c r="A502" s="113"/>
      <c r="B502" s="117"/>
      <c r="C502" s="117"/>
      <c r="D502" s="117"/>
      <c r="E502" s="118"/>
      <c r="F502" s="118"/>
      <c r="G502" s="138"/>
      <c r="H502" s="138"/>
      <c r="I502" s="138"/>
      <c r="J502" s="138"/>
      <c r="K502" s="137"/>
      <c r="L502" s="106"/>
      <c r="M502" s="137"/>
      <c r="N502" s="137"/>
    </row>
    <row r="503" spans="1:14" ht="15.6">
      <c r="A503" s="116"/>
      <c r="B503" s="117"/>
      <c r="C503" s="117"/>
      <c r="D503" s="117"/>
      <c r="E503" s="118"/>
      <c r="F503" s="118"/>
      <c r="G503" s="138"/>
      <c r="H503" s="138"/>
      <c r="I503" s="138"/>
      <c r="J503" s="138"/>
      <c r="K503" s="137"/>
      <c r="L503" s="106"/>
      <c r="M503" s="137"/>
      <c r="N503" s="117"/>
    </row>
    <row r="504" spans="1:14" ht="15.6">
      <c r="A504" s="113"/>
      <c r="B504" s="117"/>
      <c r="C504" s="117"/>
      <c r="D504" s="117"/>
      <c r="E504" s="118"/>
      <c r="F504" s="118"/>
      <c r="G504" s="138"/>
      <c r="H504" s="138"/>
      <c r="I504" s="138"/>
      <c r="J504" s="138"/>
      <c r="K504" s="137"/>
      <c r="L504" s="106"/>
      <c r="M504" s="137"/>
      <c r="N504" s="137"/>
    </row>
    <row r="505" spans="1:14" ht="15.6">
      <c r="A505" s="116"/>
      <c r="B505" s="117"/>
      <c r="C505" s="117"/>
      <c r="D505" s="117"/>
      <c r="E505" s="118"/>
      <c r="F505" s="118"/>
      <c r="G505" s="138"/>
      <c r="H505" s="138"/>
      <c r="I505" s="138"/>
      <c r="J505" s="138"/>
      <c r="K505" s="137"/>
      <c r="L505" s="106"/>
      <c r="M505" s="137"/>
      <c r="N505" s="137"/>
    </row>
    <row r="506" spans="1:14" ht="15.6">
      <c r="A506" s="113"/>
      <c r="B506" s="117"/>
      <c r="C506" s="117"/>
      <c r="D506" s="117"/>
      <c r="E506" s="118"/>
      <c r="F506" s="118"/>
      <c r="G506" s="138"/>
      <c r="H506" s="138"/>
      <c r="I506" s="138"/>
      <c r="J506" s="138"/>
      <c r="K506" s="137"/>
      <c r="L506" s="106"/>
      <c r="M506" s="137"/>
      <c r="N506" s="117"/>
    </row>
    <row r="507" spans="1:14" ht="15.6">
      <c r="A507" s="116"/>
      <c r="B507" s="117"/>
      <c r="C507" s="117"/>
      <c r="D507" s="117"/>
      <c r="E507" s="118"/>
      <c r="F507" s="118"/>
      <c r="G507" s="138"/>
      <c r="H507" s="138"/>
      <c r="I507" s="138"/>
      <c r="J507" s="138"/>
      <c r="K507" s="137"/>
      <c r="L507" s="106"/>
      <c r="M507" s="137"/>
      <c r="N507" s="137"/>
    </row>
    <row r="508" spans="1:14" ht="15.6">
      <c r="A508" s="113"/>
      <c r="B508" s="117"/>
      <c r="C508" s="117"/>
      <c r="D508" s="117"/>
      <c r="E508" s="118"/>
      <c r="F508" s="118"/>
      <c r="G508" s="138"/>
      <c r="H508" s="138"/>
      <c r="I508" s="138"/>
      <c r="J508" s="138"/>
      <c r="K508" s="142"/>
      <c r="L508" s="106"/>
      <c r="M508" s="137"/>
      <c r="N508" s="137"/>
    </row>
    <row r="509" spans="1:14" ht="15.6">
      <c r="A509" s="116"/>
      <c r="B509" s="117"/>
      <c r="C509" s="117"/>
      <c r="D509" s="117"/>
      <c r="E509" s="118"/>
      <c r="F509" s="118"/>
      <c r="G509" s="138"/>
      <c r="H509" s="138"/>
      <c r="I509" s="138"/>
      <c r="J509" s="138"/>
      <c r="K509" s="137"/>
      <c r="L509" s="106"/>
      <c r="M509" s="137"/>
      <c r="N509" s="137"/>
    </row>
    <row r="510" spans="1:14" ht="15.6">
      <c r="A510" s="113"/>
      <c r="B510" s="117"/>
      <c r="C510" s="117"/>
      <c r="D510" s="117"/>
      <c r="E510" s="118"/>
      <c r="F510" s="118"/>
      <c r="G510" s="138"/>
      <c r="H510" s="138"/>
      <c r="I510" s="138"/>
      <c r="J510" s="138"/>
      <c r="K510" s="137"/>
      <c r="L510" s="106"/>
      <c r="M510" s="137"/>
      <c r="N510" s="137"/>
    </row>
    <row r="511" spans="1:14" ht="15.6">
      <c r="A511" s="116"/>
      <c r="B511" s="117"/>
      <c r="C511" s="117"/>
      <c r="D511" s="117"/>
      <c r="E511" s="118"/>
      <c r="F511" s="118"/>
      <c r="G511" s="138"/>
      <c r="H511" s="138"/>
      <c r="I511" s="138"/>
      <c r="J511" s="138"/>
      <c r="K511" s="137"/>
      <c r="L511" s="106"/>
      <c r="M511" s="137"/>
      <c r="N511" s="137"/>
    </row>
    <row r="512" spans="1:14" ht="15.6">
      <c r="A512" s="113"/>
      <c r="B512" s="117"/>
      <c r="C512" s="117"/>
      <c r="D512" s="117"/>
      <c r="E512" s="118"/>
      <c r="F512" s="118"/>
      <c r="G512" s="138"/>
      <c r="H512" s="138"/>
      <c r="I512" s="138"/>
      <c r="J512" s="138"/>
      <c r="K512" s="137"/>
      <c r="L512" s="106"/>
      <c r="M512" s="137"/>
      <c r="N512" s="137"/>
    </row>
    <row r="513" spans="1:14" ht="15.6">
      <c r="A513" s="116"/>
      <c r="B513" s="117"/>
      <c r="C513" s="117"/>
      <c r="D513" s="117"/>
      <c r="E513" s="118"/>
      <c r="F513" s="118"/>
      <c r="G513" s="138"/>
      <c r="H513" s="138"/>
      <c r="I513" s="138"/>
      <c r="J513" s="138"/>
      <c r="K513" s="137"/>
      <c r="L513" s="106"/>
      <c r="M513" s="137"/>
      <c r="N513" s="137"/>
    </row>
    <row r="514" spans="1:14" ht="15.6">
      <c r="A514" s="113"/>
      <c r="B514" s="117"/>
      <c r="C514" s="117"/>
      <c r="D514" s="117"/>
      <c r="E514" s="118"/>
      <c r="F514" s="118"/>
      <c r="G514" s="138"/>
      <c r="H514" s="138"/>
      <c r="I514" s="138"/>
      <c r="J514" s="138"/>
      <c r="K514" s="137"/>
      <c r="L514" s="106"/>
      <c r="M514" s="137"/>
      <c r="N514" s="137"/>
    </row>
    <row r="515" spans="1:14" ht="15.6">
      <c r="A515" s="116"/>
      <c r="B515" s="117"/>
      <c r="C515" s="117"/>
      <c r="D515" s="117"/>
      <c r="E515" s="118"/>
      <c r="F515" s="118"/>
      <c r="G515" s="138"/>
      <c r="H515" s="138"/>
      <c r="I515" s="138"/>
      <c r="J515" s="138"/>
      <c r="K515" s="142"/>
      <c r="L515" s="106"/>
      <c r="M515" s="137"/>
      <c r="N515" s="137"/>
    </row>
    <row r="516" spans="1:14" ht="15.6">
      <c r="A516" s="113"/>
      <c r="B516" s="117"/>
      <c r="C516" s="117"/>
      <c r="D516" s="117"/>
      <c r="E516" s="118"/>
      <c r="F516" s="118"/>
      <c r="G516" s="138"/>
      <c r="H516" s="138"/>
      <c r="I516" s="138"/>
      <c r="J516" s="138"/>
      <c r="K516" s="137"/>
      <c r="L516" s="106"/>
      <c r="M516" s="137"/>
      <c r="N516" s="137"/>
    </row>
    <row r="517" spans="1:14" ht="15.6">
      <c r="A517" s="116"/>
      <c r="B517" s="117"/>
      <c r="C517" s="117"/>
      <c r="D517" s="117"/>
      <c r="E517" s="118"/>
      <c r="F517" s="118"/>
      <c r="G517" s="138"/>
      <c r="H517" s="138"/>
      <c r="I517" s="138"/>
      <c r="J517" s="138"/>
      <c r="K517" s="137"/>
      <c r="L517" s="106"/>
      <c r="M517" s="137"/>
      <c r="N517" s="137"/>
    </row>
    <row r="518" spans="1:14" ht="15.6">
      <c r="A518" s="113"/>
      <c r="B518" s="117"/>
      <c r="C518" s="117"/>
      <c r="D518" s="137"/>
      <c r="E518" s="118"/>
      <c r="F518" s="118"/>
      <c r="G518" s="138"/>
      <c r="H518" s="138"/>
      <c r="I518" s="138"/>
      <c r="J518" s="138"/>
      <c r="K518" s="137"/>
      <c r="L518" s="106"/>
      <c r="M518" s="137"/>
      <c r="N518" s="117"/>
    </row>
    <row r="519" spans="1:14" ht="15.6">
      <c r="A519" s="116"/>
      <c r="B519" s="117"/>
      <c r="C519" s="117"/>
      <c r="D519" s="137"/>
      <c r="E519" s="118"/>
      <c r="F519" s="118"/>
      <c r="G519" s="138"/>
      <c r="H519" s="138"/>
      <c r="I519" s="138"/>
      <c r="J519" s="138"/>
      <c r="K519" s="137"/>
      <c r="L519" s="106"/>
      <c r="M519" s="137"/>
      <c r="N519" s="137"/>
    </row>
    <row r="520" spans="1:14" ht="15.6">
      <c r="A520" s="113"/>
      <c r="B520" s="117"/>
      <c r="C520" s="117"/>
      <c r="D520" s="137"/>
      <c r="E520" s="118"/>
      <c r="F520" s="118"/>
      <c r="G520" s="138"/>
      <c r="H520" s="138"/>
      <c r="I520" s="138"/>
      <c r="J520" s="138"/>
      <c r="K520" s="137"/>
      <c r="L520" s="106"/>
      <c r="M520" s="137"/>
      <c r="N520" s="137"/>
    </row>
    <row r="521" spans="1:14" ht="15.6">
      <c r="A521" s="116"/>
      <c r="B521" s="117"/>
      <c r="C521" s="117"/>
      <c r="D521" s="137"/>
      <c r="E521" s="118"/>
      <c r="F521" s="118"/>
      <c r="G521" s="138"/>
      <c r="H521" s="138"/>
      <c r="I521" s="138"/>
      <c r="J521" s="138"/>
      <c r="K521" s="137"/>
      <c r="L521" s="106"/>
      <c r="M521" s="137"/>
      <c r="N521" s="137"/>
    </row>
    <row r="522" spans="1:14" ht="15.6">
      <c r="A522" s="113"/>
      <c r="B522" s="117"/>
      <c r="C522" s="117"/>
      <c r="D522" s="137"/>
      <c r="E522" s="118"/>
      <c r="F522" s="118"/>
      <c r="G522" s="138"/>
      <c r="H522" s="138"/>
      <c r="I522" s="138"/>
      <c r="J522" s="138"/>
      <c r="K522" s="137"/>
      <c r="L522" s="106"/>
      <c r="M522" s="137"/>
      <c r="N522" s="137"/>
    </row>
    <row r="523" spans="1:14" ht="15.6">
      <c r="A523" s="116"/>
      <c r="B523" s="117"/>
      <c r="C523" s="117"/>
      <c r="D523" s="137"/>
      <c r="E523" s="118"/>
      <c r="F523" s="118"/>
      <c r="G523" s="138"/>
      <c r="H523" s="138"/>
      <c r="I523" s="138"/>
      <c r="J523" s="138"/>
      <c r="K523" s="137"/>
      <c r="L523" s="106"/>
      <c r="M523" s="137"/>
      <c r="N523" s="137"/>
    </row>
    <row r="524" spans="1:14" ht="15.6">
      <c r="A524" s="113"/>
      <c r="B524" s="117"/>
      <c r="C524" s="117"/>
      <c r="D524" s="143"/>
      <c r="E524" s="118"/>
      <c r="F524" s="118"/>
      <c r="G524" s="138"/>
      <c r="H524" s="138"/>
      <c r="I524" s="138"/>
      <c r="J524" s="138"/>
      <c r="K524" s="144"/>
      <c r="L524" s="106"/>
      <c r="M524" s="137"/>
      <c r="N524" s="137"/>
    </row>
    <row r="525" spans="1:14" ht="15.6">
      <c r="A525" s="116"/>
      <c r="B525" s="117"/>
      <c r="C525" s="117"/>
      <c r="D525" s="137"/>
      <c r="E525" s="118"/>
      <c r="F525" s="118"/>
      <c r="G525" s="138"/>
      <c r="H525" s="138"/>
      <c r="I525" s="138"/>
      <c r="J525" s="138"/>
      <c r="K525" s="137"/>
      <c r="L525" s="106"/>
      <c r="M525" s="137"/>
      <c r="N525" s="137"/>
    </row>
    <row r="526" spans="1:14" ht="15.6">
      <c r="A526" s="113"/>
      <c r="B526" s="117"/>
      <c r="C526" s="117"/>
      <c r="D526" s="143"/>
      <c r="E526" s="118"/>
      <c r="F526" s="118"/>
      <c r="G526" s="138"/>
      <c r="H526" s="138"/>
      <c r="I526" s="138"/>
      <c r="J526" s="138"/>
      <c r="K526" s="144"/>
      <c r="L526" s="106"/>
      <c r="M526" s="137"/>
      <c r="N526" s="137"/>
    </row>
    <row r="527" spans="1:14" ht="15.6">
      <c r="A527" s="116"/>
      <c r="B527" s="117"/>
      <c r="C527" s="117"/>
      <c r="D527" s="137"/>
      <c r="E527" s="118"/>
      <c r="F527" s="118"/>
      <c r="G527" s="138"/>
      <c r="H527" s="138"/>
      <c r="I527" s="138"/>
      <c r="J527" s="138"/>
      <c r="K527" s="137"/>
      <c r="L527" s="106"/>
      <c r="M527" s="137"/>
      <c r="N527" s="137"/>
    </row>
    <row r="528" spans="1:14" ht="15.6">
      <c r="A528" s="113"/>
      <c r="B528" s="117"/>
      <c r="C528" s="117"/>
      <c r="D528" s="137"/>
      <c r="E528" s="118"/>
      <c r="F528" s="118"/>
      <c r="G528" s="138"/>
      <c r="H528" s="138"/>
      <c r="I528" s="138"/>
      <c r="J528" s="138"/>
      <c r="K528" s="137"/>
      <c r="L528" s="106"/>
      <c r="M528" s="137"/>
      <c r="N528" s="137"/>
    </row>
    <row r="529" spans="1:14" ht="15.6">
      <c r="A529" s="116"/>
      <c r="B529" s="117"/>
      <c r="C529" s="117"/>
      <c r="D529" s="143"/>
      <c r="E529" s="118"/>
      <c r="F529" s="118"/>
      <c r="G529" s="138"/>
      <c r="H529" s="138"/>
      <c r="I529" s="138"/>
      <c r="J529" s="138"/>
      <c r="K529" s="144"/>
      <c r="L529" s="106"/>
      <c r="M529" s="137"/>
      <c r="N529" s="137"/>
    </row>
    <row r="530" spans="1:14" ht="15.6">
      <c r="A530" s="113"/>
      <c r="B530" s="117"/>
      <c r="C530" s="117"/>
      <c r="D530" s="137"/>
      <c r="E530" s="118"/>
      <c r="F530" s="118"/>
      <c r="G530" s="138"/>
      <c r="H530" s="138"/>
      <c r="I530" s="138"/>
      <c r="J530" s="138"/>
      <c r="K530" s="137"/>
      <c r="L530" s="106"/>
      <c r="M530" s="137"/>
      <c r="N530" s="137"/>
    </row>
    <row r="531" spans="1:14" ht="15.6">
      <c r="A531" s="116"/>
      <c r="B531" s="117"/>
      <c r="C531" s="117"/>
      <c r="D531" s="137"/>
      <c r="E531" s="118"/>
      <c r="F531" s="118"/>
      <c r="G531" s="138"/>
      <c r="H531" s="138"/>
      <c r="I531" s="138"/>
      <c r="J531" s="138"/>
      <c r="K531" s="137"/>
      <c r="L531" s="106"/>
      <c r="M531" s="137"/>
      <c r="N531" s="137"/>
    </row>
    <row r="532" spans="1:14" ht="15.6">
      <c r="A532" s="113"/>
      <c r="B532" s="117"/>
      <c r="C532" s="117"/>
      <c r="D532" s="137"/>
      <c r="E532" s="118"/>
      <c r="F532" s="118"/>
      <c r="G532" s="138"/>
      <c r="H532" s="138"/>
      <c r="I532" s="138"/>
      <c r="J532" s="138"/>
      <c r="K532" s="137"/>
      <c r="L532" s="106"/>
      <c r="M532" s="137"/>
      <c r="N532" s="137"/>
    </row>
    <row r="533" spans="1:14" ht="15.6">
      <c r="A533" s="116"/>
      <c r="B533" s="117"/>
      <c r="C533" s="117"/>
      <c r="D533" s="137"/>
      <c r="E533" s="118"/>
      <c r="F533" s="118"/>
      <c r="G533" s="138"/>
      <c r="H533" s="138"/>
      <c r="I533" s="138"/>
      <c r="J533" s="138"/>
      <c r="K533" s="137"/>
      <c r="L533" s="106"/>
      <c r="M533" s="137"/>
      <c r="N533" s="137"/>
    </row>
    <row r="534" spans="1:14" ht="15.6">
      <c r="A534" s="113"/>
      <c r="B534" s="117"/>
      <c r="C534" s="117"/>
      <c r="D534" s="137"/>
      <c r="E534" s="118"/>
      <c r="F534" s="118"/>
      <c r="G534" s="138"/>
      <c r="H534" s="138"/>
      <c r="I534" s="138"/>
      <c r="J534" s="138"/>
      <c r="K534" s="137"/>
      <c r="L534" s="106"/>
      <c r="M534" s="137"/>
      <c r="N534" s="137"/>
    </row>
    <row r="535" spans="1:14" ht="15.6">
      <c r="A535" s="116"/>
      <c r="B535" s="117"/>
      <c r="C535" s="117"/>
      <c r="D535" s="137"/>
      <c r="E535" s="118"/>
      <c r="F535" s="118"/>
      <c r="G535" s="138"/>
      <c r="H535" s="138"/>
      <c r="I535" s="138"/>
      <c r="J535" s="138"/>
      <c r="K535" s="137"/>
      <c r="L535" s="106"/>
      <c r="M535" s="137"/>
      <c r="N535" s="137"/>
    </row>
    <row r="536" spans="1:14" ht="15.6">
      <c r="A536" s="113"/>
      <c r="B536" s="117"/>
      <c r="C536" s="117"/>
      <c r="D536" s="137"/>
      <c r="E536" s="118"/>
      <c r="F536" s="118"/>
      <c r="G536" s="138"/>
      <c r="H536" s="138"/>
      <c r="I536" s="138"/>
      <c r="J536" s="138"/>
      <c r="K536" s="137"/>
      <c r="L536" s="106"/>
      <c r="M536" s="137"/>
      <c r="N536" s="137"/>
    </row>
    <row r="537" spans="1:14" ht="15.6">
      <c r="A537" s="116"/>
      <c r="B537" s="117"/>
      <c r="C537" s="117"/>
      <c r="D537" s="142"/>
      <c r="E537" s="118"/>
      <c r="F537" s="118"/>
      <c r="G537" s="138"/>
      <c r="H537" s="138"/>
      <c r="I537" s="138"/>
      <c r="J537" s="138"/>
      <c r="K537" s="137"/>
      <c r="L537" s="106"/>
      <c r="M537" s="137"/>
      <c r="N537" s="137"/>
    </row>
    <row r="538" spans="1:14" ht="15.6">
      <c r="A538" s="113"/>
      <c r="B538" s="117"/>
      <c r="C538" s="117"/>
      <c r="D538" s="142"/>
      <c r="E538" s="118"/>
      <c r="F538" s="118"/>
      <c r="G538" s="138"/>
      <c r="H538" s="138"/>
      <c r="I538" s="138"/>
      <c r="J538" s="138"/>
      <c r="K538" s="137"/>
      <c r="L538" s="106"/>
      <c r="M538" s="137"/>
      <c r="N538" s="137"/>
    </row>
    <row r="539" spans="1:14" ht="15.6">
      <c r="A539" s="116"/>
      <c r="B539" s="117"/>
      <c r="C539" s="117"/>
      <c r="D539" s="142"/>
      <c r="E539" s="118"/>
      <c r="F539" s="118"/>
      <c r="G539" s="138"/>
      <c r="H539" s="138"/>
      <c r="I539" s="138"/>
      <c r="J539" s="138"/>
      <c r="K539" s="137"/>
      <c r="L539" s="106"/>
      <c r="M539" s="137"/>
      <c r="N539" s="137"/>
    </row>
    <row r="540" spans="1:14" ht="15.6">
      <c r="A540" s="113"/>
      <c r="B540" s="117"/>
      <c r="C540" s="117"/>
      <c r="D540" s="142"/>
      <c r="E540" s="118"/>
      <c r="F540" s="118"/>
      <c r="G540" s="138"/>
      <c r="H540" s="138"/>
      <c r="I540" s="138"/>
      <c r="J540" s="138"/>
      <c r="K540" s="137"/>
      <c r="L540" s="106"/>
    </row>
    <row r="541" spans="1:14" ht="15.6">
      <c r="A541" s="116"/>
      <c r="B541" s="117"/>
      <c r="C541" s="117"/>
      <c r="D541" s="142"/>
      <c r="E541" s="118"/>
      <c r="F541" s="118"/>
      <c r="G541" s="138"/>
      <c r="H541" s="138"/>
      <c r="I541" s="138"/>
      <c r="J541" s="138"/>
      <c r="K541" s="137"/>
      <c r="L541" s="106"/>
    </row>
    <row r="542" spans="1:14" ht="15.6">
      <c r="A542" s="116"/>
      <c r="E542" s="106"/>
      <c r="F542" s="106"/>
      <c r="G542" s="138"/>
      <c r="H542" s="138"/>
      <c r="I542" s="138"/>
      <c r="J542" s="138"/>
      <c r="K542" s="137"/>
      <c r="L542" s="106"/>
    </row>
    <row r="543" spans="1:14" ht="15.6">
      <c r="A543" s="116"/>
      <c r="E543" s="106"/>
      <c r="F543" s="106"/>
      <c r="G543" s="138"/>
      <c r="H543" s="138"/>
      <c r="I543" s="138"/>
      <c r="J543" s="138"/>
      <c r="K543" s="137"/>
      <c r="L543" s="106"/>
    </row>
    <row r="544" spans="1:14" ht="15.6">
      <c r="A544" s="116"/>
      <c r="E544" s="106"/>
      <c r="F544" s="106"/>
      <c r="G544" s="138"/>
      <c r="H544" s="138"/>
      <c r="I544" s="138"/>
      <c r="J544" s="138"/>
      <c r="K544" s="137"/>
      <c r="L544" s="106"/>
    </row>
    <row r="545" spans="1:12" ht="15.6">
      <c r="A545" s="116"/>
      <c r="E545" s="106"/>
      <c r="F545" s="106"/>
      <c r="G545" s="138"/>
      <c r="H545" s="138"/>
      <c r="I545" s="138"/>
      <c r="J545" s="138"/>
      <c r="K545" s="137"/>
      <c r="L545" s="106"/>
    </row>
    <row r="546" spans="1:12" ht="15.6">
      <c r="A546" s="116"/>
      <c r="E546" s="106"/>
      <c r="F546" s="106"/>
      <c r="G546" s="138"/>
      <c r="H546" s="138"/>
      <c r="I546" s="138"/>
      <c r="J546" s="138"/>
      <c r="K546" s="137"/>
      <c r="L546" s="106"/>
    </row>
    <row r="547" spans="1:12" ht="15.6">
      <c r="A547" s="116"/>
      <c r="E547" s="106"/>
      <c r="F547" s="106"/>
      <c r="G547" s="138"/>
      <c r="H547" s="138"/>
      <c r="I547" s="138"/>
      <c r="J547" s="138"/>
      <c r="K547" s="137"/>
      <c r="L547" s="106"/>
    </row>
    <row r="548" spans="1:12" ht="15.6">
      <c r="A548" s="116"/>
      <c r="E548" s="106"/>
      <c r="F548" s="106"/>
      <c r="G548" s="138"/>
      <c r="H548" s="138"/>
      <c r="I548" s="138"/>
      <c r="J548" s="138"/>
      <c r="K548" s="137"/>
      <c r="L548" s="106"/>
    </row>
    <row r="549" spans="1:12" ht="15.6">
      <c r="A549" s="116"/>
      <c r="E549" s="106"/>
      <c r="F549" s="106"/>
      <c r="G549" s="138"/>
      <c r="H549" s="138"/>
      <c r="I549" s="138"/>
      <c r="J549" s="138"/>
      <c r="K549" s="137"/>
      <c r="L549" s="106"/>
    </row>
    <row r="550" spans="1:12" ht="15.6">
      <c r="A550" s="116"/>
      <c r="E550" s="106"/>
      <c r="F550" s="106"/>
      <c r="G550" s="138"/>
      <c r="H550" s="138"/>
      <c r="I550" s="138"/>
      <c r="J550" s="138"/>
      <c r="K550" s="137"/>
      <c r="L550" s="106"/>
    </row>
    <row r="551" spans="1:12" ht="15.6">
      <c r="A551" s="116"/>
      <c r="E551" s="106"/>
      <c r="F551" s="106"/>
      <c r="G551" s="138"/>
      <c r="H551" s="138"/>
      <c r="I551" s="138"/>
      <c r="J551" s="138"/>
      <c r="K551" s="137"/>
      <c r="L551" s="106"/>
    </row>
    <row r="552" spans="1:12" ht="15.6">
      <c r="A552" s="116"/>
      <c r="E552" s="106"/>
      <c r="F552" s="106"/>
      <c r="G552" s="138"/>
      <c r="H552" s="138"/>
      <c r="I552" s="138"/>
      <c r="J552" s="138"/>
      <c r="K552" s="137"/>
      <c r="L552" s="106"/>
    </row>
    <row r="553" spans="1:12" ht="15.6">
      <c r="A553" s="116"/>
      <c r="E553" s="106"/>
      <c r="F553" s="106"/>
      <c r="G553" s="138"/>
      <c r="H553" s="138"/>
      <c r="I553" s="138"/>
      <c r="J553" s="138"/>
      <c r="K553" s="137"/>
      <c r="L553" s="106"/>
    </row>
    <row r="554" spans="1:12" ht="15.6">
      <c r="A554" s="116"/>
      <c r="E554" s="106"/>
      <c r="F554" s="106"/>
      <c r="G554" s="138"/>
      <c r="H554" s="138"/>
      <c r="I554" s="138"/>
      <c r="J554" s="138"/>
      <c r="K554" s="137"/>
      <c r="L554" s="106"/>
    </row>
    <row r="555" spans="1:12" ht="15.6">
      <c r="A555" s="116"/>
      <c r="E555" s="106"/>
      <c r="F555" s="106"/>
      <c r="G555" s="138"/>
      <c r="H555" s="138"/>
      <c r="I555" s="138"/>
      <c r="J555" s="138"/>
      <c r="K555" s="137"/>
      <c r="L555" s="106"/>
    </row>
    <row r="556" spans="1:12" ht="15.6">
      <c r="A556" s="116"/>
      <c r="E556" s="106"/>
      <c r="F556" s="106"/>
      <c r="G556" s="138"/>
      <c r="H556" s="138"/>
      <c r="I556" s="138"/>
      <c r="J556" s="138"/>
      <c r="K556" s="137"/>
      <c r="L556" s="106"/>
    </row>
    <row r="557" spans="1:12" ht="15.6">
      <c r="A557" s="116"/>
      <c r="E557" s="106"/>
      <c r="F557" s="106"/>
      <c r="G557" s="138"/>
      <c r="H557" s="138"/>
      <c r="I557" s="138"/>
      <c r="J557" s="138"/>
      <c r="K557" s="137"/>
      <c r="L557" s="106"/>
    </row>
    <row r="558" spans="1:12" ht="15.6">
      <c r="A558" s="116"/>
      <c r="E558" s="106"/>
      <c r="F558" s="106"/>
      <c r="G558" s="138"/>
      <c r="H558" s="138"/>
      <c r="I558" s="138"/>
      <c r="J558" s="138"/>
      <c r="K558" s="137"/>
      <c r="L558" s="106"/>
    </row>
    <row r="559" spans="1:12" ht="15.6">
      <c r="A559" s="116"/>
      <c r="E559" s="106"/>
      <c r="F559" s="106"/>
      <c r="G559" s="138"/>
      <c r="H559" s="138"/>
      <c r="I559" s="138"/>
      <c r="J559" s="138"/>
      <c r="K559" s="137"/>
      <c r="L559" s="106"/>
    </row>
    <row r="560" spans="1:12" ht="15.6">
      <c r="A560" s="116"/>
      <c r="E560" s="106"/>
      <c r="F560" s="106"/>
      <c r="G560" s="138"/>
      <c r="H560" s="138"/>
      <c r="I560" s="138"/>
      <c r="J560" s="138"/>
      <c r="K560" s="137"/>
      <c r="L560" s="106"/>
    </row>
    <row r="561" spans="1:12" ht="15.6">
      <c r="A561" s="116"/>
      <c r="E561" s="106"/>
      <c r="F561" s="106"/>
      <c r="G561" s="138"/>
      <c r="H561" s="138"/>
      <c r="I561" s="138"/>
      <c r="J561" s="138"/>
      <c r="K561" s="137"/>
      <c r="L561" s="106"/>
    </row>
    <row r="562" spans="1:12" ht="15.6">
      <c r="A562" s="116"/>
      <c r="E562" s="106"/>
      <c r="F562" s="106"/>
      <c r="G562" s="138"/>
      <c r="H562" s="138"/>
      <c r="I562" s="138"/>
      <c r="J562" s="138"/>
      <c r="K562" s="137"/>
      <c r="L562" s="106"/>
    </row>
    <row r="563" spans="1:12" ht="15.6">
      <c r="A563" s="116"/>
      <c r="E563" s="106"/>
      <c r="F563" s="106"/>
      <c r="G563" s="138"/>
      <c r="H563" s="138"/>
      <c r="I563" s="138"/>
      <c r="J563" s="138"/>
      <c r="K563" s="137"/>
      <c r="L563" s="106"/>
    </row>
    <row r="564" spans="1:12" ht="15.6">
      <c r="A564" s="116"/>
      <c r="E564" s="106"/>
      <c r="F564" s="106"/>
      <c r="G564" s="138"/>
      <c r="H564" s="138"/>
      <c r="I564" s="138"/>
      <c r="J564" s="138"/>
      <c r="K564" s="137"/>
      <c r="L564" s="106"/>
    </row>
    <row r="565" spans="1:12" ht="15.6">
      <c r="A565" s="116"/>
      <c r="E565" s="106"/>
      <c r="F565" s="106"/>
      <c r="G565" s="138"/>
      <c r="H565" s="138"/>
      <c r="I565" s="138"/>
      <c r="J565" s="138"/>
      <c r="K565" s="137"/>
      <c r="L565" s="106"/>
    </row>
    <row r="566" spans="1:12" ht="15.6">
      <c r="A566" s="116"/>
      <c r="E566" s="106"/>
      <c r="F566" s="106"/>
      <c r="G566" s="138"/>
      <c r="H566" s="138"/>
      <c r="I566" s="138"/>
      <c r="J566" s="138"/>
      <c r="K566" s="137"/>
      <c r="L566" s="106"/>
    </row>
    <row r="567" spans="1:12" ht="15.6">
      <c r="A567" s="116"/>
      <c r="E567" s="106"/>
      <c r="F567" s="106"/>
      <c r="G567" s="138"/>
      <c r="H567" s="138"/>
      <c r="I567" s="138"/>
      <c r="J567" s="138"/>
      <c r="K567" s="137"/>
      <c r="L567" s="106"/>
    </row>
    <row r="568" spans="1:12" ht="15.6">
      <c r="A568" s="116"/>
      <c r="E568" s="106"/>
      <c r="F568" s="106"/>
      <c r="G568" s="138"/>
      <c r="H568" s="138"/>
      <c r="I568" s="138"/>
      <c r="J568" s="138"/>
      <c r="K568" s="137"/>
      <c r="L568" s="106"/>
    </row>
    <row r="569" spans="1:12" ht="15.6">
      <c r="A569" s="116"/>
      <c r="E569" s="106"/>
      <c r="F569" s="106"/>
      <c r="G569" s="138"/>
      <c r="H569" s="138"/>
      <c r="I569" s="138"/>
      <c r="J569" s="138"/>
      <c r="K569" s="137"/>
      <c r="L569" s="106"/>
    </row>
    <row r="570" spans="1:12" ht="15.6">
      <c r="A570" s="116"/>
      <c r="E570" s="106"/>
      <c r="F570" s="106"/>
      <c r="G570" s="138"/>
      <c r="H570" s="138"/>
      <c r="I570" s="138"/>
      <c r="J570" s="138"/>
      <c r="K570" s="137"/>
      <c r="L570" s="106"/>
    </row>
    <row r="571" spans="1:12" ht="15.6">
      <c r="A571" s="116"/>
      <c r="E571" s="106"/>
      <c r="F571" s="106"/>
      <c r="G571" s="138"/>
      <c r="H571" s="138"/>
      <c r="I571" s="138"/>
      <c r="J571" s="138"/>
      <c r="K571" s="137"/>
      <c r="L571" s="106"/>
    </row>
    <row r="572" spans="1:12" ht="15.6">
      <c r="A572" s="116"/>
      <c r="E572" s="106"/>
      <c r="F572" s="106"/>
      <c r="G572" s="138"/>
      <c r="H572" s="138"/>
      <c r="I572" s="138"/>
      <c r="J572" s="138"/>
      <c r="K572" s="137"/>
      <c r="L572" s="106"/>
    </row>
    <row r="573" spans="1:12" ht="15.6">
      <c r="A573" s="116"/>
      <c r="E573" s="106"/>
      <c r="F573" s="106"/>
      <c r="G573" s="138"/>
      <c r="H573" s="138"/>
      <c r="I573" s="138"/>
      <c r="J573" s="138"/>
      <c r="K573" s="137"/>
      <c r="L573" s="106"/>
    </row>
    <row r="574" spans="1:12" ht="15.6">
      <c r="A574" s="116"/>
      <c r="E574" s="106"/>
      <c r="F574" s="106"/>
      <c r="G574" s="138"/>
      <c r="H574" s="138"/>
      <c r="I574" s="138"/>
      <c r="J574" s="138"/>
      <c r="K574" s="137"/>
      <c r="L574" s="106"/>
    </row>
    <row r="575" spans="1:12" ht="15.6">
      <c r="A575" s="116"/>
      <c r="E575" s="106"/>
      <c r="F575" s="106"/>
      <c r="G575" s="138"/>
      <c r="H575" s="138"/>
      <c r="I575" s="138"/>
      <c r="J575" s="138"/>
      <c r="K575" s="137"/>
      <c r="L575" s="106"/>
    </row>
    <row r="576" spans="1:12" ht="15.6">
      <c r="A576" s="116"/>
      <c r="E576" s="106"/>
      <c r="F576" s="106"/>
      <c r="G576" s="138"/>
      <c r="H576" s="138"/>
      <c r="I576" s="138"/>
      <c r="J576" s="138"/>
      <c r="K576" s="137"/>
      <c r="L576" s="106"/>
    </row>
    <row r="577" spans="1:12" ht="15.6">
      <c r="A577" s="116"/>
      <c r="E577" s="106"/>
      <c r="F577" s="106"/>
      <c r="G577" s="138"/>
      <c r="H577" s="138"/>
      <c r="I577" s="138"/>
      <c r="J577" s="138"/>
      <c r="K577" s="137"/>
      <c r="L577" s="106"/>
    </row>
    <row r="578" spans="1:12" ht="15.6">
      <c r="A578" s="116"/>
      <c r="E578" s="106"/>
      <c r="F578" s="106"/>
      <c r="G578" s="138"/>
      <c r="H578" s="138"/>
      <c r="I578" s="138"/>
      <c r="J578" s="138"/>
      <c r="K578" s="137"/>
      <c r="L578" s="106"/>
    </row>
    <row r="579" spans="1:12" ht="15.6">
      <c r="A579" s="116"/>
      <c r="E579" s="106"/>
      <c r="F579" s="106"/>
      <c r="G579" s="138"/>
      <c r="H579" s="138"/>
      <c r="I579" s="138"/>
      <c r="J579" s="138"/>
      <c r="K579" s="137"/>
      <c r="L579" s="106"/>
    </row>
    <row r="580" spans="1:12" ht="15.6">
      <c r="A580" s="116"/>
      <c r="E580" s="106"/>
      <c r="F580" s="106"/>
      <c r="G580" s="138"/>
      <c r="H580" s="138"/>
      <c r="I580" s="138"/>
      <c r="J580" s="138"/>
      <c r="K580" s="137"/>
      <c r="L580" s="106"/>
    </row>
    <row r="581" spans="1:12" ht="15.6">
      <c r="A581" s="116"/>
      <c r="E581" s="106"/>
      <c r="F581" s="106"/>
      <c r="G581" s="138"/>
      <c r="H581" s="138"/>
      <c r="I581" s="138"/>
      <c r="J581" s="138"/>
      <c r="K581" s="137"/>
      <c r="L581" s="106"/>
    </row>
    <row r="582" spans="1:12" ht="15.6">
      <c r="A582" s="116"/>
      <c r="E582" s="106"/>
      <c r="F582" s="106"/>
      <c r="G582" s="138"/>
      <c r="H582" s="138"/>
      <c r="I582" s="138"/>
      <c r="J582" s="138"/>
      <c r="K582" s="137"/>
      <c r="L582" s="106"/>
    </row>
    <row r="583" spans="1:12" ht="15.6">
      <c r="A583" s="116"/>
      <c r="E583" s="106"/>
      <c r="F583" s="106"/>
      <c r="G583" s="138"/>
      <c r="H583" s="138"/>
      <c r="I583" s="138"/>
      <c r="J583" s="138"/>
      <c r="K583" s="137"/>
      <c r="L583" s="106"/>
    </row>
    <row r="584" spans="1:12" ht="15.6">
      <c r="A584" s="116"/>
      <c r="E584" s="106"/>
      <c r="F584" s="106"/>
      <c r="G584" s="138"/>
      <c r="H584" s="138"/>
      <c r="I584" s="138"/>
      <c r="J584" s="138"/>
      <c r="K584" s="137"/>
      <c r="L584" s="106"/>
    </row>
    <row r="585" spans="1:12" ht="15.6">
      <c r="A585" s="116"/>
      <c r="E585" s="106"/>
      <c r="F585" s="106"/>
      <c r="G585" s="138"/>
      <c r="H585" s="138"/>
      <c r="I585" s="138"/>
      <c r="J585" s="138"/>
      <c r="K585" s="137"/>
      <c r="L585" s="106"/>
    </row>
    <row r="586" spans="1:12" ht="15.6">
      <c r="A586" s="116"/>
      <c r="E586" s="106"/>
      <c r="F586" s="106"/>
      <c r="G586" s="138"/>
      <c r="H586" s="138"/>
      <c r="I586" s="138"/>
      <c r="J586" s="138"/>
      <c r="K586" s="137"/>
      <c r="L586" s="106"/>
    </row>
    <row r="587" spans="1:12" ht="15.6">
      <c r="A587" s="116"/>
      <c r="E587" s="106"/>
      <c r="F587" s="106"/>
      <c r="G587" s="138"/>
      <c r="H587" s="138"/>
      <c r="I587" s="138"/>
      <c r="J587" s="138"/>
      <c r="K587" s="137"/>
      <c r="L587" s="106"/>
    </row>
    <row r="588" spans="1:12" ht="15.6">
      <c r="A588" s="116"/>
      <c r="E588" s="106"/>
      <c r="F588" s="106"/>
      <c r="G588" s="138"/>
      <c r="H588" s="138"/>
      <c r="I588" s="138"/>
      <c r="J588" s="138"/>
      <c r="K588" s="137"/>
      <c r="L588" s="106"/>
    </row>
    <row r="589" spans="1:12" ht="15.6">
      <c r="A589" s="116"/>
      <c r="E589" s="106"/>
      <c r="F589" s="106"/>
      <c r="G589" s="138"/>
      <c r="H589" s="138"/>
      <c r="I589" s="138"/>
      <c r="J589" s="138"/>
      <c r="K589" s="137"/>
      <c r="L589" s="106"/>
    </row>
    <row r="590" spans="1:12" ht="15.6">
      <c r="A590" s="116"/>
      <c r="E590" s="106"/>
      <c r="F590" s="106"/>
      <c r="G590" s="138"/>
      <c r="H590" s="138"/>
      <c r="I590" s="138"/>
      <c r="J590" s="138"/>
      <c r="K590" s="137"/>
      <c r="L590" s="106"/>
    </row>
    <row r="591" spans="1:12" ht="15.6">
      <c r="A591" s="116"/>
      <c r="E591" s="106"/>
      <c r="F591" s="106"/>
      <c r="G591" s="138"/>
      <c r="H591" s="138"/>
      <c r="I591" s="138"/>
      <c r="J591" s="138"/>
      <c r="K591" s="137"/>
      <c r="L591" s="106"/>
    </row>
    <row r="592" spans="1:12" ht="15.6">
      <c r="A592" s="116"/>
      <c r="E592" s="106"/>
      <c r="F592" s="106"/>
      <c r="G592" s="138"/>
      <c r="H592" s="138"/>
      <c r="I592" s="138"/>
      <c r="J592" s="138"/>
      <c r="K592" s="137"/>
      <c r="L592" s="106"/>
    </row>
    <row r="593" spans="1:12" ht="15.6">
      <c r="A593" s="116"/>
      <c r="E593" s="106"/>
      <c r="F593" s="106"/>
      <c r="G593" s="138"/>
      <c r="H593" s="138"/>
      <c r="I593" s="138"/>
      <c r="J593" s="138"/>
      <c r="K593" s="137"/>
      <c r="L593" s="106"/>
    </row>
    <row r="594" spans="1:12" ht="15.6">
      <c r="A594" s="116"/>
      <c r="E594" s="106"/>
      <c r="F594" s="106"/>
      <c r="G594" s="138"/>
      <c r="H594" s="138"/>
      <c r="I594" s="138"/>
      <c r="J594" s="138"/>
      <c r="K594" s="137"/>
      <c r="L594" s="106"/>
    </row>
    <row r="595" spans="1:12" ht="15.6">
      <c r="A595" s="116"/>
      <c r="E595" s="106"/>
      <c r="F595" s="106"/>
      <c r="G595" s="138"/>
      <c r="H595" s="138"/>
      <c r="I595" s="138"/>
      <c r="J595" s="138"/>
      <c r="K595" s="137"/>
      <c r="L595" s="106"/>
    </row>
    <row r="596" spans="1:12" ht="15.6">
      <c r="A596" s="116"/>
      <c r="E596" s="106"/>
      <c r="F596" s="106"/>
      <c r="G596" s="138"/>
      <c r="H596" s="138"/>
      <c r="I596" s="138"/>
      <c r="J596" s="138"/>
      <c r="K596" s="137"/>
      <c r="L596" s="106"/>
    </row>
    <row r="597" spans="1:12" ht="15.6">
      <c r="A597" s="116"/>
      <c r="E597" s="106"/>
      <c r="F597" s="106"/>
      <c r="G597" s="138"/>
      <c r="H597" s="138"/>
      <c r="I597" s="138"/>
      <c r="J597" s="138"/>
      <c r="K597" s="137"/>
      <c r="L597" s="106"/>
    </row>
    <row r="598" spans="1:12" ht="15.6">
      <c r="A598" s="116"/>
      <c r="E598" s="106"/>
      <c r="F598" s="106"/>
      <c r="G598" s="138"/>
      <c r="H598" s="138"/>
      <c r="I598" s="138"/>
      <c r="J598" s="138"/>
      <c r="K598" s="137"/>
      <c r="L598" s="106"/>
    </row>
    <row r="599" spans="1:12" ht="15.6">
      <c r="A599" s="116"/>
      <c r="E599" s="106"/>
      <c r="F599" s="106"/>
      <c r="G599" s="138"/>
      <c r="H599" s="138"/>
      <c r="I599" s="138"/>
      <c r="J599" s="138"/>
      <c r="K599" s="137"/>
      <c r="L599" s="106"/>
    </row>
    <row r="600" spans="1:12" ht="15.6">
      <c r="A600" s="116"/>
      <c r="E600" s="106"/>
      <c r="F600" s="106"/>
      <c r="G600" s="138"/>
      <c r="H600" s="138"/>
      <c r="I600" s="138"/>
      <c r="J600" s="138"/>
      <c r="K600" s="137"/>
      <c r="L600" s="106"/>
    </row>
    <row r="601" spans="1:12" ht="15.6">
      <c r="A601" s="116"/>
      <c r="E601" s="106"/>
      <c r="F601" s="106"/>
      <c r="G601" s="138"/>
      <c r="H601" s="138"/>
      <c r="I601" s="138"/>
      <c r="J601" s="138"/>
      <c r="K601" s="137"/>
      <c r="L601" s="106"/>
    </row>
    <row r="602" spans="1:12" ht="15.6">
      <c r="A602" s="116"/>
      <c r="E602" s="106"/>
      <c r="F602" s="106"/>
      <c r="G602" s="138"/>
      <c r="H602" s="138"/>
      <c r="I602" s="138"/>
      <c r="J602" s="138"/>
      <c r="K602" s="137"/>
      <c r="L602" s="106"/>
    </row>
    <row r="603" spans="1:12" ht="15.6">
      <c r="A603" s="116"/>
      <c r="E603" s="106"/>
      <c r="F603" s="106"/>
      <c r="G603" s="138"/>
      <c r="H603" s="138"/>
      <c r="I603" s="138"/>
      <c r="J603" s="138"/>
      <c r="K603" s="137"/>
      <c r="L603" s="106"/>
    </row>
    <row r="604" spans="1:12" ht="15.6">
      <c r="A604" s="116"/>
      <c r="E604" s="106"/>
      <c r="F604" s="106"/>
      <c r="G604" s="138"/>
      <c r="H604" s="138"/>
      <c r="I604" s="138"/>
      <c r="J604" s="138"/>
      <c r="K604" s="137"/>
      <c r="L604" s="106"/>
    </row>
    <row r="605" spans="1:12" ht="15.6">
      <c r="A605" s="116"/>
      <c r="E605" s="106"/>
      <c r="F605" s="106"/>
      <c r="G605" s="138"/>
      <c r="H605" s="138"/>
      <c r="I605" s="138"/>
      <c r="J605" s="138"/>
      <c r="K605" s="137"/>
      <c r="L605" s="106"/>
    </row>
    <row r="606" spans="1:12" ht="15.6">
      <c r="A606" s="116"/>
      <c r="E606" s="106"/>
      <c r="F606" s="106"/>
      <c r="G606" s="138"/>
      <c r="H606" s="138"/>
      <c r="I606" s="138"/>
      <c r="J606" s="138"/>
      <c r="K606" s="137"/>
      <c r="L606" s="106"/>
    </row>
    <row r="607" spans="1:12" ht="15.6">
      <c r="A607" s="116"/>
      <c r="E607" s="106"/>
      <c r="F607" s="106"/>
      <c r="G607" s="138"/>
      <c r="H607" s="138"/>
      <c r="I607" s="138"/>
      <c r="J607" s="138"/>
      <c r="K607" s="137"/>
      <c r="L607" s="106"/>
    </row>
    <row r="608" spans="1:12" ht="15.6">
      <c r="A608" s="116"/>
      <c r="E608" s="106"/>
      <c r="F608" s="106"/>
      <c r="G608" s="138"/>
      <c r="H608" s="138"/>
      <c r="I608" s="138"/>
      <c r="J608" s="138"/>
      <c r="K608" s="137"/>
      <c r="L608" s="106"/>
    </row>
    <row r="609" spans="1:12" ht="15.6">
      <c r="A609" s="116"/>
      <c r="E609" s="106"/>
      <c r="F609" s="106"/>
      <c r="G609" s="138"/>
      <c r="H609" s="138"/>
      <c r="I609" s="138"/>
      <c r="J609" s="138"/>
      <c r="K609" s="137"/>
      <c r="L609" s="106"/>
    </row>
    <row r="610" spans="1:12" ht="15.6">
      <c r="A610" s="116"/>
      <c r="E610" s="106"/>
      <c r="F610" s="106"/>
      <c r="G610" s="138"/>
      <c r="H610" s="138"/>
      <c r="I610" s="138"/>
      <c r="J610" s="138"/>
      <c r="K610" s="137"/>
      <c r="L610" s="106"/>
    </row>
    <row r="611" spans="1:12" ht="15.6">
      <c r="A611" s="116"/>
      <c r="E611" s="106"/>
      <c r="F611" s="106"/>
      <c r="G611" s="138"/>
      <c r="H611" s="138"/>
      <c r="I611" s="138"/>
      <c r="J611" s="138"/>
      <c r="K611" s="137"/>
      <c r="L611" s="106"/>
    </row>
    <row r="612" spans="1:12" ht="15.6">
      <c r="A612" s="116"/>
      <c r="E612" s="106"/>
      <c r="F612" s="106"/>
      <c r="G612" s="138"/>
      <c r="H612" s="138"/>
      <c r="I612" s="138"/>
      <c r="J612" s="138"/>
      <c r="K612" s="137"/>
      <c r="L612" s="106"/>
    </row>
    <row r="613" spans="1:12" ht="15.6">
      <c r="A613" s="116"/>
      <c r="E613" s="106"/>
      <c r="F613" s="106"/>
      <c r="G613" s="138"/>
      <c r="H613" s="138"/>
      <c r="I613" s="138"/>
      <c r="J613" s="138"/>
      <c r="K613" s="137"/>
      <c r="L613" s="106"/>
    </row>
    <row r="614" spans="1:12" ht="15.6">
      <c r="A614" s="116"/>
      <c r="E614" s="106"/>
      <c r="F614" s="106"/>
      <c r="G614" s="138"/>
      <c r="H614" s="138"/>
      <c r="I614" s="138"/>
      <c r="J614" s="138"/>
      <c r="K614" s="137"/>
      <c r="L614" s="106"/>
    </row>
    <row r="615" spans="1:12" ht="15.6">
      <c r="A615" s="116"/>
      <c r="E615" s="106"/>
      <c r="F615" s="106"/>
      <c r="G615" s="138"/>
      <c r="H615" s="138"/>
      <c r="I615" s="138"/>
      <c r="J615" s="138"/>
      <c r="K615" s="137"/>
      <c r="L615" s="106"/>
    </row>
    <row r="616" spans="1:12" ht="15.6">
      <c r="A616" s="116"/>
      <c r="E616" s="106"/>
      <c r="F616" s="106"/>
      <c r="G616" s="138"/>
      <c r="H616" s="138"/>
      <c r="I616" s="138"/>
      <c r="J616" s="138"/>
      <c r="K616" s="137"/>
      <c r="L616" s="106"/>
    </row>
    <row r="617" spans="1:12" ht="15.6">
      <c r="A617" s="116"/>
      <c r="E617" s="106"/>
      <c r="F617" s="106"/>
      <c r="G617" s="138"/>
      <c r="H617" s="138"/>
      <c r="I617" s="138"/>
      <c r="J617" s="138"/>
      <c r="K617" s="137"/>
      <c r="L617" s="106"/>
    </row>
    <row r="618" spans="1:12" ht="15.6">
      <c r="A618" s="116"/>
      <c r="E618" s="106"/>
      <c r="F618" s="106"/>
      <c r="G618" s="138"/>
      <c r="H618" s="138"/>
      <c r="I618" s="138"/>
      <c r="J618" s="138"/>
      <c r="K618" s="137"/>
      <c r="L618" s="106"/>
    </row>
    <row r="619" spans="1:12" ht="15.6">
      <c r="A619" s="116"/>
      <c r="E619" s="106"/>
      <c r="F619" s="106"/>
      <c r="G619" s="138"/>
      <c r="H619" s="138"/>
      <c r="I619" s="138"/>
      <c r="J619" s="138"/>
      <c r="K619" s="137"/>
      <c r="L619" s="106"/>
    </row>
    <row r="620" spans="1:12" ht="15.6">
      <c r="A620" s="116"/>
      <c r="E620" s="106"/>
      <c r="F620" s="106"/>
      <c r="G620" s="138"/>
      <c r="H620" s="138"/>
      <c r="I620" s="138"/>
      <c r="J620" s="138"/>
      <c r="K620" s="137"/>
      <c r="L620" s="106"/>
    </row>
    <row r="621" spans="1:12" ht="15.6">
      <c r="A621" s="116"/>
      <c r="E621" s="106"/>
      <c r="F621" s="106"/>
      <c r="G621" s="138"/>
      <c r="H621" s="138"/>
      <c r="I621" s="138"/>
      <c r="J621" s="138"/>
      <c r="K621" s="137"/>
      <c r="L621" s="106"/>
    </row>
    <row r="622" spans="1:12" ht="15.6">
      <c r="A622" s="116"/>
      <c r="E622" s="106"/>
      <c r="F622" s="106"/>
      <c r="G622" s="138"/>
      <c r="H622" s="138"/>
      <c r="I622" s="138"/>
      <c r="J622" s="138"/>
      <c r="K622" s="137"/>
      <c r="L622" s="106"/>
    </row>
    <row r="623" spans="1:12" ht="15.6">
      <c r="A623" s="116"/>
      <c r="E623" s="106"/>
      <c r="F623" s="106"/>
      <c r="G623" s="138"/>
      <c r="H623" s="138"/>
      <c r="I623" s="138"/>
      <c r="J623" s="138"/>
      <c r="K623" s="137"/>
      <c r="L623" s="106"/>
    </row>
    <row r="624" spans="1:12" ht="15.6">
      <c r="A624" s="116"/>
      <c r="E624" s="106"/>
      <c r="F624" s="106"/>
      <c r="G624" s="138"/>
      <c r="H624" s="138"/>
      <c r="I624" s="138"/>
      <c r="J624" s="138"/>
      <c r="K624" s="137"/>
      <c r="L624" s="106"/>
    </row>
    <row r="625" spans="1:12" ht="15.6">
      <c r="A625" s="116"/>
      <c r="E625" s="106"/>
      <c r="F625" s="106"/>
      <c r="G625" s="138"/>
      <c r="H625" s="138"/>
      <c r="I625" s="138"/>
      <c r="J625" s="138"/>
      <c r="K625" s="137"/>
      <c r="L625" s="106"/>
    </row>
    <row r="626" spans="1:12" ht="15.6">
      <c r="A626" s="116"/>
      <c r="E626" s="106"/>
      <c r="F626" s="106"/>
      <c r="G626" s="138"/>
      <c r="H626" s="138"/>
      <c r="I626" s="138"/>
      <c r="J626" s="138"/>
      <c r="K626" s="137"/>
      <c r="L626" s="106"/>
    </row>
    <row r="627" spans="1:12" ht="15.6">
      <c r="A627" s="116"/>
      <c r="E627" s="106"/>
      <c r="F627" s="106"/>
      <c r="G627" s="138"/>
      <c r="H627" s="138"/>
      <c r="I627" s="138"/>
      <c r="J627" s="138"/>
      <c r="K627" s="137"/>
      <c r="L627" s="106"/>
    </row>
    <row r="628" spans="1:12" ht="15.6">
      <c r="A628" s="116"/>
      <c r="E628" s="106"/>
      <c r="F628" s="106"/>
      <c r="G628" s="138"/>
      <c r="H628" s="138"/>
      <c r="I628" s="138"/>
      <c r="J628" s="138"/>
      <c r="K628" s="137"/>
      <c r="L628" s="106"/>
    </row>
    <row r="629" spans="1:12" ht="15.6">
      <c r="A629" s="116"/>
      <c r="E629" s="106"/>
      <c r="F629" s="106"/>
      <c r="G629" s="138"/>
      <c r="H629" s="138"/>
      <c r="I629" s="138"/>
      <c r="J629" s="138"/>
      <c r="K629" s="137"/>
      <c r="L629" s="106"/>
    </row>
    <row r="630" spans="1:12" ht="15.6">
      <c r="A630" s="116"/>
      <c r="E630" s="106"/>
      <c r="F630" s="106"/>
      <c r="G630" s="138"/>
      <c r="H630" s="138"/>
      <c r="I630" s="138"/>
      <c r="J630" s="138"/>
      <c r="K630" s="137"/>
      <c r="L630" s="106"/>
    </row>
    <row r="631" spans="1:12" ht="15.6">
      <c r="A631" s="116"/>
      <c r="E631" s="106"/>
      <c r="F631" s="106"/>
      <c r="G631" s="138"/>
      <c r="H631" s="138"/>
      <c r="I631" s="138"/>
      <c r="J631" s="138"/>
      <c r="K631" s="137"/>
      <c r="L631" s="106"/>
    </row>
    <row r="632" spans="1:12" ht="15.6">
      <c r="A632" s="116"/>
      <c r="E632" s="106"/>
      <c r="F632" s="106"/>
      <c r="G632" s="138"/>
      <c r="H632" s="138"/>
      <c r="I632" s="138"/>
      <c r="J632" s="138"/>
      <c r="K632" s="137"/>
      <c r="L632" s="106"/>
    </row>
    <row r="633" spans="1:12" ht="15.6">
      <c r="A633" s="116"/>
      <c r="E633" s="106"/>
      <c r="F633" s="106"/>
      <c r="G633" s="138"/>
      <c r="H633" s="138"/>
      <c r="I633" s="138"/>
      <c r="J633" s="138"/>
      <c r="K633" s="137"/>
      <c r="L633" s="106"/>
    </row>
    <row r="634" spans="1:12" ht="15.6">
      <c r="A634" s="116"/>
      <c r="E634" s="106"/>
      <c r="F634" s="106"/>
      <c r="G634" s="138"/>
      <c r="H634" s="138"/>
      <c r="I634" s="138"/>
      <c r="J634" s="138"/>
      <c r="K634" s="137"/>
      <c r="L634" s="106"/>
    </row>
    <row r="635" spans="1:12" ht="15.6">
      <c r="A635" s="116"/>
      <c r="E635" s="106"/>
      <c r="F635" s="106"/>
      <c r="G635" s="138"/>
      <c r="H635" s="138"/>
      <c r="I635" s="138"/>
      <c r="J635" s="138"/>
      <c r="K635" s="137"/>
      <c r="L635" s="106"/>
    </row>
    <row r="636" spans="1:12" ht="15.6">
      <c r="A636" s="116"/>
      <c r="E636" s="106"/>
      <c r="F636" s="106"/>
      <c r="G636" s="138"/>
      <c r="H636" s="138"/>
      <c r="I636" s="138"/>
      <c r="J636" s="138"/>
      <c r="K636" s="137"/>
      <c r="L636" s="106"/>
    </row>
    <row r="637" spans="1:12" ht="15.6">
      <c r="A637" s="116"/>
      <c r="E637" s="106"/>
      <c r="F637" s="106"/>
      <c r="G637" s="138"/>
      <c r="H637" s="138"/>
      <c r="I637" s="138"/>
      <c r="J637" s="138"/>
      <c r="K637" s="137"/>
      <c r="L637" s="106"/>
    </row>
    <row r="638" spans="1:12" ht="15.6">
      <c r="A638" s="116"/>
      <c r="E638" s="106"/>
      <c r="F638" s="106"/>
      <c r="G638" s="138"/>
      <c r="H638" s="138"/>
      <c r="I638" s="138"/>
      <c r="J638" s="138"/>
      <c r="K638" s="137"/>
      <c r="L638" s="106"/>
    </row>
    <row r="639" spans="1:12" ht="15.6">
      <c r="A639" s="116"/>
      <c r="E639" s="106"/>
      <c r="F639" s="106"/>
      <c r="G639" s="138"/>
      <c r="H639" s="138"/>
      <c r="I639" s="138"/>
      <c r="J639" s="138"/>
      <c r="K639" s="137"/>
      <c r="L639" s="106"/>
    </row>
    <row r="640" spans="1:12" ht="15.6">
      <c r="A640" s="116"/>
      <c r="E640" s="106"/>
      <c r="F640" s="106"/>
      <c r="G640" s="138"/>
      <c r="H640" s="138"/>
      <c r="I640" s="138"/>
      <c r="J640" s="138"/>
      <c r="K640" s="137"/>
      <c r="L640" s="106"/>
    </row>
    <row r="641" spans="1:12" ht="15.6">
      <c r="A641" s="116"/>
      <c r="E641" s="106"/>
      <c r="F641" s="106"/>
      <c r="G641" s="138"/>
      <c r="H641" s="138"/>
      <c r="I641" s="138"/>
      <c r="J641" s="138"/>
      <c r="K641" s="137"/>
      <c r="L641" s="106"/>
    </row>
    <row r="642" spans="1:12" ht="15.6">
      <c r="A642" s="116"/>
      <c r="E642" s="106"/>
      <c r="F642" s="106"/>
      <c r="G642" s="138"/>
      <c r="H642" s="138"/>
      <c r="I642" s="138"/>
      <c r="J642" s="138"/>
      <c r="K642" s="137"/>
      <c r="L642" s="106"/>
    </row>
    <row r="643" spans="1:12" ht="15.6">
      <c r="A643" s="116"/>
      <c r="E643" s="106"/>
      <c r="F643" s="106"/>
      <c r="G643" s="138"/>
      <c r="H643" s="138"/>
      <c r="I643" s="138"/>
      <c r="J643" s="138"/>
      <c r="K643" s="137"/>
      <c r="L643" s="106"/>
    </row>
    <row r="644" spans="1:12" ht="15.6">
      <c r="A644" s="116"/>
      <c r="E644" s="106"/>
      <c r="F644" s="106"/>
      <c r="G644" s="138"/>
      <c r="H644" s="138"/>
      <c r="I644" s="138"/>
      <c r="J644" s="138"/>
      <c r="K644" s="137"/>
      <c r="L644" s="106"/>
    </row>
    <row r="645" spans="1:12" ht="15.6">
      <c r="A645" s="116"/>
      <c r="E645" s="106"/>
      <c r="F645" s="106"/>
      <c r="G645" s="138"/>
      <c r="H645" s="138"/>
      <c r="I645" s="138"/>
      <c r="J645" s="138"/>
      <c r="K645" s="137"/>
      <c r="L645" s="106"/>
    </row>
    <row r="646" spans="1:12" ht="15.6">
      <c r="A646" s="116"/>
      <c r="E646" s="106"/>
      <c r="F646" s="106"/>
      <c r="G646" s="138"/>
      <c r="H646" s="138"/>
      <c r="I646" s="138"/>
      <c r="J646" s="138"/>
      <c r="K646" s="137"/>
      <c r="L646" s="106"/>
    </row>
    <row r="647" spans="1:12" ht="15.6">
      <c r="A647" s="116"/>
      <c r="E647" s="106"/>
      <c r="F647" s="106"/>
      <c r="G647" s="138"/>
      <c r="H647" s="138"/>
      <c r="I647" s="138"/>
      <c r="J647" s="138"/>
      <c r="K647" s="137"/>
      <c r="L647" s="106"/>
    </row>
    <row r="648" spans="1:12" ht="15.6">
      <c r="A648" s="116"/>
      <c r="E648" s="106"/>
      <c r="F648" s="106"/>
      <c r="G648" s="138"/>
      <c r="H648" s="138"/>
      <c r="I648" s="138"/>
      <c r="J648" s="138"/>
      <c r="K648" s="137"/>
      <c r="L648" s="106"/>
    </row>
    <row r="649" spans="1:12" ht="15.6">
      <c r="A649" s="116"/>
      <c r="E649" s="106"/>
      <c r="F649" s="106"/>
      <c r="G649" s="138"/>
      <c r="H649" s="138"/>
      <c r="I649" s="138"/>
      <c r="J649" s="138"/>
      <c r="K649" s="137"/>
      <c r="L649" s="106"/>
    </row>
    <row r="650" spans="1:12" ht="15.6">
      <c r="A650" s="116"/>
      <c r="E650" s="106"/>
      <c r="F650" s="106"/>
      <c r="G650" s="138"/>
      <c r="H650" s="138"/>
      <c r="I650" s="138"/>
      <c r="J650" s="138"/>
      <c r="K650" s="137"/>
      <c r="L650" s="106"/>
    </row>
    <row r="651" spans="1:12" ht="15.6">
      <c r="A651" s="116"/>
      <c r="E651" s="106"/>
      <c r="F651" s="106"/>
      <c r="G651" s="138"/>
      <c r="H651" s="138"/>
      <c r="I651" s="138"/>
      <c r="J651" s="138"/>
      <c r="K651" s="137"/>
      <c r="L651" s="106"/>
    </row>
    <row r="652" spans="1:12" ht="15.6">
      <c r="A652" s="116"/>
      <c r="E652" s="106"/>
      <c r="F652" s="106"/>
      <c r="G652" s="138"/>
      <c r="H652" s="138"/>
      <c r="I652" s="138"/>
      <c r="J652" s="138"/>
      <c r="K652" s="137"/>
      <c r="L652" s="106"/>
    </row>
    <row r="653" spans="1:12" ht="15.6">
      <c r="A653" s="116"/>
      <c r="E653" s="106"/>
      <c r="F653" s="106"/>
      <c r="G653" s="138"/>
      <c r="H653" s="138"/>
      <c r="I653" s="138"/>
      <c r="J653" s="138"/>
      <c r="K653" s="137"/>
      <c r="L653" s="106"/>
    </row>
    <row r="654" spans="1:12" ht="15.6">
      <c r="A654" s="116"/>
      <c r="E654" s="106"/>
      <c r="F654" s="106"/>
      <c r="G654" s="138"/>
      <c r="H654" s="138"/>
      <c r="I654" s="138"/>
      <c r="J654" s="138"/>
      <c r="K654" s="137"/>
      <c r="L654" s="106"/>
    </row>
    <row r="655" spans="1:12" ht="15.6">
      <c r="A655" s="116"/>
      <c r="E655" s="106"/>
      <c r="F655" s="106"/>
      <c r="G655" s="138"/>
      <c r="H655" s="138"/>
      <c r="I655" s="138"/>
      <c r="J655" s="138"/>
      <c r="K655" s="137"/>
      <c r="L655" s="106"/>
    </row>
    <row r="656" spans="1:12" ht="15.6">
      <c r="A656" s="116"/>
      <c r="E656" s="106"/>
      <c r="F656" s="106"/>
      <c r="G656" s="138"/>
      <c r="H656" s="138"/>
      <c r="I656" s="138"/>
      <c r="J656" s="138"/>
      <c r="K656" s="137"/>
      <c r="L656" s="106"/>
    </row>
    <row r="657" spans="1:12" ht="15.6">
      <c r="A657" s="116"/>
      <c r="E657" s="106"/>
      <c r="F657" s="106"/>
      <c r="G657" s="138"/>
      <c r="H657" s="138"/>
      <c r="I657" s="138"/>
      <c r="J657" s="138"/>
      <c r="K657" s="137"/>
      <c r="L657" s="106"/>
    </row>
    <row r="658" spans="1:12" ht="15.6">
      <c r="A658" s="116"/>
      <c r="E658" s="106"/>
      <c r="F658" s="106"/>
      <c r="G658" s="138"/>
      <c r="H658" s="138"/>
      <c r="I658" s="138"/>
      <c r="J658" s="138"/>
      <c r="K658" s="137"/>
      <c r="L658" s="106"/>
    </row>
    <row r="659" spans="1:12" ht="15.6">
      <c r="A659" s="116"/>
      <c r="E659" s="106"/>
      <c r="F659" s="106"/>
      <c r="G659" s="138"/>
      <c r="H659" s="138"/>
      <c r="I659" s="138"/>
      <c r="J659" s="138"/>
      <c r="K659" s="137"/>
      <c r="L659" s="106"/>
    </row>
    <row r="660" spans="1:12" ht="15.6">
      <c r="A660" s="116"/>
      <c r="E660" s="106"/>
      <c r="F660" s="106"/>
      <c r="G660" s="138"/>
      <c r="H660" s="138"/>
      <c r="I660" s="138"/>
      <c r="J660" s="138"/>
      <c r="K660" s="137"/>
      <c r="L660" s="106"/>
    </row>
    <row r="661" spans="1:12" ht="15.6">
      <c r="A661" s="116"/>
      <c r="E661" s="106"/>
      <c r="F661" s="106"/>
      <c r="G661" s="138"/>
      <c r="H661" s="138"/>
      <c r="I661" s="138"/>
      <c r="J661" s="138"/>
      <c r="K661" s="137"/>
      <c r="L661" s="106"/>
    </row>
    <row r="662" spans="1:12" ht="15.6">
      <c r="A662" s="116"/>
      <c r="E662" s="106"/>
      <c r="F662" s="106"/>
      <c r="G662" s="138"/>
      <c r="H662" s="138"/>
      <c r="I662" s="138"/>
      <c r="J662" s="138"/>
      <c r="K662" s="137"/>
      <c r="L662" s="106"/>
    </row>
    <row r="663" spans="1:12" ht="15.6">
      <c r="A663" s="116"/>
      <c r="E663" s="106"/>
      <c r="F663" s="106"/>
      <c r="G663" s="138"/>
      <c r="H663" s="138"/>
      <c r="I663" s="138"/>
      <c r="J663" s="138"/>
      <c r="K663" s="137"/>
      <c r="L663" s="106"/>
    </row>
    <row r="664" spans="1:12" ht="15.6">
      <c r="A664" s="116"/>
      <c r="E664" s="106"/>
      <c r="F664" s="106"/>
      <c r="G664" s="138"/>
      <c r="H664" s="138"/>
      <c r="I664" s="138"/>
      <c r="J664" s="138"/>
      <c r="K664" s="137"/>
      <c r="L664" s="106"/>
    </row>
    <row r="665" spans="1:12" ht="15.6">
      <c r="A665" s="116"/>
      <c r="E665" s="106"/>
      <c r="F665" s="106"/>
      <c r="G665" s="138"/>
      <c r="H665" s="138"/>
      <c r="I665" s="138"/>
      <c r="J665" s="138"/>
      <c r="K665" s="137"/>
      <c r="L665" s="106"/>
    </row>
    <row r="666" spans="1:12" ht="15.6">
      <c r="A666" s="116"/>
      <c r="E666" s="106"/>
      <c r="F666" s="106"/>
      <c r="G666" s="138"/>
      <c r="H666" s="138"/>
      <c r="I666" s="138"/>
      <c r="J666" s="138"/>
      <c r="K666" s="137"/>
      <c r="L666" s="106"/>
    </row>
    <row r="667" spans="1:12" ht="15.6">
      <c r="A667" s="116"/>
      <c r="E667" s="106"/>
      <c r="F667" s="106"/>
      <c r="G667" s="138"/>
      <c r="H667" s="138"/>
      <c r="I667" s="138"/>
      <c r="J667" s="138"/>
      <c r="K667" s="137"/>
      <c r="L667" s="106"/>
    </row>
    <row r="668" spans="1:12" ht="15.6">
      <c r="A668" s="116"/>
      <c r="E668" s="106"/>
      <c r="F668" s="106"/>
      <c r="G668" s="138"/>
      <c r="H668" s="138"/>
      <c r="I668" s="138"/>
      <c r="J668" s="138"/>
      <c r="K668" s="137"/>
      <c r="L668" s="106"/>
    </row>
    <row r="669" spans="1:12" ht="15.6">
      <c r="A669" s="116"/>
      <c r="E669" s="106"/>
      <c r="F669" s="106"/>
      <c r="G669" s="138"/>
      <c r="H669" s="138"/>
      <c r="I669" s="138"/>
      <c r="J669" s="138"/>
      <c r="K669" s="137"/>
      <c r="L669" s="106"/>
    </row>
    <row r="670" spans="1:12" ht="15.6">
      <c r="A670" s="116"/>
      <c r="E670" s="106"/>
      <c r="F670" s="106"/>
      <c r="G670" s="138"/>
      <c r="H670" s="138"/>
      <c r="I670" s="138"/>
      <c r="J670" s="138"/>
      <c r="K670" s="137"/>
      <c r="L670" s="106"/>
    </row>
    <row r="671" spans="1:12" ht="15.6">
      <c r="A671" s="116"/>
      <c r="E671" s="106"/>
      <c r="F671" s="106"/>
      <c r="G671" s="138"/>
      <c r="H671" s="138"/>
      <c r="I671" s="138"/>
      <c r="J671" s="138"/>
      <c r="K671" s="137"/>
      <c r="L671" s="106"/>
    </row>
    <row r="672" spans="1:12" ht="15.6">
      <c r="A672" s="116"/>
      <c r="E672" s="106"/>
      <c r="F672" s="106"/>
      <c r="G672" s="138"/>
      <c r="H672" s="138"/>
      <c r="I672" s="138"/>
      <c r="J672" s="138"/>
      <c r="K672" s="137"/>
      <c r="L672" s="106"/>
    </row>
    <row r="673" spans="1:12" ht="15.6">
      <c r="A673" s="116"/>
      <c r="E673" s="106"/>
      <c r="F673" s="106"/>
      <c r="G673" s="138"/>
      <c r="H673" s="138"/>
      <c r="I673" s="138"/>
      <c r="J673" s="138"/>
      <c r="K673" s="137"/>
      <c r="L673" s="106"/>
    </row>
    <row r="674" spans="1:12" ht="15.6">
      <c r="A674" s="116"/>
      <c r="E674" s="106"/>
      <c r="F674" s="106"/>
      <c r="G674" s="138"/>
      <c r="H674" s="138"/>
      <c r="I674" s="138"/>
      <c r="J674" s="138"/>
      <c r="K674" s="137"/>
      <c r="L674" s="106"/>
    </row>
    <row r="675" spans="1:12" ht="15.6">
      <c r="A675" s="116"/>
      <c r="E675" s="106"/>
      <c r="F675" s="106"/>
      <c r="G675" s="138"/>
      <c r="H675" s="138"/>
      <c r="I675" s="138"/>
      <c r="J675" s="138"/>
      <c r="K675" s="137"/>
      <c r="L675" s="106"/>
    </row>
    <row r="676" spans="1:12" ht="15.6">
      <c r="A676" s="116"/>
      <c r="E676" s="106"/>
      <c r="F676" s="106"/>
      <c r="G676" s="138"/>
      <c r="H676" s="138"/>
      <c r="I676" s="138"/>
      <c r="J676" s="138"/>
      <c r="K676" s="137"/>
      <c r="L676" s="106"/>
    </row>
    <row r="677" spans="1:12" ht="15.6">
      <c r="A677" s="116"/>
      <c r="E677" s="106"/>
      <c r="F677" s="106"/>
      <c r="G677" s="138"/>
      <c r="H677" s="138"/>
      <c r="I677" s="138"/>
      <c r="J677" s="138"/>
      <c r="K677" s="137"/>
      <c r="L677" s="106"/>
    </row>
    <row r="678" spans="1:12" ht="15.6">
      <c r="A678" s="116"/>
      <c r="E678" s="106"/>
      <c r="F678" s="106"/>
      <c r="G678" s="138"/>
      <c r="H678" s="138"/>
      <c r="I678" s="138"/>
      <c r="J678" s="138"/>
      <c r="K678" s="137"/>
      <c r="L678" s="106"/>
    </row>
    <row r="679" spans="1:12" ht="15.6">
      <c r="A679" s="116"/>
      <c r="E679" s="106"/>
      <c r="F679" s="106"/>
      <c r="G679" s="138"/>
      <c r="H679" s="138"/>
      <c r="I679" s="138"/>
      <c r="J679" s="138"/>
      <c r="K679" s="137"/>
      <c r="L679" s="106"/>
    </row>
    <row r="680" spans="1:12" ht="15.6">
      <c r="A680" s="116"/>
      <c r="E680" s="106"/>
      <c r="F680" s="106"/>
      <c r="G680" s="138"/>
      <c r="H680" s="138"/>
      <c r="I680" s="138"/>
      <c r="J680" s="138"/>
      <c r="K680" s="137"/>
      <c r="L680" s="106"/>
    </row>
    <row r="681" spans="1:12" ht="15.6">
      <c r="A681" s="116"/>
      <c r="E681" s="106"/>
      <c r="F681" s="106"/>
      <c r="G681" s="138"/>
      <c r="H681" s="138"/>
      <c r="I681" s="138"/>
      <c r="J681" s="138"/>
      <c r="K681" s="137"/>
      <c r="L681" s="106"/>
    </row>
    <row r="682" spans="1:12" ht="15.6">
      <c r="A682" s="116"/>
      <c r="E682" s="106"/>
      <c r="F682" s="106"/>
      <c r="G682" s="138"/>
      <c r="H682" s="138"/>
      <c r="I682" s="138"/>
      <c r="J682" s="138"/>
      <c r="K682" s="137"/>
      <c r="L682" s="106"/>
    </row>
    <row r="683" spans="1:12" ht="15.6">
      <c r="A683" s="116"/>
      <c r="E683" s="106"/>
      <c r="F683" s="106"/>
      <c r="G683" s="138"/>
      <c r="H683" s="138"/>
      <c r="I683" s="138"/>
      <c r="J683" s="138"/>
      <c r="K683" s="137"/>
      <c r="L683" s="106"/>
    </row>
    <row r="684" spans="1:12" ht="15.6">
      <c r="A684" s="116"/>
      <c r="E684" s="106"/>
      <c r="F684" s="106"/>
      <c r="G684" s="138"/>
      <c r="H684" s="138"/>
      <c r="I684" s="138"/>
      <c r="J684" s="138"/>
      <c r="K684" s="137"/>
      <c r="L684" s="106"/>
    </row>
    <row r="685" spans="1:12" ht="15.6">
      <c r="A685" s="116"/>
      <c r="E685" s="106"/>
      <c r="F685" s="106"/>
      <c r="G685" s="138"/>
      <c r="H685" s="138"/>
      <c r="I685" s="138"/>
      <c r="J685" s="138"/>
      <c r="K685" s="137"/>
      <c r="L685" s="106"/>
    </row>
    <row r="686" spans="1:12" ht="15.6">
      <c r="A686" s="116"/>
      <c r="E686" s="106"/>
      <c r="F686" s="106"/>
      <c r="G686" s="138"/>
      <c r="H686" s="138"/>
      <c r="I686" s="138"/>
      <c r="J686" s="138"/>
      <c r="K686" s="137"/>
      <c r="L686" s="106"/>
    </row>
    <row r="687" spans="1:12" ht="15.6">
      <c r="A687" s="116"/>
      <c r="E687" s="106"/>
      <c r="F687" s="106"/>
      <c r="G687" s="138"/>
      <c r="H687" s="138"/>
      <c r="I687" s="138"/>
      <c r="J687" s="138"/>
      <c r="K687" s="137"/>
      <c r="L687" s="106"/>
    </row>
    <row r="688" spans="1:12" ht="15.6">
      <c r="A688" s="116"/>
      <c r="E688" s="106"/>
      <c r="F688" s="106"/>
      <c r="G688" s="138"/>
      <c r="H688" s="138"/>
      <c r="I688" s="138"/>
      <c r="J688" s="138"/>
      <c r="K688" s="137"/>
      <c r="L688" s="106"/>
    </row>
    <row r="689" spans="1:12" ht="15.6">
      <c r="A689" s="116"/>
      <c r="E689" s="106"/>
      <c r="F689" s="106"/>
      <c r="G689" s="138"/>
      <c r="H689" s="138"/>
      <c r="I689" s="138"/>
      <c r="J689" s="138"/>
      <c r="K689" s="137"/>
      <c r="L689" s="106"/>
    </row>
    <row r="690" spans="1:12" ht="15.6">
      <c r="A690" s="116"/>
      <c r="E690" s="106"/>
      <c r="F690" s="106"/>
      <c r="G690" s="138"/>
      <c r="H690" s="138"/>
      <c r="I690" s="138"/>
      <c r="J690" s="138"/>
      <c r="K690" s="137"/>
      <c r="L690" s="106"/>
    </row>
    <row r="691" spans="1:12" ht="15.6">
      <c r="A691" s="116"/>
      <c r="E691" s="106"/>
      <c r="F691" s="106"/>
      <c r="G691" s="138"/>
      <c r="H691" s="138"/>
      <c r="I691" s="138"/>
      <c r="J691" s="138"/>
      <c r="K691" s="137"/>
      <c r="L691" s="106"/>
    </row>
    <row r="692" spans="1:12" ht="15.6">
      <c r="A692" s="116"/>
      <c r="E692" s="106"/>
      <c r="F692" s="106"/>
      <c r="G692" s="138"/>
      <c r="H692" s="138"/>
      <c r="I692" s="138"/>
      <c r="J692" s="138"/>
      <c r="K692" s="137"/>
      <c r="L692" s="106"/>
    </row>
    <row r="693" spans="1:12" ht="15.6">
      <c r="A693" s="116"/>
      <c r="E693" s="106"/>
      <c r="F693" s="106"/>
      <c r="G693" s="138"/>
      <c r="H693" s="138"/>
      <c r="I693" s="138"/>
      <c r="J693" s="138"/>
      <c r="K693" s="137"/>
      <c r="L693" s="106"/>
    </row>
    <row r="694" spans="1:12" ht="15.6">
      <c r="A694" s="116"/>
      <c r="E694" s="106"/>
      <c r="F694" s="106"/>
      <c r="G694" s="138"/>
      <c r="H694" s="138"/>
      <c r="I694" s="138"/>
      <c r="J694" s="138"/>
      <c r="K694" s="137"/>
      <c r="L694" s="106"/>
    </row>
    <row r="695" spans="1:12" ht="15.6">
      <c r="A695" s="116"/>
      <c r="E695" s="106"/>
      <c r="F695" s="106"/>
      <c r="G695" s="138"/>
      <c r="H695" s="138"/>
      <c r="I695" s="138"/>
      <c r="J695" s="138"/>
      <c r="K695" s="137"/>
      <c r="L695" s="106"/>
    </row>
    <row r="696" spans="1:12" ht="15.6">
      <c r="A696" s="116"/>
      <c r="E696" s="106"/>
      <c r="F696" s="106"/>
      <c r="G696" s="138"/>
      <c r="H696" s="138"/>
      <c r="I696" s="138"/>
      <c r="J696" s="138"/>
      <c r="K696" s="137"/>
      <c r="L696" s="106"/>
    </row>
    <row r="697" spans="1:12" ht="15.6">
      <c r="A697" s="116"/>
      <c r="E697" s="106"/>
      <c r="F697" s="106"/>
      <c r="G697" s="138"/>
      <c r="H697" s="138"/>
      <c r="I697" s="138"/>
      <c r="J697" s="138"/>
      <c r="K697" s="137"/>
      <c r="L697" s="106"/>
    </row>
    <row r="698" spans="1:12" ht="15.6">
      <c r="A698" s="116"/>
      <c r="E698" s="106"/>
      <c r="F698" s="106"/>
      <c r="G698" s="138"/>
      <c r="H698" s="138"/>
      <c r="I698" s="138"/>
      <c r="J698" s="138"/>
      <c r="K698" s="137"/>
      <c r="L698" s="106"/>
    </row>
    <row r="699" spans="1:12" ht="15.6">
      <c r="A699" s="116"/>
      <c r="E699" s="106"/>
      <c r="F699" s="106"/>
      <c r="G699" s="138"/>
      <c r="H699" s="138"/>
      <c r="I699" s="138"/>
      <c r="J699" s="138"/>
      <c r="K699" s="137"/>
      <c r="L699" s="106"/>
    </row>
    <row r="700" spans="1:12" ht="15.6">
      <c r="A700" s="116"/>
      <c r="E700" s="106"/>
      <c r="F700" s="106"/>
      <c r="G700" s="138"/>
      <c r="H700" s="138"/>
      <c r="I700" s="138"/>
      <c r="J700" s="138"/>
      <c r="K700" s="137"/>
      <c r="L700" s="106"/>
    </row>
    <row r="701" spans="1:12" ht="15.6">
      <c r="A701" s="116"/>
      <c r="E701" s="106"/>
      <c r="F701" s="106"/>
      <c r="G701" s="138"/>
      <c r="H701" s="138"/>
      <c r="I701" s="138"/>
      <c r="J701" s="138"/>
      <c r="K701" s="137"/>
      <c r="L701" s="106"/>
    </row>
    <row r="702" spans="1:12" ht="15.6">
      <c r="A702" s="116"/>
      <c r="E702" s="106"/>
      <c r="F702" s="106"/>
      <c r="G702" s="138"/>
      <c r="H702" s="138"/>
      <c r="I702" s="138"/>
      <c r="J702" s="138"/>
      <c r="K702" s="137"/>
      <c r="L702" s="106"/>
    </row>
    <row r="703" spans="1:12" ht="15.6">
      <c r="A703" s="116"/>
      <c r="E703" s="106"/>
      <c r="F703" s="106"/>
      <c r="G703" s="138"/>
      <c r="H703" s="138"/>
      <c r="I703" s="138"/>
      <c r="J703" s="138"/>
      <c r="K703" s="137"/>
      <c r="L703" s="106"/>
    </row>
    <row r="704" spans="1:12" ht="15.6">
      <c r="A704" s="116"/>
      <c r="E704" s="106"/>
      <c r="F704" s="106"/>
      <c r="G704" s="138"/>
      <c r="H704" s="138"/>
      <c r="I704" s="138"/>
      <c r="J704" s="138"/>
      <c r="K704" s="137"/>
      <c r="L704" s="106"/>
    </row>
    <row r="705" spans="1:12" ht="15.6">
      <c r="A705" s="116"/>
      <c r="E705" s="106"/>
      <c r="F705" s="106"/>
      <c r="G705" s="138"/>
      <c r="H705" s="138"/>
      <c r="I705" s="138"/>
      <c r="J705" s="138"/>
      <c r="K705" s="137"/>
      <c r="L705" s="106"/>
    </row>
    <row r="706" spans="1:12" ht="15.6">
      <c r="A706" s="116"/>
      <c r="E706" s="106"/>
      <c r="F706" s="106"/>
      <c r="G706" s="138"/>
      <c r="H706" s="138"/>
      <c r="I706" s="138"/>
      <c r="J706" s="138"/>
      <c r="K706" s="137"/>
      <c r="L706" s="106"/>
    </row>
    <row r="707" spans="1:12" ht="15.6">
      <c r="A707" s="116"/>
      <c r="E707" s="106"/>
      <c r="F707" s="106"/>
      <c r="G707" s="138"/>
      <c r="H707" s="138"/>
      <c r="I707" s="138"/>
      <c r="J707" s="138"/>
      <c r="K707" s="137"/>
      <c r="L707" s="106"/>
    </row>
    <row r="708" spans="1:12" ht="15.6">
      <c r="A708" s="116"/>
      <c r="E708" s="106"/>
      <c r="F708" s="106"/>
      <c r="G708" s="138"/>
      <c r="H708" s="138"/>
      <c r="I708" s="138"/>
      <c r="J708" s="138"/>
      <c r="K708" s="137"/>
      <c r="L708" s="106"/>
    </row>
    <row r="709" spans="1:12" ht="15.6">
      <c r="A709" s="116"/>
      <c r="E709" s="106"/>
      <c r="F709" s="106"/>
      <c r="G709" s="138"/>
      <c r="H709" s="138"/>
      <c r="I709" s="138"/>
      <c r="J709" s="138"/>
      <c r="K709" s="137"/>
      <c r="L709" s="106"/>
    </row>
    <row r="710" spans="1:12" ht="15.6">
      <c r="A710" s="116"/>
      <c r="E710" s="106"/>
      <c r="F710" s="106"/>
      <c r="G710" s="138"/>
      <c r="H710" s="138"/>
      <c r="I710" s="138"/>
      <c r="J710" s="138"/>
      <c r="K710" s="137"/>
      <c r="L710" s="106"/>
    </row>
    <row r="711" spans="1:12" ht="15.6">
      <c r="A711" s="116"/>
      <c r="E711" s="106"/>
      <c r="F711" s="106"/>
      <c r="G711" s="138"/>
      <c r="H711" s="138"/>
      <c r="I711" s="138"/>
      <c r="J711" s="138"/>
      <c r="K711" s="137"/>
      <c r="L711" s="106"/>
    </row>
    <row r="712" spans="1:12" ht="15.6">
      <c r="A712" s="116"/>
      <c r="E712" s="106"/>
      <c r="F712" s="106"/>
      <c r="G712" s="138"/>
      <c r="H712" s="138"/>
      <c r="I712" s="138"/>
      <c r="J712" s="138"/>
      <c r="K712" s="137"/>
      <c r="L712" s="106"/>
    </row>
    <row r="713" spans="1:12" ht="15.6">
      <c r="A713" s="116"/>
      <c r="E713" s="106"/>
      <c r="F713" s="106"/>
      <c r="G713" s="138"/>
      <c r="H713" s="138"/>
      <c r="I713" s="138"/>
      <c r="J713" s="138"/>
      <c r="K713" s="137"/>
      <c r="L713" s="106"/>
    </row>
    <row r="714" spans="1:12" ht="15.6">
      <c r="A714" s="116"/>
      <c r="E714" s="106"/>
      <c r="F714" s="106"/>
      <c r="G714" s="138"/>
      <c r="H714" s="138"/>
      <c r="I714" s="138"/>
      <c r="J714" s="138"/>
      <c r="K714" s="137"/>
      <c r="L714" s="106"/>
    </row>
    <row r="715" spans="1:12" ht="15.6">
      <c r="A715" s="116"/>
      <c r="E715" s="106"/>
      <c r="F715" s="106"/>
      <c r="G715" s="138"/>
      <c r="H715" s="138"/>
      <c r="I715" s="138"/>
      <c r="J715" s="138"/>
      <c r="K715" s="137"/>
      <c r="L715" s="106"/>
    </row>
    <row r="716" spans="1:12" ht="15.6">
      <c r="A716" s="116"/>
      <c r="E716" s="106"/>
      <c r="F716" s="106"/>
      <c r="G716" s="138"/>
      <c r="H716" s="138"/>
      <c r="I716" s="138"/>
      <c r="J716" s="138"/>
      <c r="K716" s="137"/>
      <c r="L716" s="106"/>
    </row>
    <row r="717" spans="1:12" ht="15.6">
      <c r="A717" s="116"/>
      <c r="E717" s="106"/>
      <c r="F717" s="106"/>
      <c r="G717" s="138"/>
      <c r="H717" s="138"/>
      <c r="I717" s="138"/>
      <c r="J717" s="138"/>
      <c r="K717" s="137"/>
      <c r="L717" s="106"/>
    </row>
    <row r="718" spans="1:12" ht="15.6">
      <c r="A718" s="116"/>
      <c r="E718" s="106"/>
      <c r="F718" s="106"/>
      <c r="G718" s="138"/>
      <c r="H718" s="138"/>
      <c r="I718" s="138"/>
      <c r="J718" s="138"/>
      <c r="K718" s="137"/>
      <c r="L718" s="106"/>
    </row>
    <row r="719" spans="1:12" ht="15.6">
      <c r="A719" s="116"/>
      <c r="E719" s="106"/>
      <c r="F719" s="106"/>
      <c r="G719" s="138"/>
      <c r="H719" s="138"/>
      <c r="I719" s="138"/>
      <c r="J719" s="138"/>
      <c r="K719" s="137"/>
      <c r="L719" s="106"/>
    </row>
    <row r="720" spans="1:12" ht="15.6">
      <c r="A720" s="116"/>
      <c r="E720" s="106"/>
      <c r="F720" s="106"/>
      <c r="G720" s="138"/>
      <c r="H720" s="138"/>
      <c r="I720" s="138"/>
      <c r="J720" s="138"/>
      <c r="K720" s="137"/>
      <c r="L720" s="106"/>
    </row>
    <row r="721" spans="1:12" ht="15.6">
      <c r="A721" s="116"/>
      <c r="E721" s="106"/>
      <c r="F721" s="106"/>
      <c r="G721" s="138"/>
      <c r="H721" s="138"/>
      <c r="I721" s="138"/>
      <c r="J721" s="138"/>
      <c r="K721" s="137"/>
      <c r="L721" s="106"/>
    </row>
    <row r="722" spans="1:12" ht="15.6">
      <c r="A722" s="116"/>
      <c r="E722" s="106"/>
      <c r="F722" s="106"/>
      <c r="G722" s="138"/>
      <c r="H722" s="138"/>
      <c r="I722" s="138"/>
      <c r="J722" s="138"/>
      <c r="K722" s="137"/>
      <c r="L722" s="106"/>
    </row>
    <row r="723" spans="1:12" ht="15.6">
      <c r="A723" s="116"/>
      <c r="E723" s="106"/>
      <c r="F723" s="106"/>
      <c r="G723" s="138"/>
      <c r="H723" s="138"/>
      <c r="I723" s="138"/>
      <c r="J723" s="138"/>
      <c r="K723" s="137"/>
      <c r="L723" s="106"/>
    </row>
    <row r="724" spans="1:12" ht="15.6">
      <c r="A724" s="116"/>
      <c r="E724" s="106"/>
      <c r="F724" s="106"/>
      <c r="G724" s="138"/>
      <c r="H724" s="138"/>
      <c r="I724" s="138"/>
      <c r="J724" s="138"/>
      <c r="K724" s="137"/>
      <c r="L724" s="106"/>
    </row>
    <row r="725" spans="1:12" ht="15.6">
      <c r="A725" s="116"/>
      <c r="E725" s="106"/>
      <c r="F725" s="106"/>
      <c r="G725" s="138"/>
      <c r="H725" s="138"/>
      <c r="I725" s="138"/>
      <c r="J725" s="138"/>
      <c r="K725" s="137"/>
      <c r="L725" s="106"/>
    </row>
    <row r="726" spans="1:12" ht="15.6">
      <c r="A726" s="116"/>
      <c r="E726" s="106"/>
      <c r="F726" s="106"/>
      <c r="G726" s="138"/>
      <c r="H726" s="138"/>
      <c r="I726" s="138"/>
      <c r="J726" s="138"/>
      <c r="K726" s="137"/>
      <c r="L726" s="106"/>
    </row>
    <row r="727" spans="1:12" ht="15.6">
      <c r="A727" s="116"/>
      <c r="E727" s="106"/>
      <c r="F727" s="106"/>
      <c r="G727" s="138"/>
      <c r="H727" s="138"/>
      <c r="I727" s="138"/>
      <c r="J727" s="138"/>
      <c r="K727" s="137"/>
      <c r="L727" s="106"/>
    </row>
    <row r="728" spans="1:12" ht="15.6">
      <c r="A728" s="116"/>
      <c r="E728" s="106"/>
      <c r="F728" s="106"/>
      <c r="G728" s="138"/>
      <c r="H728" s="138"/>
      <c r="I728" s="138"/>
      <c r="J728" s="138"/>
      <c r="K728" s="137"/>
      <c r="L728" s="106"/>
    </row>
    <row r="729" spans="1:12" ht="15.6">
      <c r="A729" s="116"/>
      <c r="E729" s="106"/>
      <c r="F729" s="106"/>
      <c r="G729" s="138"/>
      <c r="H729" s="138"/>
      <c r="I729" s="138"/>
      <c r="J729" s="138"/>
      <c r="K729" s="137"/>
      <c r="L729" s="106"/>
    </row>
    <row r="730" spans="1:12" ht="15.6">
      <c r="A730" s="116"/>
      <c r="E730" s="106"/>
      <c r="F730" s="106"/>
      <c r="G730" s="138"/>
      <c r="H730" s="138"/>
      <c r="I730" s="138"/>
      <c r="J730" s="138"/>
      <c r="K730" s="137"/>
      <c r="L730" s="106"/>
    </row>
    <row r="731" spans="1:12" ht="15.6">
      <c r="A731" s="116"/>
      <c r="E731" s="106"/>
      <c r="F731" s="106"/>
      <c r="G731" s="138"/>
      <c r="H731" s="138"/>
      <c r="I731" s="138"/>
      <c r="J731" s="138"/>
      <c r="K731" s="137"/>
      <c r="L731" s="106"/>
    </row>
    <row r="732" spans="1:12" ht="15.6">
      <c r="A732" s="116"/>
      <c r="E732" s="106"/>
      <c r="F732" s="106"/>
      <c r="G732" s="138"/>
      <c r="H732" s="138"/>
      <c r="I732" s="138"/>
      <c r="J732" s="138"/>
      <c r="K732" s="137"/>
      <c r="L732" s="106"/>
    </row>
    <row r="733" spans="1:12" ht="15.6">
      <c r="A733" s="116"/>
      <c r="E733" s="106"/>
      <c r="F733" s="106"/>
      <c r="G733" s="138"/>
      <c r="H733" s="138"/>
      <c r="I733" s="138"/>
      <c r="J733" s="138"/>
      <c r="K733" s="137"/>
      <c r="L733" s="106"/>
    </row>
    <row r="734" spans="1:12" ht="15.6">
      <c r="A734" s="116"/>
      <c r="E734" s="106"/>
      <c r="F734" s="106"/>
      <c r="G734" s="138"/>
      <c r="H734" s="138"/>
      <c r="I734" s="138"/>
      <c r="J734" s="138"/>
      <c r="K734" s="137"/>
      <c r="L734" s="106"/>
    </row>
    <row r="735" spans="1:12" ht="15.6">
      <c r="A735" s="116"/>
      <c r="E735" s="106"/>
      <c r="F735" s="106"/>
      <c r="G735" s="138"/>
      <c r="H735" s="138"/>
      <c r="I735" s="138"/>
      <c r="J735" s="138"/>
      <c r="K735" s="137"/>
      <c r="L735" s="106"/>
    </row>
    <row r="736" spans="1:12" ht="15.6">
      <c r="A736" s="116"/>
      <c r="E736" s="106"/>
      <c r="F736" s="106"/>
      <c r="G736" s="138"/>
      <c r="H736" s="138"/>
      <c r="I736" s="138"/>
      <c r="J736" s="138"/>
      <c r="K736" s="137"/>
      <c r="L736" s="106"/>
    </row>
    <row r="737" spans="1:12" ht="15.6">
      <c r="A737" s="116"/>
      <c r="E737" s="106"/>
      <c r="F737" s="106"/>
      <c r="G737" s="138"/>
      <c r="H737" s="138"/>
      <c r="I737" s="138"/>
      <c r="J737" s="138"/>
      <c r="K737" s="137"/>
      <c r="L737" s="106"/>
    </row>
    <row r="738" spans="1:12" ht="15.6">
      <c r="A738" s="116"/>
      <c r="E738" s="106"/>
      <c r="F738" s="106"/>
      <c r="G738" s="138"/>
      <c r="H738" s="138"/>
      <c r="I738" s="138"/>
      <c r="J738" s="138"/>
      <c r="K738" s="137"/>
      <c r="L738" s="106"/>
    </row>
    <row r="739" spans="1:12" ht="15.6">
      <c r="A739" s="116"/>
      <c r="E739" s="106"/>
      <c r="F739" s="106"/>
      <c r="G739" s="138"/>
      <c r="H739" s="138"/>
      <c r="I739" s="138"/>
      <c r="J739" s="138"/>
      <c r="K739" s="137"/>
      <c r="L739" s="106"/>
    </row>
    <row r="740" spans="1:12" ht="15.6">
      <c r="A740" s="116"/>
      <c r="E740" s="106"/>
      <c r="F740" s="106"/>
      <c r="G740" s="138"/>
      <c r="H740" s="138"/>
      <c r="I740" s="138"/>
      <c r="J740" s="138"/>
      <c r="K740" s="137"/>
      <c r="L740" s="106"/>
    </row>
    <row r="741" spans="1:12" ht="15.6">
      <c r="A741" s="116"/>
      <c r="E741" s="106"/>
      <c r="F741" s="106"/>
      <c r="G741" s="138"/>
      <c r="H741" s="138"/>
      <c r="I741" s="138"/>
      <c r="J741" s="138"/>
      <c r="K741" s="137"/>
      <c r="L741" s="106"/>
    </row>
    <row r="742" spans="1:12" ht="15.6">
      <c r="A742" s="116"/>
      <c r="E742" s="106"/>
      <c r="F742" s="106"/>
      <c r="G742" s="138"/>
      <c r="H742" s="138"/>
      <c r="I742" s="138"/>
      <c r="J742" s="138"/>
      <c r="K742" s="137"/>
      <c r="L742" s="106"/>
    </row>
    <row r="743" spans="1:12" ht="15.6">
      <c r="A743" s="116"/>
      <c r="E743" s="106"/>
      <c r="F743" s="106"/>
      <c r="G743" s="138"/>
      <c r="H743" s="138"/>
      <c r="I743" s="138"/>
      <c r="J743" s="138"/>
      <c r="K743" s="137"/>
      <c r="L743" s="106"/>
    </row>
    <row r="744" spans="1:12" ht="15.6">
      <c r="A744" s="116"/>
      <c r="E744" s="106"/>
      <c r="F744" s="106"/>
      <c r="G744" s="138"/>
      <c r="H744" s="138"/>
      <c r="I744" s="138"/>
      <c r="J744" s="138"/>
      <c r="K744" s="137"/>
      <c r="L744" s="106"/>
    </row>
    <row r="745" spans="1:12" ht="15.6">
      <c r="A745" s="116"/>
      <c r="E745" s="106"/>
      <c r="F745" s="106"/>
      <c r="G745" s="138"/>
      <c r="H745" s="138"/>
      <c r="I745" s="138"/>
      <c r="J745" s="138"/>
      <c r="K745" s="137"/>
      <c r="L745" s="106"/>
    </row>
    <row r="746" spans="1:12" ht="15.6">
      <c r="A746" s="116"/>
      <c r="E746" s="106"/>
      <c r="F746" s="106"/>
      <c r="G746" s="138"/>
      <c r="H746" s="138"/>
      <c r="I746" s="138"/>
      <c r="J746" s="138"/>
      <c r="K746" s="137"/>
      <c r="L746" s="106"/>
    </row>
    <row r="747" spans="1:12" ht="15.6">
      <c r="A747" s="116"/>
      <c r="E747" s="106"/>
      <c r="F747" s="106"/>
      <c r="G747" s="138"/>
      <c r="H747" s="138"/>
      <c r="I747" s="138"/>
      <c r="J747" s="138"/>
      <c r="K747" s="137"/>
      <c r="L747" s="106"/>
    </row>
    <row r="748" spans="1:12" ht="15.6">
      <c r="A748" s="116"/>
      <c r="E748" s="106"/>
      <c r="F748" s="106"/>
      <c r="G748" s="138"/>
      <c r="H748" s="138"/>
      <c r="I748" s="138"/>
      <c r="J748" s="138"/>
      <c r="K748" s="137"/>
      <c r="L748" s="106"/>
    </row>
    <row r="749" spans="1:12" ht="15.6">
      <c r="A749" s="116"/>
      <c r="E749" s="106"/>
      <c r="F749" s="106"/>
      <c r="G749" s="138"/>
      <c r="H749" s="138"/>
      <c r="I749" s="138"/>
      <c r="J749" s="138"/>
      <c r="K749" s="137"/>
      <c r="L749" s="106"/>
    </row>
    <row r="750" spans="1:12" ht="15.6">
      <c r="A750" s="116"/>
      <c r="E750" s="106"/>
      <c r="F750" s="106"/>
      <c r="G750" s="138"/>
      <c r="H750" s="138"/>
      <c r="I750" s="138"/>
      <c r="J750" s="138"/>
      <c r="K750" s="137"/>
      <c r="L750" s="106"/>
    </row>
    <row r="751" spans="1:12" ht="15.6">
      <c r="A751" s="116"/>
      <c r="E751" s="106"/>
      <c r="F751" s="106"/>
      <c r="G751" s="138"/>
      <c r="H751" s="138"/>
      <c r="I751" s="138"/>
      <c r="J751" s="138"/>
      <c r="K751" s="137"/>
      <c r="L751" s="106"/>
    </row>
    <row r="752" spans="1:12" ht="15.6">
      <c r="A752" s="116"/>
      <c r="E752" s="106"/>
      <c r="F752" s="106"/>
      <c r="G752" s="138"/>
      <c r="H752" s="138"/>
      <c r="I752" s="138"/>
      <c r="J752" s="138"/>
      <c r="K752" s="137"/>
      <c r="L752" s="106"/>
    </row>
    <row r="753" spans="1:12" ht="15.6">
      <c r="A753" s="116"/>
      <c r="E753" s="106"/>
      <c r="F753" s="106"/>
      <c r="G753" s="138"/>
      <c r="H753" s="138"/>
      <c r="I753" s="138"/>
      <c r="J753" s="138"/>
      <c r="K753" s="137"/>
      <c r="L753" s="106"/>
    </row>
    <row r="754" spans="1:12" ht="15.6">
      <c r="A754" s="116"/>
      <c r="E754" s="106"/>
      <c r="F754" s="106"/>
      <c r="G754" s="138"/>
      <c r="H754" s="138"/>
      <c r="I754" s="138"/>
      <c r="J754" s="138"/>
      <c r="K754" s="137"/>
      <c r="L754" s="106"/>
    </row>
    <row r="755" spans="1:12" ht="15.6">
      <c r="A755" s="116"/>
      <c r="E755" s="106"/>
      <c r="F755" s="106"/>
      <c r="G755" s="138"/>
      <c r="H755" s="138"/>
      <c r="I755" s="138"/>
      <c r="J755" s="138"/>
      <c r="K755" s="137"/>
      <c r="L755" s="106"/>
    </row>
    <row r="756" spans="1:12" ht="15.6">
      <c r="A756" s="116"/>
      <c r="E756" s="106"/>
      <c r="F756" s="106"/>
      <c r="G756" s="138"/>
      <c r="H756" s="138"/>
      <c r="I756" s="138"/>
      <c r="J756" s="138"/>
      <c r="K756" s="137"/>
      <c r="L756" s="106"/>
    </row>
    <row r="757" spans="1:12" ht="15.6">
      <c r="A757" s="116"/>
      <c r="E757" s="106"/>
      <c r="F757" s="106"/>
      <c r="G757" s="138"/>
      <c r="H757" s="138"/>
      <c r="I757" s="138"/>
      <c r="J757" s="138"/>
      <c r="K757" s="137"/>
      <c r="L757" s="106"/>
    </row>
    <row r="758" spans="1:12" ht="15.6">
      <c r="A758" s="116"/>
      <c r="E758" s="106"/>
      <c r="F758" s="106"/>
      <c r="G758" s="138"/>
      <c r="H758" s="138"/>
      <c r="I758" s="138"/>
      <c r="J758" s="138"/>
      <c r="K758" s="137"/>
      <c r="L758" s="106"/>
    </row>
    <row r="759" spans="1:12" ht="15.6">
      <c r="A759" s="116"/>
      <c r="E759" s="106"/>
      <c r="F759" s="106"/>
      <c r="G759" s="138"/>
      <c r="H759" s="138"/>
      <c r="I759" s="138"/>
      <c r="J759" s="138"/>
      <c r="K759" s="137"/>
      <c r="L759" s="106"/>
    </row>
    <row r="760" spans="1:12" ht="15.6">
      <c r="A760" s="116"/>
      <c r="E760" s="106"/>
      <c r="F760" s="106"/>
      <c r="G760" s="138"/>
      <c r="H760" s="138"/>
      <c r="I760" s="138"/>
      <c r="J760" s="138"/>
      <c r="K760" s="137"/>
      <c r="L760" s="106"/>
    </row>
    <row r="761" spans="1:12" ht="15.6">
      <c r="A761" s="116"/>
      <c r="E761" s="106"/>
      <c r="F761" s="106"/>
      <c r="G761" s="138"/>
      <c r="H761" s="138"/>
      <c r="I761" s="138"/>
      <c r="J761" s="138"/>
      <c r="K761" s="137"/>
      <c r="L761" s="106"/>
    </row>
    <row r="762" spans="1:12" ht="15.6">
      <c r="A762" s="116"/>
      <c r="E762" s="106"/>
      <c r="F762" s="106"/>
      <c r="G762" s="138"/>
      <c r="H762" s="138"/>
      <c r="I762" s="138"/>
      <c r="J762" s="138"/>
      <c r="K762" s="137"/>
      <c r="L762" s="106"/>
    </row>
    <row r="763" spans="1:12" ht="15.6">
      <c r="A763" s="116"/>
      <c r="E763" s="106"/>
      <c r="F763" s="106"/>
      <c r="G763" s="138"/>
      <c r="H763" s="138"/>
      <c r="I763" s="138"/>
      <c r="J763" s="138"/>
      <c r="K763" s="137"/>
      <c r="L763" s="106"/>
    </row>
    <row r="764" spans="1:12" ht="15.6">
      <c r="A764" s="116"/>
      <c r="E764" s="106"/>
      <c r="F764" s="106"/>
      <c r="G764" s="138"/>
      <c r="H764" s="138"/>
      <c r="I764" s="138"/>
      <c r="J764" s="138"/>
      <c r="K764" s="137"/>
      <c r="L764" s="106"/>
    </row>
    <row r="765" spans="1:12" ht="15.6">
      <c r="A765" s="116"/>
      <c r="E765" s="106"/>
      <c r="F765" s="106"/>
      <c r="G765" s="138"/>
      <c r="H765" s="138"/>
      <c r="I765" s="138"/>
      <c r="J765" s="138"/>
      <c r="K765" s="137"/>
      <c r="L765" s="106"/>
    </row>
    <row r="766" spans="1:12" ht="15.6">
      <c r="A766" s="116"/>
      <c r="E766" s="106"/>
      <c r="F766" s="106"/>
      <c r="G766" s="138"/>
      <c r="H766" s="138"/>
      <c r="I766" s="138"/>
      <c r="J766" s="138"/>
      <c r="K766" s="137"/>
      <c r="L766" s="106"/>
    </row>
    <row r="767" spans="1:12" ht="15.6">
      <c r="A767" s="116"/>
      <c r="E767" s="106"/>
      <c r="F767" s="106"/>
      <c r="G767" s="138"/>
      <c r="H767" s="138"/>
      <c r="I767" s="138"/>
      <c r="J767" s="138"/>
      <c r="K767" s="137"/>
      <c r="L767" s="106"/>
    </row>
    <row r="768" spans="1:12" ht="15.6">
      <c r="A768" s="116"/>
      <c r="E768" s="106"/>
      <c r="F768" s="106"/>
      <c r="G768" s="138"/>
      <c r="H768" s="138"/>
      <c r="I768" s="138"/>
      <c r="J768" s="138"/>
      <c r="K768" s="137"/>
      <c r="L768" s="106"/>
    </row>
    <row r="769" spans="1:12" ht="15.6">
      <c r="A769" s="116"/>
      <c r="E769" s="106"/>
      <c r="F769" s="106"/>
      <c r="G769" s="138"/>
      <c r="H769" s="138"/>
      <c r="I769" s="138"/>
      <c r="J769" s="138"/>
      <c r="K769" s="137"/>
      <c r="L769" s="106"/>
    </row>
    <row r="770" spans="1:12" ht="15.6">
      <c r="A770" s="116"/>
      <c r="E770" s="106"/>
      <c r="F770" s="106"/>
      <c r="G770" s="138"/>
      <c r="H770" s="138"/>
      <c r="I770" s="138"/>
      <c r="J770" s="138"/>
      <c r="K770" s="137"/>
      <c r="L770" s="106"/>
    </row>
    <row r="771" spans="1:12" ht="15.6">
      <c r="A771" s="116"/>
      <c r="E771" s="106"/>
      <c r="F771" s="106"/>
      <c r="G771" s="138"/>
      <c r="H771" s="138"/>
      <c r="I771" s="138"/>
      <c r="J771" s="138"/>
      <c r="K771" s="137"/>
      <c r="L771" s="106"/>
    </row>
    <row r="772" spans="1:12" ht="15.6">
      <c r="A772" s="116"/>
      <c r="E772" s="106"/>
      <c r="F772" s="106"/>
      <c r="G772" s="138"/>
      <c r="H772" s="138"/>
      <c r="I772" s="138"/>
      <c r="J772" s="138"/>
      <c r="K772" s="137"/>
      <c r="L772" s="106"/>
    </row>
    <row r="773" spans="1:12" ht="15.6">
      <c r="A773" s="116"/>
      <c r="E773" s="106"/>
      <c r="F773" s="106"/>
      <c r="G773" s="138"/>
      <c r="H773" s="138"/>
      <c r="I773" s="138"/>
      <c r="J773" s="138"/>
      <c r="K773" s="137"/>
      <c r="L773" s="106"/>
    </row>
    <row r="774" spans="1:12" ht="15.6">
      <c r="A774" s="116"/>
      <c r="E774" s="106"/>
      <c r="F774" s="106"/>
      <c r="G774" s="138"/>
      <c r="H774" s="138"/>
      <c r="I774" s="138"/>
      <c r="J774" s="138"/>
      <c r="K774" s="137"/>
      <c r="L774" s="106"/>
    </row>
    <row r="775" spans="1:12" ht="15.6">
      <c r="A775" s="116"/>
      <c r="E775" s="106"/>
      <c r="F775" s="106"/>
      <c r="G775" s="138"/>
      <c r="H775" s="138"/>
      <c r="I775" s="138"/>
      <c r="J775" s="138"/>
      <c r="K775" s="137"/>
      <c r="L775" s="106"/>
    </row>
    <row r="776" spans="1:12" ht="15.6">
      <c r="A776" s="116"/>
      <c r="E776" s="106"/>
      <c r="F776" s="106"/>
      <c r="G776" s="138"/>
      <c r="H776" s="138"/>
      <c r="I776" s="138"/>
      <c r="J776" s="138"/>
      <c r="K776" s="137"/>
      <c r="L776" s="106"/>
    </row>
    <row r="777" spans="1:12" ht="15.6">
      <c r="A777" s="116"/>
      <c r="E777" s="106"/>
      <c r="F777" s="106"/>
      <c r="G777" s="138"/>
      <c r="H777" s="138"/>
      <c r="I777" s="138"/>
      <c r="J777" s="138"/>
      <c r="K777" s="137"/>
      <c r="L777" s="106"/>
    </row>
    <row r="778" spans="1:12" ht="15.6">
      <c r="A778" s="116"/>
      <c r="E778" s="106"/>
      <c r="F778" s="106"/>
      <c r="G778" s="138"/>
      <c r="H778" s="138"/>
      <c r="I778" s="138"/>
      <c r="J778" s="138"/>
      <c r="K778" s="137"/>
      <c r="L778" s="106"/>
    </row>
    <row r="779" spans="1:12" ht="15.6">
      <c r="A779" s="116"/>
      <c r="E779" s="106"/>
      <c r="F779" s="106"/>
      <c r="G779" s="138"/>
      <c r="H779" s="138"/>
      <c r="I779" s="138"/>
      <c r="J779" s="138"/>
      <c r="K779" s="137"/>
      <c r="L779" s="106"/>
    </row>
    <row r="780" spans="1:12" ht="15.6">
      <c r="A780" s="116"/>
      <c r="E780" s="106"/>
      <c r="F780" s="106"/>
      <c r="G780" s="138"/>
      <c r="H780" s="138"/>
      <c r="I780" s="138"/>
      <c r="J780" s="138"/>
      <c r="K780" s="137"/>
      <c r="L780" s="106"/>
    </row>
    <row r="781" spans="1:12" ht="15.6">
      <c r="A781" s="116"/>
      <c r="E781" s="106"/>
      <c r="F781" s="106"/>
      <c r="G781" s="138"/>
      <c r="H781" s="138"/>
      <c r="I781" s="138"/>
      <c r="J781" s="138"/>
      <c r="K781" s="137"/>
      <c r="L781" s="106"/>
    </row>
    <row r="782" spans="1:12" ht="15.6">
      <c r="A782" s="116"/>
      <c r="E782" s="106"/>
      <c r="F782" s="106"/>
      <c r="G782" s="138"/>
      <c r="H782" s="138"/>
      <c r="I782" s="138"/>
      <c r="J782" s="138"/>
      <c r="K782" s="137"/>
      <c r="L782" s="106"/>
    </row>
    <row r="783" spans="1:12" ht="15.6">
      <c r="A783" s="116"/>
      <c r="E783" s="106"/>
      <c r="F783" s="106"/>
      <c r="G783" s="138"/>
      <c r="H783" s="138"/>
      <c r="I783" s="138"/>
      <c r="J783" s="138"/>
      <c r="K783" s="137"/>
      <c r="L783" s="106"/>
    </row>
    <row r="784" spans="1:12" ht="15.6">
      <c r="A784" s="116"/>
      <c r="E784" s="106"/>
      <c r="F784" s="106"/>
      <c r="G784" s="138"/>
      <c r="H784" s="138"/>
      <c r="I784" s="138"/>
      <c r="J784" s="138"/>
      <c r="K784" s="137"/>
      <c r="L784" s="106"/>
    </row>
    <row r="785" spans="1:12" ht="15.6">
      <c r="A785" s="116"/>
      <c r="E785" s="106"/>
      <c r="F785" s="106"/>
      <c r="G785" s="138"/>
      <c r="H785" s="138"/>
      <c r="I785" s="138"/>
      <c r="J785" s="138"/>
      <c r="K785" s="137"/>
      <c r="L785" s="106"/>
    </row>
    <row r="786" spans="1:12" ht="15.6">
      <c r="A786" s="116"/>
      <c r="E786" s="106"/>
      <c r="F786" s="106"/>
      <c r="G786" s="138"/>
      <c r="H786" s="138"/>
      <c r="I786" s="138"/>
      <c r="J786" s="138"/>
      <c r="K786" s="137"/>
      <c r="L786" s="106"/>
    </row>
    <row r="787" spans="1:12" ht="15.6">
      <c r="A787" s="116"/>
      <c r="E787" s="106"/>
      <c r="F787" s="106"/>
      <c r="G787" s="138"/>
      <c r="H787" s="138"/>
      <c r="I787" s="138"/>
      <c r="J787" s="138"/>
      <c r="K787" s="137"/>
      <c r="L787" s="106"/>
    </row>
    <row r="788" spans="1:12" ht="15.6">
      <c r="A788" s="116"/>
      <c r="E788" s="106"/>
      <c r="F788" s="106"/>
      <c r="G788" s="138"/>
      <c r="H788" s="138"/>
      <c r="I788" s="138"/>
      <c r="J788" s="138"/>
      <c r="K788" s="137"/>
      <c r="L788" s="106"/>
    </row>
    <row r="789" spans="1:12" ht="15.6">
      <c r="A789" s="116"/>
      <c r="E789" s="106"/>
      <c r="F789" s="106"/>
      <c r="G789" s="138"/>
      <c r="H789" s="138"/>
      <c r="I789" s="138"/>
      <c r="J789" s="138"/>
      <c r="K789" s="137"/>
      <c r="L789" s="106"/>
    </row>
    <row r="790" spans="1:12" ht="15.6">
      <c r="A790" s="116"/>
      <c r="E790" s="106"/>
      <c r="F790" s="106"/>
      <c r="G790" s="138"/>
      <c r="H790" s="138"/>
      <c r="I790" s="138"/>
      <c r="J790" s="138"/>
      <c r="K790" s="137"/>
      <c r="L790" s="106"/>
    </row>
    <row r="791" spans="1:12" ht="15.6">
      <c r="A791" s="116"/>
      <c r="E791" s="106"/>
      <c r="F791" s="106"/>
      <c r="G791" s="138"/>
      <c r="H791" s="138"/>
      <c r="I791" s="138"/>
      <c r="J791" s="138"/>
      <c r="K791" s="137"/>
      <c r="L791" s="106"/>
    </row>
    <row r="792" spans="1:12" ht="15.6">
      <c r="A792" s="116"/>
      <c r="E792" s="106"/>
      <c r="F792" s="106"/>
      <c r="G792" s="138"/>
      <c r="H792" s="138"/>
      <c r="I792" s="138"/>
      <c r="J792" s="138"/>
      <c r="K792" s="137"/>
      <c r="L792" s="106"/>
    </row>
    <row r="793" spans="1:12" ht="15.6">
      <c r="A793" s="116"/>
      <c r="E793" s="106"/>
      <c r="F793" s="106"/>
      <c r="G793" s="138"/>
      <c r="H793" s="138"/>
      <c r="I793" s="138"/>
      <c r="J793" s="138"/>
      <c r="K793" s="137"/>
      <c r="L793" s="106"/>
    </row>
    <row r="794" spans="1:12" ht="15.6">
      <c r="A794" s="116"/>
      <c r="E794" s="106"/>
      <c r="F794" s="106"/>
      <c r="G794" s="138"/>
      <c r="H794" s="138"/>
      <c r="I794" s="138"/>
      <c r="J794" s="138"/>
      <c r="K794" s="137"/>
      <c r="L794" s="106"/>
    </row>
    <row r="795" spans="1:12" ht="15.6">
      <c r="A795" s="116"/>
      <c r="E795" s="106"/>
      <c r="F795" s="106"/>
      <c r="G795" s="138"/>
      <c r="H795" s="138"/>
      <c r="I795" s="138"/>
      <c r="J795" s="138"/>
      <c r="K795" s="137"/>
      <c r="L795" s="106"/>
    </row>
    <row r="796" spans="1:12" ht="15.6">
      <c r="A796" s="116"/>
      <c r="E796" s="106"/>
      <c r="F796" s="106"/>
      <c r="G796" s="138"/>
      <c r="H796" s="138"/>
      <c r="I796" s="138"/>
      <c r="J796" s="138"/>
      <c r="K796" s="137"/>
      <c r="L796" s="106"/>
    </row>
    <row r="797" spans="1:12" ht="15.6">
      <c r="A797" s="116"/>
      <c r="E797" s="106"/>
      <c r="F797" s="106"/>
      <c r="G797" s="138"/>
      <c r="H797" s="138"/>
      <c r="I797" s="138"/>
      <c r="J797" s="138"/>
      <c r="K797" s="137"/>
      <c r="L797" s="106"/>
    </row>
    <row r="798" spans="1:12" ht="15.6">
      <c r="A798" s="116"/>
      <c r="E798" s="106"/>
      <c r="F798" s="106"/>
      <c r="G798" s="138"/>
      <c r="H798" s="138"/>
      <c r="I798" s="138"/>
      <c r="J798" s="138"/>
      <c r="K798" s="137"/>
      <c r="L798" s="106"/>
    </row>
    <row r="799" spans="1:12" ht="15.6">
      <c r="A799" s="116"/>
      <c r="E799" s="106"/>
      <c r="F799" s="106"/>
      <c r="G799" s="138"/>
      <c r="H799" s="138"/>
      <c r="I799" s="138"/>
      <c r="J799" s="138"/>
      <c r="K799" s="137"/>
      <c r="L799" s="106"/>
    </row>
    <row r="800" spans="1:12" ht="15.6">
      <c r="A800" s="116"/>
      <c r="E800" s="106"/>
      <c r="F800" s="106"/>
      <c r="G800" s="138"/>
      <c r="H800" s="138"/>
      <c r="I800" s="138"/>
      <c r="J800" s="138"/>
      <c r="K800" s="137"/>
      <c r="L800" s="106"/>
    </row>
    <row r="801" spans="1:12" ht="15.6">
      <c r="A801" s="116"/>
      <c r="E801" s="106"/>
      <c r="F801" s="106"/>
      <c r="G801" s="138"/>
      <c r="H801" s="138"/>
      <c r="I801" s="138"/>
      <c r="J801" s="138"/>
      <c r="K801" s="137"/>
      <c r="L801" s="106"/>
    </row>
    <row r="802" spans="1:12" ht="15.6">
      <c r="A802" s="116"/>
      <c r="E802" s="106"/>
      <c r="F802" s="106"/>
      <c r="G802" s="138"/>
      <c r="H802" s="138"/>
      <c r="I802" s="138"/>
      <c r="J802" s="138"/>
      <c r="K802" s="137"/>
      <c r="L802" s="106"/>
    </row>
    <row r="803" spans="1:12" ht="15.6">
      <c r="A803" s="116"/>
      <c r="E803" s="106"/>
      <c r="F803" s="106"/>
      <c r="G803" s="138"/>
      <c r="H803" s="138"/>
      <c r="I803" s="138"/>
      <c r="J803" s="138"/>
      <c r="K803" s="137"/>
      <c r="L803" s="106"/>
    </row>
    <row r="804" spans="1:12" ht="15.6">
      <c r="A804" s="116"/>
      <c r="E804" s="106"/>
      <c r="F804" s="106"/>
      <c r="G804" s="138"/>
      <c r="H804" s="138"/>
      <c r="I804" s="138"/>
      <c r="J804" s="138"/>
      <c r="K804" s="137"/>
      <c r="L804" s="106"/>
    </row>
    <row r="805" spans="1:12" ht="15.6">
      <c r="A805" s="116"/>
      <c r="E805" s="106"/>
      <c r="F805" s="106"/>
      <c r="G805" s="138"/>
      <c r="H805" s="138"/>
      <c r="I805" s="138"/>
      <c r="J805" s="138"/>
      <c r="K805" s="137"/>
      <c r="L805" s="106"/>
    </row>
    <row r="806" spans="1:12" ht="15.6">
      <c r="A806" s="116"/>
      <c r="E806" s="106"/>
      <c r="F806" s="106"/>
      <c r="G806" s="138"/>
      <c r="H806" s="138"/>
      <c r="I806" s="138"/>
      <c r="J806" s="138"/>
      <c r="K806" s="137"/>
      <c r="L806" s="106"/>
    </row>
    <row r="807" spans="1:12" ht="15.6">
      <c r="A807" s="116"/>
      <c r="E807" s="106"/>
      <c r="F807" s="106"/>
      <c r="G807" s="138"/>
      <c r="H807" s="138"/>
      <c r="I807" s="138"/>
      <c r="J807" s="138"/>
      <c r="K807" s="137"/>
      <c r="L807" s="106"/>
    </row>
    <row r="808" spans="1:12" ht="15.6">
      <c r="A808" s="116"/>
      <c r="E808" s="106"/>
      <c r="F808" s="106"/>
      <c r="G808" s="138"/>
      <c r="H808" s="138"/>
      <c r="I808" s="138"/>
      <c r="J808" s="138"/>
      <c r="K808" s="137"/>
      <c r="L808" s="106"/>
    </row>
    <row r="809" spans="1:12" ht="15.6">
      <c r="A809" s="116"/>
      <c r="E809" s="106"/>
      <c r="F809" s="106"/>
      <c r="G809" s="138"/>
      <c r="H809" s="138"/>
      <c r="I809" s="138"/>
      <c r="J809" s="138"/>
      <c r="K809" s="137"/>
      <c r="L809" s="106"/>
    </row>
    <row r="810" spans="1:12" ht="15.6">
      <c r="A810" s="116"/>
      <c r="E810" s="106"/>
      <c r="F810" s="106"/>
      <c r="G810" s="138"/>
      <c r="H810" s="138"/>
      <c r="I810" s="138"/>
      <c r="J810" s="138"/>
      <c r="K810" s="137"/>
      <c r="L810" s="106"/>
    </row>
    <row r="811" spans="1:12" ht="15.6">
      <c r="A811" s="116"/>
      <c r="E811" s="106"/>
      <c r="F811" s="106"/>
      <c r="G811" s="138"/>
      <c r="H811" s="138"/>
      <c r="I811" s="138"/>
      <c r="J811" s="138"/>
      <c r="K811" s="137"/>
      <c r="L811" s="106"/>
    </row>
    <row r="812" spans="1:12" ht="15.6">
      <c r="A812" s="116"/>
      <c r="E812" s="106"/>
      <c r="F812" s="106"/>
      <c r="G812" s="138"/>
      <c r="H812" s="138"/>
      <c r="I812" s="138"/>
      <c r="J812" s="138"/>
      <c r="K812" s="137"/>
      <c r="L812" s="106"/>
    </row>
    <row r="813" spans="1:12" ht="15.6">
      <c r="A813" s="116"/>
      <c r="E813" s="106"/>
      <c r="F813" s="106"/>
      <c r="G813" s="138"/>
      <c r="H813" s="138"/>
      <c r="I813" s="138"/>
      <c r="J813" s="138"/>
      <c r="K813" s="137"/>
      <c r="L813" s="106"/>
    </row>
    <row r="814" spans="1:12" ht="15.6">
      <c r="A814" s="116"/>
      <c r="E814" s="106"/>
      <c r="F814" s="106"/>
      <c r="G814" s="138"/>
      <c r="H814" s="138"/>
      <c r="I814" s="138"/>
      <c r="J814" s="138"/>
      <c r="K814" s="137"/>
      <c r="L814" s="106"/>
    </row>
    <row r="815" spans="1:12" ht="15.6">
      <c r="A815" s="116"/>
      <c r="E815" s="106"/>
      <c r="F815" s="106"/>
      <c r="G815" s="138"/>
      <c r="H815" s="138"/>
      <c r="I815" s="138"/>
      <c r="J815" s="138"/>
      <c r="K815" s="137"/>
      <c r="L815" s="106"/>
    </row>
    <row r="816" spans="1:12" ht="15.6">
      <c r="A816" s="116"/>
      <c r="E816" s="106"/>
      <c r="F816" s="106"/>
      <c r="G816" s="138"/>
      <c r="H816" s="138"/>
      <c r="I816" s="138"/>
      <c r="J816" s="138"/>
      <c r="K816" s="137"/>
      <c r="L816" s="106"/>
    </row>
    <row r="817" spans="1:12" ht="15.6">
      <c r="A817" s="116"/>
      <c r="E817" s="106"/>
      <c r="F817" s="106"/>
      <c r="G817" s="138"/>
      <c r="H817" s="138"/>
      <c r="I817" s="138"/>
      <c r="J817" s="138"/>
      <c r="K817" s="137"/>
      <c r="L817" s="106"/>
    </row>
    <row r="818" spans="1:12" ht="15.6">
      <c r="A818" s="116"/>
      <c r="E818" s="106"/>
      <c r="F818" s="106"/>
      <c r="G818" s="138"/>
      <c r="H818" s="138"/>
      <c r="I818" s="138"/>
      <c r="J818" s="138"/>
      <c r="K818" s="137"/>
      <c r="L818" s="106"/>
    </row>
    <row r="819" spans="1:12" ht="15.6">
      <c r="A819" s="116"/>
      <c r="E819" s="106"/>
      <c r="F819" s="106"/>
      <c r="G819" s="138"/>
      <c r="H819" s="138"/>
      <c r="I819" s="138"/>
      <c r="J819" s="138"/>
      <c r="K819" s="137"/>
      <c r="L819" s="106"/>
    </row>
    <row r="820" spans="1:12" ht="15.6">
      <c r="A820" s="116"/>
      <c r="E820" s="106"/>
      <c r="F820" s="106"/>
      <c r="G820" s="138"/>
      <c r="H820" s="138"/>
      <c r="I820" s="138"/>
      <c r="J820" s="138"/>
      <c r="K820" s="137"/>
      <c r="L820" s="106"/>
    </row>
    <row r="821" spans="1:12" ht="15.6">
      <c r="A821" s="116"/>
      <c r="E821" s="106"/>
      <c r="F821" s="106"/>
      <c r="G821" s="138"/>
      <c r="H821" s="138"/>
      <c r="I821" s="138"/>
      <c r="J821" s="138"/>
      <c r="K821" s="137"/>
      <c r="L821" s="106"/>
    </row>
    <row r="822" spans="1:12" ht="15.6">
      <c r="A822" s="116"/>
      <c r="E822" s="106"/>
      <c r="F822" s="106"/>
      <c r="G822" s="138"/>
      <c r="H822" s="138"/>
      <c r="I822" s="138"/>
      <c r="J822" s="138"/>
      <c r="K822" s="137"/>
      <c r="L822" s="106"/>
    </row>
    <row r="823" spans="1:12" ht="15.6">
      <c r="A823" s="116"/>
      <c r="E823" s="106"/>
      <c r="F823" s="106"/>
      <c r="G823" s="138"/>
      <c r="H823" s="138"/>
      <c r="I823" s="138"/>
      <c r="J823" s="138"/>
      <c r="K823" s="137"/>
      <c r="L823" s="106"/>
    </row>
    <row r="824" spans="1:12" ht="15.6">
      <c r="A824" s="116"/>
      <c r="E824" s="106"/>
      <c r="F824" s="106"/>
      <c r="G824" s="138"/>
      <c r="H824" s="138"/>
      <c r="I824" s="138"/>
      <c r="J824" s="138"/>
      <c r="K824" s="137"/>
      <c r="L824" s="106"/>
    </row>
    <row r="825" spans="1:12" ht="15.6">
      <c r="A825" s="116"/>
      <c r="E825" s="106"/>
      <c r="F825" s="106"/>
      <c r="G825" s="138"/>
      <c r="H825" s="138"/>
      <c r="I825" s="138"/>
      <c r="J825" s="138"/>
      <c r="K825" s="137"/>
      <c r="L825" s="106"/>
    </row>
    <row r="826" spans="1:12" ht="15.6">
      <c r="A826" s="116"/>
      <c r="E826" s="106"/>
      <c r="F826" s="106"/>
      <c r="G826" s="138"/>
      <c r="H826" s="138"/>
      <c r="I826" s="138"/>
      <c r="J826" s="138"/>
      <c r="K826" s="137"/>
      <c r="L826" s="106"/>
    </row>
    <row r="827" spans="1:12" ht="15.6">
      <c r="A827" s="116"/>
      <c r="E827" s="106"/>
      <c r="F827" s="106"/>
      <c r="G827" s="138"/>
      <c r="H827" s="138"/>
      <c r="I827" s="138"/>
      <c r="J827" s="138"/>
      <c r="K827" s="137"/>
      <c r="L827" s="106"/>
    </row>
    <row r="828" spans="1:12" ht="15.6">
      <c r="A828" s="116"/>
      <c r="E828" s="106"/>
      <c r="F828" s="106"/>
      <c r="G828" s="138"/>
      <c r="H828" s="138"/>
      <c r="I828" s="138"/>
      <c r="J828" s="138"/>
      <c r="K828" s="137"/>
      <c r="L828" s="106"/>
    </row>
    <row r="829" spans="1:12" ht="15.6">
      <c r="A829" s="116"/>
      <c r="E829" s="106"/>
      <c r="F829" s="106"/>
      <c r="G829" s="138"/>
      <c r="H829" s="138"/>
      <c r="I829" s="138"/>
      <c r="J829" s="138"/>
      <c r="K829" s="137"/>
      <c r="L829" s="106"/>
    </row>
    <row r="830" spans="1:12" ht="15.6">
      <c r="A830" s="116"/>
      <c r="E830" s="106"/>
      <c r="F830" s="106"/>
      <c r="G830" s="138"/>
      <c r="H830" s="138"/>
      <c r="I830" s="138"/>
      <c r="J830" s="138"/>
      <c r="K830" s="137"/>
      <c r="L830" s="106"/>
    </row>
    <row r="831" spans="1:12" ht="15.6">
      <c r="A831" s="116"/>
      <c r="E831" s="106"/>
      <c r="F831" s="106"/>
      <c r="G831" s="138"/>
      <c r="H831" s="138"/>
      <c r="I831" s="138"/>
      <c r="J831" s="138"/>
      <c r="K831" s="137"/>
      <c r="L831" s="106"/>
    </row>
    <row r="832" spans="1:12" ht="15.6">
      <c r="A832" s="116"/>
      <c r="E832" s="106"/>
      <c r="F832" s="106"/>
      <c r="G832" s="138"/>
      <c r="H832" s="138"/>
      <c r="I832" s="138"/>
      <c r="J832" s="138"/>
      <c r="K832" s="137"/>
      <c r="L832" s="106"/>
    </row>
    <row r="833" spans="1:12" ht="15.6">
      <c r="A833" s="116"/>
      <c r="E833" s="106"/>
      <c r="F833" s="106"/>
      <c r="G833" s="138"/>
      <c r="H833" s="138"/>
      <c r="I833" s="138"/>
      <c r="J833" s="138"/>
      <c r="K833" s="137"/>
      <c r="L833" s="106"/>
    </row>
    <row r="834" spans="1:12" ht="15.6">
      <c r="A834" s="116"/>
      <c r="E834" s="106"/>
      <c r="F834" s="106"/>
      <c r="G834" s="138"/>
      <c r="H834" s="138"/>
      <c r="I834" s="138"/>
      <c r="J834" s="138"/>
      <c r="K834" s="137"/>
      <c r="L834" s="106"/>
    </row>
    <row r="835" spans="1:12" ht="15.6">
      <c r="A835" s="116"/>
      <c r="E835" s="106"/>
      <c r="F835" s="106"/>
      <c r="G835" s="138"/>
      <c r="H835" s="138"/>
      <c r="I835" s="138"/>
      <c r="J835" s="138"/>
      <c r="K835" s="137"/>
      <c r="L835" s="106"/>
    </row>
    <row r="836" spans="1:12" ht="15.6">
      <c r="A836" s="116"/>
      <c r="E836" s="106"/>
      <c r="F836" s="106"/>
      <c r="G836" s="138"/>
      <c r="H836" s="138"/>
      <c r="I836" s="138"/>
      <c r="J836" s="138"/>
      <c r="K836" s="137"/>
      <c r="L836" s="106"/>
    </row>
    <row r="837" spans="1:12" ht="15.6">
      <c r="A837" s="116"/>
    </row>
    <row r="838" spans="1:12" ht="15.6">
      <c r="A838" s="116"/>
    </row>
    <row r="839" spans="1:12" ht="15.6">
      <c r="A839" s="116"/>
    </row>
    <row r="840" spans="1:12" ht="15.6">
      <c r="A840" s="116"/>
    </row>
    <row r="841" spans="1:12" ht="15.6">
      <c r="A841" s="116"/>
    </row>
    <row r="842" spans="1:12" ht="15.6">
      <c r="A842" s="116"/>
    </row>
    <row r="843" spans="1:12" ht="15.6">
      <c r="A843" s="116"/>
    </row>
    <row r="844" spans="1:12" ht="15.6">
      <c r="A844" s="116"/>
    </row>
    <row r="845" spans="1:12" ht="15.6">
      <c r="A845" s="116"/>
    </row>
    <row r="846" spans="1:12" ht="15.6">
      <c r="A846" s="116"/>
    </row>
    <row r="847" spans="1:12" ht="15.6">
      <c r="A847" s="116"/>
    </row>
    <row r="848" spans="1:12" ht="15.6">
      <c r="A848" s="116"/>
    </row>
    <row r="849" spans="1:1" ht="15.6">
      <c r="A849" s="116"/>
    </row>
    <row r="850" spans="1:1" ht="15.6">
      <c r="A850" s="116"/>
    </row>
    <row r="851" spans="1:1" ht="15.6">
      <c r="A851" s="116"/>
    </row>
    <row r="852" spans="1:1" ht="15.6">
      <c r="A852" s="116"/>
    </row>
    <row r="853" spans="1:1" ht="15.6">
      <c r="A853" s="116"/>
    </row>
    <row r="854" spans="1:1" ht="15.6">
      <c r="A854" s="116"/>
    </row>
    <row r="855" spans="1:1" ht="15.6">
      <c r="A855" s="116"/>
    </row>
    <row r="856" spans="1:1" ht="15.6">
      <c r="A856" s="116"/>
    </row>
    <row r="857" spans="1:1" ht="15.6">
      <c r="A857" s="116"/>
    </row>
    <row r="858" spans="1:1" ht="15.6">
      <c r="A858" s="116"/>
    </row>
    <row r="859" spans="1:1" ht="15.6">
      <c r="A859" s="116"/>
    </row>
    <row r="860" spans="1:1" ht="15.6">
      <c r="A860" s="116"/>
    </row>
    <row r="861" spans="1:1" ht="15.6">
      <c r="A861" s="116"/>
    </row>
    <row r="862" spans="1:1" ht="15.6">
      <c r="A862" s="116"/>
    </row>
    <row r="863" spans="1:1" ht="15.6">
      <c r="A863" s="116"/>
    </row>
    <row r="864" spans="1:1" ht="15.6">
      <c r="A864" s="116"/>
    </row>
    <row r="865" spans="1:1" ht="15.6">
      <c r="A865" s="116"/>
    </row>
    <row r="866" spans="1:1" ht="15.6">
      <c r="A866" s="116"/>
    </row>
    <row r="867" spans="1:1" ht="15.6">
      <c r="A867" s="116"/>
    </row>
    <row r="868" spans="1:1" ht="15.6">
      <c r="A868" s="116"/>
    </row>
    <row r="869" spans="1:1" ht="15.6">
      <c r="A869" s="116"/>
    </row>
    <row r="870" spans="1:1" ht="15.6">
      <c r="A870" s="116"/>
    </row>
    <row r="871" spans="1:1" ht="15.6">
      <c r="A871" s="116"/>
    </row>
    <row r="872" spans="1:1" ht="15.6">
      <c r="A872" s="116"/>
    </row>
    <row r="873" spans="1:1" ht="15.6">
      <c r="A873" s="116"/>
    </row>
    <row r="874" spans="1:1" ht="15.6">
      <c r="A874" s="116"/>
    </row>
    <row r="875" spans="1:1" ht="15.6">
      <c r="A875" s="116"/>
    </row>
    <row r="876" spans="1:1" ht="15.6">
      <c r="A876" s="116"/>
    </row>
    <row r="877" spans="1:1" ht="15.6">
      <c r="A877" s="116"/>
    </row>
    <row r="878" spans="1:1" ht="15.6">
      <c r="A878" s="116"/>
    </row>
    <row r="879" spans="1:1" ht="15.6">
      <c r="A879" s="116"/>
    </row>
    <row r="880" spans="1:1" ht="15.6">
      <c r="A880" s="116"/>
    </row>
    <row r="881" spans="1:1" ht="15.6">
      <c r="A881" s="116"/>
    </row>
    <row r="882" spans="1:1" ht="15.6">
      <c r="A882" s="116"/>
    </row>
    <row r="883" spans="1:1" ht="15.6">
      <c r="A883" s="116"/>
    </row>
    <row r="884" spans="1:1" ht="15.6">
      <c r="A884" s="116"/>
    </row>
    <row r="885" spans="1:1" ht="15.6">
      <c r="A885" s="116"/>
    </row>
    <row r="886" spans="1:1" ht="15.6">
      <c r="A886" s="116"/>
    </row>
    <row r="887" spans="1:1" ht="15.6">
      <c r="A887" s="116"/>
    </row>
    <row r="888" spans="1:1" ht="15.6">
      <c r="A888" s="116"/>
    </row>
    <row r="889" spans="1:1" ht="15.6">
      <c r="A889" s="116"/>
    </row>
    <row r="890" spans="1:1" ht="15.6">
      <c r="A890" s="116"/>
    </row>
    <row r="891" spans="1:1" ht="15.6">
      <c r="A891" s="116"/>
    </row>
    <row r="892" spans="1:1" ht="15.6">
      <c r="A892" s="116"/>
    </row>
    <row r="893" spans="1:1" ht="15.6">
      <c r="A893" s="116"/>
    </row>
    <row r="894" spans="1:1" ht="15.6">
      <c r="A894" s="116"/>
    </row>
    <row r="895" spans="1:1" ht="15.6">
      <c r="A895" s="116"/>
    </row>
    <row r="896" spans="1:1" ht="15.6">
      <c r="A896" s="116"/>
    </row>
    <row r="897" spans="1:1" ht="15.6">
      <c r="A897" s="116"/>
    </row>
    <row r="898" spans="1:1" ht="15.6">
      <c r="A898" s="116"/>
    </row>
    <row r="899" spans="1:1" ht="15.6">
      <c r="A899" s="116"/>
    </row>
    <row r="900" spans="1:1" ht="15.6">
      <c r="A900" s="116"/>
    </row>
    <row r="901" spans="1:1" ht="15.6">
      <c r="A901" s="116"/>
    </row>
    <row r="902" spans="1:1" ht="15.6">
      <c r="A902" s="116"/>
    </row>
    <row r="903" spans="1:1" ht="15.6">
      <c r="A903" s="116"/>
    </row>
    <row r="904" spans="1:1" ht="15.6">
      <c r="A904" s="116"/>
    </row>
    <row r="905" spans="1:1" ht="15.6">
      <c r="A905" s="116"/>
    </row>
    <row r="906" spans="1:1" ht="15.6">
      <c r="A906" s="116"/>
    </row>
    <row r="907" spans="1:1" ht="15.6">
      <c r="A907" s="116"/>
    </row>
    <row r="908" spans="1:1" ht="15.6">
      <c r="A908" s="116"/>
    </row>
    <row r="909" spans="1:1" ht="15.6">
      <c r="A909" s="116"/>
    </row>
    <row r="910" spans="1:1" ht="15.6">
      <c r="A910" s="116"/>
    </row>
    <row r="911" spans="1:1" ht="15.6">
      <c r="A911" s="116"/>
    </row>
    <row r="912" spans="1:1" ht="15.6">
      <c r="A912" s="116"/>
    </row>
    <row r="913" spans="1:1" ht="15.6">
      <c r="A913" s="116"/>
    </row>
    <row r="914" spans="1:1" ht="15.6">
      <c r="A914" s="116"/>
    </row>
    <row r="915" spans="1:1" ht="15.6">
      <c r="A915" s="116"/>
    </row>
    <row r="916" spans="1:1" ht="15.6">
      <c r="A916" s="116"/>
    </row>
    <row r="917" spans="1:1" ht="15.6">
      <c r="A917" s="116"/>
    </row>
    <row r="918" spans="1:1" ht="15.6">
      <c r="A918" s="116"/>
    </row>
    <row r="919" spans="1:1" ht="15.6">
      <c r="A919" s="116"/>
    </row>
    <row r="920" spans="1:1" ht="15.6">
      <c r="A920" s="116"/>
    </row>
    <row r="921" spans="1:1" ht="15.6">
      <c r="A921" s="116"/>
    </row>
    <row r="922" spans="1:1" ht="15.6">
      <c r="A922" s="116"/>
    </row>
    <row r="923" spans="1:1" ht="15.6">
      <c r="A923" s="116"/>
    </row>
    <row r="924" spans="1:1" ht="15.6">
      <c r="A924" s="116"/>
    </row>
    <row r="925" spans="1:1" ht="15.6">
      <c r="A925" s="116"/>
    </row>
    <row r="926" spans="1:1" ht="15.6">
      <c r="A926" s="116"/>
    </row>
    <row r="927" spans="1:1" ht="15.6">
      <c r="A927" s="116"/>
    </row>
    <row r="928" spans="1:1" ht="15.6">
      <c r="A928" s="116"/>
    </row>
    <row r="929" spans="1:1" ht="15.6">
      <c r="A929" s="116"/>
    </row>
    <row r="930" spans="1:1" ht="15.6">
      <c r="A930" s="116"/>
    </row>
    <row r="931" spans="1:1" ht="15.6">
      <c r="A931" s="116"/>
    </row>
    <row r="932" spans="1:1" ht="15.6">
      <c r="A932" s="116"/>
    </row>
    <row r="933" spans="1:1" ht="15.6">
      <c r="A933" s="116"/>
    </row>
    <row r="934" spans="1:1" ht="15.6">
      <c r="A934" s="116"/>
    </row>
    <row r="935" spans="1:1" ht="15.6">
      <c r="A935" s="116"/>
    </row>
    <row r="936" spans="1:1" ht="15.6">
      <c r="A936" s="116"/>
    </row>
    <row r="937" spans="1:1" ht="15.6">
      <c r="A937" s="116"/>
    </row>
    <row r="938" spans="1:1" ht="15.6">
      <c r="A938" s="116"/>
    </row>
    <row r="939" spans="1:1" ht="15.6">
      <c r="A939" s="116"/>
    </row>
    <row r="940" spans="1:1" ht="15.6">
      <c r="A940" s="116"/>
    </row>
    <row r="941" spans="1:1" ht="15.6">
      <c r="A941" s="116"/>
    </row>
    <row r="942" spans="1:1" ht="15.6">
      <c r="A942" s="116"/>
    </row>
    <row r="943" spans="1:1" ht="15.6">
      <c r="A943" s="116"/>
    </row>
    <row r="944" spans="1:1" ht="15.6">
      <c r="A944" s="116"/>
    </row>
    <row r="945" spans="1:1" ht="15.6">
      <c r="A945" s="116"/>
    </row>
    <row r="946" spans="1:1" ht="15.6">
      <c r="A946" s="116"/>
    </row>
    <row r="947" spans="1:1" ht="15.6">
      <c r="A947" s="116"/>
    </row>
    <row r="948" spans="1:1" ht="15.6">
      <c r="A948" s="116"/>
    </row>
    <row r="949" spans="1:1" ht="15.6">
      <c r="A949" s="116"/>
    </row>
    <row r="950" spans="1:1" ht="15.6">
      <c r="A950" s="116"/>
    </row>
    <row r="951" spans="1:1" ht="15.6">
      <c r="A951" s="116"/>
    </row>
    <row r="952" spans="1:1" ht="15.6">
      <c r="A952" s="116"/>
    </row>
    <row r="953" spans="1:1" ht="15.6">
      <c r="A953" s="116"/>
    </row>
    <row r="954" spans="1:1" ht="15.6">
      <c r="A954" s="116"/>
    </row>
    <row r="955" spans="1:1" ht="15.6">
      <c r="A955" s="116"/>
    </row>
    <row r="956" spans="1:1" ht="15.6">
      <c r="A956" s="116"/>
    </row>
    <row r="957" spans="1:1" ht="15.6">
      <c r="A957" s="116"/>
    </row>
    <row r="958" spans="1:1" ht="15.6">
      <c r="A958" s="116"/>
    </row>
    <row r="959" spans="1:1" ht="15.6">
      <c r="A959" s="116"/>
    </row>
    <row r="960" spans="1:1" ht="15.6">
      <c r="A960" s="116"/>
    </row>
    <row r="961" spans="1:1" ht="15.6">
      <c r="A961" s="116"/>
    </row>
    <row r="962" spans="1:1" ht="15.6">
      <c r="A962" s="116"/>
    </row>
    <row r="963" spans="1:1" ht="15.6">
      <c r="A963" s="116"/>
    </row>
    <row r="964" spans="1:1" ht="15.6">
      <c r="A964" s="116"/>
    </row>
    <row r="965" spans="1:1" ht="15.6">
      <c r="A965" s="116"/>
    </row>
    <row r="966" spans="1:1" ht="15.6">
      <c r="A966" s="116"/>
    </row>
    <row r="967" spans="1:1" ht="15.6">
      <c r="A967" s="116"/>
    </row>
    <row r="968" spans="1:1" ht="15.6">
      <c r="A968" s="116"/>
    </row>
    <row r="969" spans="1:1" ht="15.6">
      <c r="A969" s="116"/>
    </row>
    <row r="970" spans="1:1" ht="15.6">
      <c r="A970" s="116"/>
    </row>
    <row r="971" spans="1:1" ht="15.6">
      <c r="A971" s="116"/>
    </row>
    <row r="972" spans="1:1" ht="15.6">
      <c r="A972" s="116"/>
    </row>
    <row r="973" spans="1:1" ht="15.6">
      <c r="A973" s="116"/>
    </row>
    <row r="974" spans="1:1" ht="15.6">
      <c r="A974" s="116"/>
    </row>
    <row r="975" spans="1:1" ht="15.6">
      <c r="A975" s="116"/>
    </row>
    <row r="976" spans="1:1" ht="15.6">
      <c r="A976" s="116"/>
    </row>
    <row r="977" spans="1:1" ht="15.6">
      <c r="A977" s="116"/>
    </row>
    <row r="978" spans="1:1" ht="15.6">
      <c r="A978" s="116"/>
    </row>
    <row r="979" spans="1:1" ht="15.6">
      <c r="A979" s="116"/>
    </row>
    <row r="980" spans="1:1" ht="15.6">
      <c r="A980" s="116"/>
    </row>
    <row r="981" spans="1:1" ht="15.6">
      <c r="A981" s="116"/>
    </row>
    <row r="982" spans="1:1" ht="15.6">
      <c r="A982" s="116"/>
    </row>
    <row r="983" spans="1:1" ht="15.6">
      <c r="A983" s="116"/>
    </row>
    <row r="984" spans="1:1" ht="15.6">
      <c r="A984" s="116"/>
    </row>
    <row r="985" spans="1:1" ht="15.6">
      <c r="A985" s="116"/>
    </row>
    <row r="986" spans="1:1" ht="15.6">
      <c r="A986" s="116"/>
    </row>
    <row r="987" spans="1:1" ht="15.6">
      <c r="A987" s="116"/>
    </row>
    <row r="988" spans="1:1" ht="15.6">
      <c r="A988" s="116"/>
    </row>
    <row r="989" spans="1:1" ht="15.6">
      <c r="A989" s="116"/>
    </row>
    <row r="990" spans="1:1" ht="15.6">
      <c r="A990" s="116"/>
    </row>
    <row r="991" spans="1:1" ht="15.6">
      <c r="A991" s="116"/>
    </row>
    <row r="992" spans="1:1" ht="15.6">
      <c r="A992" s="116"/>
    </row>
    <row r="993" spans="1:1" ht="15.6">
      <c r="A993" s="116"/>
    </row>
    <row r="994" spans="1:1" ht="15.6">
      <c r="A994" s="116"/>
    </row>
    <row r="995" spans="1:1" ht="15.6">
      <c r="A995" s="116"/>
    </row>
    <row r="996" spans="1:1" ht="15.6">
      <c r="A996" s="116"/>
    </row>
    <row r="997" spans="1:1" ht="15.6">
      <c r="A997" s="116"/>
    </row>
    <row r="998" spans="1:1" ht="15.6">
      <c r="A998" s="116"/>
    </row>
    <row r="999" spans="1:1" ht="15.6">
      <c r="A999" s="116"/>
    </row>
    <row r="1000" spans="1:1" ht="15.6">
      <c r="A1000" s="116"/>
    </row>
    <row r="1001" spans="1:1" ht="15.6">
      <c r="A1001" s="116"/>
    </row>
    <row r="1002" spans="1:1" ht="15.6">
      <c r="A1002" s="116"/>
    </row>
    <row r="1003" spans="1:1" ht="15.6">
      <c r="A1003" s="116"/>
    </row>
    <row r="1004" spans="1:1" ht="15.6">
      <c r="A1004" s="116"/>
    </row>
    <row r="1005" spans="1:1" ht="15.6">
      <c r="A1005" s="116"/>
    </row>
    <row r="1006" spans="1:1" ht="15.6">
      <c r="A1006" s="116"/>
    </row>
    <row r="1007" spans="1:1" ht="15.6">
      <c r="A1007" s="116"/>
    </row>
    <row r="1008" spans="1:1" ht="15.6">
      <c r="A1008" s="116"/>
    </row>
    <row r="1009" spans="1:1" ht="15.6">
      <c r="A1009" s="116"/>
    </row>
    <row r="1010" spans="1:1" ht="15.6">
      <c r="A1010" s="116"/>
    </row>
    <row r="1011" spans="1:1" ht="15.6">
      <c r="A1011" s="116"/>
    </row>
    <row r="1012" spans="1:1" ht="15.6">
      <c r="A1012" s="116"/>
    </row>
    <row r="1013" spans="1:1" ht="15.6">
      <c r="A1013" s="116"/>
    </row>
    <row r="1014" spans="1:1" ht="15.6">
      <c r="A1014" s="116"/>
    </row>
    <row r="1015" spans="1:1" ht="15.6">
      <c r="A1015" s="116"/>
    </row>
    <row r="1016" spans="1:1" ht="15.6">
      <c r="A1016" s="116"/>
    </row>
    <row r="1017" spans="1:1" ht="15.6">
      <c r="A1017" s="116"/>
    </row>
    <row r="1018" spans="1:1" ht="15.6">
      <c r="A1018" s="116"/>
    </row>
    <row r="1019" spans="1:1" ht="15.6">
      <c r="A1019" s="116"/>
    </row>
    <row r="1020" spans="1:1" ht="15.6">
      <c r="A1020" s="116"/>
    </row>
    <row r="1021" spans="1:1" ht="15.6">
      <c r="A1021" s="116"/>
    </row>
    <row r="1022" spans="1:1" ht="15.6">
      <c r="A1022" s="116"/>
    </row>
    <row r="1023" spans="1:1" ht="15.6">
      <c r="A1023" s="116"/>
    </row>
    <row r="1024" spans="1:1" ht="15.6">
      <c r="A1024" s="116"/>
    </row>
    <row r="1025" spans="1:1" ht="15.6">
      <c r="A1025" s="116"/>
    </row>
    <row r="1026" spans="1:1" ht="15.6">
      <c r="A1026" s="116"/>
    </row>
    <row r="1027" spans="1:1" ht="15.6">
      <c r="A1027" s="116"/>
    </row>
    <row r="1028" spans="1:1" ht="15.6">
      <c r="A1028" s="116"/>
    </row>
    <row r="1029" spans="1:1" ht="15.6">
      <c r="A1029" s="116"/>
    </row>
    <row r="1030" spans="1:1" ht="15.6">
      <c r="A1030" s="116"/>
    </row>
    <row r="1031" spans="1:1" ht="15.6">
      <c r="A1031" s="116"/>
    </row>
    <row r="1032" spans="1:1" ht="15.6">
      <c r="A1032" s="116"/>
    </row>
    <row r="1033" spans="1:1" ht="15.6">
      <c r="A1033" s="116"/>
    </row>
    <row r="1034" spans="1:1" ht="15.6">
      <c r="A1034" s="116"/>
    </row>
    <row r="1035" spans="1:1" ht="15.6">
      <c r="A1035" s="116"/>
    </row>
    <row r="1036" spans="1:1" ht="15.6">
      <c r="A1036" s="116"/>
    </row>
    <row r="1037" spans="1:1" ht="15.6">
      <c r="A1037" s="116"/>
    </row>
    <row r="1038" spans="1:1" ht="15.6">
      <c r="A1038" s="116"/>
    </row>
    <row r="1039" spans="1:1" ht="15.6">
      <c r="A1039" s="116"/>
    </row>
    <row r="1040" spans="1:1" ht="15.6">
      <c r="A1040" s="116"/>
    </row>
    <row r="1041" spans="1:1" ht="15.6">
      <c r="A1041" s="116"/>
    </row>
    <row r="1042" spans="1:1" ht="15.6">
      <c r="A1042" s="116"/>
    </row>
    <row r="1043" spans="1:1" ht="15.6">
      <c r="A1043" s="116"/>
    </row>
    <row r="1044" spans="1:1" ht="15.6">
      <c r="A1044" s="116"/>
    </row>
    <row r="1045" spans="1:1" ht="15.6">
      <c r="A1045" s="116"/>
    </row>
    <row r="1046" spans="1:1" ht="15.6">
      <c r="A1046" s="116"/>
    </row>
    <row r="1047" spans="1:1" ht="15.6">
      <c r="A1047" s="116"/>
    </row>
    <row r="1048" spans="1:1" ht="15.6">
      <c r="A1048" s="116"/>
    </row>
    <row r="1049" spans="1:1" ht="15.6">
      <c r="A1049" s="116"/>
    </row>
    <row r="1050" spans="1:1" ht="15.6">
      <c r="A1050" s="116"/>
    </row>
    <row r="1051" spans="1:1" ht="15.6">
      <c r="A1051" s="116"/>
    </row>
    <row r="1052" spans="1:1" ht="15.6">
      <c r="A1052" s="116"/>
    </row>
    <row r="1053" spans="1:1" ht="15.6">
      <c r="A1053" s="116"/>
    </row>
    <row r="1054" spans="1:1" ht="15.6">
      <c r="A1054" s="116"/>
    </row>
    <row r="1055" spans="1:1" ht="15.6">
      <c r="A1055" s="116"/>
    </row>
    <row r="1056" spans="1:1" ht="15.6">
      <c r="A1056" s="116"/>
    </row>
    <row r="1057" spans="1:1" ht="15.6">
      <c r="A1057" s="116"/>
    </row>
    <row r="1058" spans="1:1" ht="15.6">
      <c r="A1058" s="116"/>
    </row>
    <row r="1059" spans="1:1" ht="15.6">
      <c r="A1059" s="116"/>
    </row>
    <row r="1060" spans="1:1" ht="15.6">
      <c r="A1060" s="116"/>
    </row>
    <row r="1061" spans="1:1" ht="15.6">
      <c r="A1061" s="116"/>
    </row>
    <row r="1062" spans="1:1" ht="15.6">
      <c r="A1062" s="116"/>
    </row>
    <row r="1063" spans="1:1" ht="15.6">
      <c r="A1063" s="116"/>
    </row>
    <row r="1064" spans="1:1" ht="15.6">
      <c r="A1064" s="116"/>
    </row>
    <row r="1065" spans="1:1" ht="15.6">
      <c r="A1065" s="116"/>
    </row>
    <row r="1066" spans="1:1" ht="15.6">
      <c r="A1066" s="116"/>
    </row>
    <row r="1067" spans="1:1" ht="15.6">
      <c r="A1067" s="116"/>
    </row>
    <row r="1068" spans="1:1" ht="15.6">
      <c r="A1068" s="116"/>
    </row>
    <row r="1069" spans="1:1" ht="15.6">
      <c r="A1069" s="116"/>
    </row>
    <row r="1070" spans="1:1" ht="15.6">
      <c r="A1070" s="116"/>
    </row>
    <row r="1071" spans="1:1" ht="15.6">
      <c r="A1071" s="116"/>
    </row>
    <row r="1072" spans="1:1" ht="15.6">
      <c r="A1072" s="116"/>
    </row>
    <row r="1073" spans="1:1" ht="15.6">
      <c r="A1073" s="116"/>
    </row>
    <row r="1074" spans="1:1" ht="15.6">
      <c r="A1074" s="116"/>
    </row>
    <row r="1075" spans="1:1" ht="15.6">
      <c r="A1075" s="116"/>
    </row>
    <row r="1076" spans="1:1" ht="15.6">
      <c r="A1076" s="116"/>
    </row>
    <row r="1077" spans="1:1" ht="15.6">
      <c r="A1077" s="116"/>
    </row>
    <row r="1078" spans="1:1" ht="15.6">
      <c r="A1078" s="116"/>
    </row>
    <row r="1079" spans="1:1" ht="15.6">
      <c r="A1079" s="116"/>
    </row>
    <row r="1080" spans="1:1" ht="15.6">
      <c r="A1080" s="116"/>
    </row>
    <row r="1081" spans="1:1" ht="15.6">
      <c r="A1081" s="116"/>
    </row>
    <row r="1082" spans="1:1" ht="15.6">
      <c r="A1082" s="116"/>
    </row>
    <row r="1083" spans="1:1" ht="15.6">
      <c r="A1083" s="116"/>
    </row>
    <row r="1084" spans="1:1" ht="15.6">
      <c r="A1084" s="116"/>
    </row>
    <row r="1085" spans="1:1" ht="15.6">
      <c r="A1085" s="116"/>
    </row>
    <row r="1086" spans="1:1" ht="15.6">
      <c r="A1086" s="116"/>
    </row>
    <row r="1087" spans="1:1" ht="15.6">
      <c r="A1087" s="116"/>
    </row>
    <row r="1088" spans="1:1" ht="15.6">
      <c r="A1088" s="116"/>
    </row>
    <row r="1089" spans="1:1" ht="15.6">
      <c r="A1089" s="116"/>
    </row>
    <row r="1090" spans="1:1" ht="15.6">
      <c r="A1090" s="116"/>
    </row>
    <row r="1091" spans="1:1" ht="15.6">
      <c r="A1091" s="116"/>
    </row>
    <row r="1092" spans="1:1" ht="15.6">
      <c r="A1092" s="116"/>
    </row>
    <row r="1093" spans="1:1" ht="15.6">
      <c r="A1093" s="116"/>
    </row>
    <row r="1094" spans="1:1" ht="15.6">
      <c r="A1094" s="116"/>
    </row>
    <row r="1095" spans="1:1" ht="15.6">
      <c r="A1095" s="116"/>
    </row>
    <row r="1096" spans="1:1" ht="15.6">
      <c r="A1096" s="116"/>
    </row>
    <row r="1097" spans="1:1" ht="15.6">
      <c r="A1097" s="116"/>
    </row>
    <row r="1098" spans="1:1" ht="15.6">
      <c r="A1098" s="116"/>
    </row>
    <row r="1099" spans="1:1" ht="15.6">
      <c r="A1099" s="116"/>
    </row>
    <row r="1100" spans="1:1" ht="15.6">
      <c r="A1100" s="116"/>
    </row>
    <row r="1101" spans="1:1" ht="15.6">
      <c r="A1101" s="116"/>
    </row>
    <row r="1102" spans="1:1" ht="15.6">
      <c r="A1102" s="116"/>
    </row>
    <row r="1103" spans="1:1" ht="15.6">
      <c r="A1103" s="116"/>
    </row>
    <row r="1104" spans="1:1" ht="15.6">
      <c r="A1104" s="116"/>
    </row>
    <row r="1105" spans="1:1" ht="15.6">
      <c r="A1105" s="116"/>
    </row>
    <row r="1106" spans="1:1" ht="15.6">
      <c r="A1106" s="116"/>
    </row>
    <row r="1107" spans="1:1" ht="15.6">
      <c r="A1107" s="116"/>
    </row>
    <row r="1108" spans="1:1" ht="15.6">
      <c r="A1108" s="116"/>
    </row>
    <row r="1109" spans="1:1" ht="15.6">
      <c r="A1109" s="116"/>
    </row>
    <row r="1110" spans="1:1" ht="15.6">
      <c r="A1110" s="116"/>
    </row>
    <row r="1111" spans="1:1" ht="15.6">
      <c r="A1111" s="116"/>
    </row>
    <row r="1112" spans="1:1" ht="15.6">
      <c r="A1112" s="116"/>
    </row>
    <row r="1113" spans="1:1" ht="15.6">
      <c r="A1113" s="116"/>
    </row>
    <row r="1114" spans="1:1" ht="15.6">
      <c r="A1114" s="116"/>
    </row>
    <row r="1115" spans="1:1" ht="15.6">
      <c r="A1115" s="116"/>
    </row>
    <row r="1116" spans="1:1" ht="15.6">
      <c r="A1116" s="116"/>
    </row>
    <row r="1117" spans="1:1" ht="15.6">
      <c r="A1117" s="116"/>
    </row>
    <row r="1118" spans="1:1" ht="15.6">
      <c r="A1118" s="116"/>
    </row>
    <row r="1119" spans="1:1" ht="15.6">
      <c r="A1119" s="116"/>
    </row>
    <row r="1120" spans="1:1" ht="15.6">
      <c r="A1120" s="116"/>
    </row>
    <row r="1121" spans="1:1" ht="15.6">
      <c r="A1121" s="116"/>
    </row>
    <row r="1122" spans="1:1" ht="15.6">
      <c r="A1122" s="116"/>
    </row>
    <row r="1123" spans="1:1" ht="15.6">
      <c r="A1123" s="116"/>
    </row>
    <row r="1124" spans="1:1" ht="15.6">
      <c r="A1124" s="116"/>
    </row>
    <row r="1125" spans="1:1" ht="15.6">
      <c r="A1125" s="116"/>
    </row>
    <row r="1126" spans="1:1" ht="15.6">
      <c r="A1126" s="116"/>
    </row>
    <row r="1127" spans="1:1" ht="15.6">
      <c r="A1127" s="116"/>
    </row>
    <row r="1128" spans="1:1" ht="15.6">
      <c r="A1128" s="116"/>
    </row>
    <row r="1129" spans="1:1" ht="15.6">
      <c r="A1129" s="116"/>
    </row>
    <row r="1130" spans="1:1" ht="15.6">
      <c r="A1130" s="116"/>
    </row>
    <row r="1131" spans="1:1" ht="15.6">
      <c r="A1131" s="116"/>
    </row>
    <row r="1132" spans="1:1" ht="15.6">
      <c r="A1132" s="116"/>
    </row>
    <row r="1133" spans="1:1" ht="15.6">
      <c r="A1133" s="116"/>
    </row>
    <row r="1134" spans="1:1" ht="15.6">
      <c r="A1134" s="116"/>
    </row>
    <row r="1135" spans="1:1" ht="15.6">
      <c r="A1135" s="116"/>
    </row>
    <row r="1136" spans="1:1" ht="15.6">
      <c r="A1136" s="116"/>
    </row>
    <row r="1137" spans="1:1" ht="15.6">
      <c r="A1137" s="116"/>
    </row>
    <row r="1138" spans="1:1" ht="15.6">
      <c r="A1138" s="116"/>
    </row>
    <row r="1139" spans="1:1" ht="15.6">
      <c r="A1139" s="116"/>
    </row>
    <row r="1140" spans="1:1" ht="15.6">
      <c r="A1140" s="116"/>
    </row>
    <row r="1141" spans="1:1" ht="15.6">
      <c r="A1141" s="116"/>
    </row>
    <row r="1142" spans="1:1" ht="15.6">
      <c r="A1142" s="116"/>
    </row>
    <row r="1143" spans="1:1" ht="15.6">
      <c r="A1143" s="116"/>
    </row>
    <row r="1144" spans="1:1" ht="15.6">
      <c r="A1144" s="116"/>
    </row>
    <row r="1145" spans="1:1" ht="15.6">
      <c r="A1145" s="116"/>
    </row>
    <row r="1146" spans="1:1" ht="15.6">
      <c r="A1146" s="116"/>
    </row>
    <row r="1147" spans="1:1" ht="15.6">
      <c r="A1147" s="116"/>
    </row>
    <row r="1148" spans="1:1" ht="15.6">
      <c r="A1148" s="116"/>
    </row>
    <row r="1149" spans="1:1" ht="15.6">
      <c r="A1149" s="116"/>
    </row>
    <row r="1150" spans="1:1" ht="15.6">
      <c r="A1150" s="116"/>
    </row>
    <row r="1151" spans="1:1" ht="15.6">
      <c r="A1151" s="116"/>
    </row>
    <row r="1152" spans="1:1" ht="15.6">
      <c r="A1152" s="116"/>
    </row>
    <row r="1153" spans="1:1" ht="15.6">
      <c r="A1153" s="116"/>
    </row>
    <row r="1154" spans="1:1" ht="15.6">
      <c r="A1154" s="116"/>
    </row>
    <row r="1155" spans="1:1" ht="15.6">
      <c r="A1155" s="116"/>
    </row>
    <row r="1156" spans="1:1" ht="15.6">
      <c r="A1156" s="116"/>
    </row>
    <row r="1157" spans="1:1" ht="15.6">
      <c r="A1157" s="116"/>
    </row>
    <row r="1158" spans="1:1" ht="15.6">
      <c r="A1158" s="116"/>
    </row>
    <row r="1159" spans="1:1" ht="15.6">
      <c r="A1159" s="116"/>
    </row>
    <row r="1160" spans="1:1" ht="15.6">
      <c r="A1160" s="116"/>
    </row>
    <row r="1161" spans="1:1" ht="15.6">
      <c r="A1161" s="116"/>
    </row>
    <row r="1162" spans="1:1" ht="15.6">
      <c r="A1162" s="116"/>
    </row>
    <row r="1163" spans="1:1" ht="15.6">
      <c r="A1163" s="116"/>
    </row>
    <row r="1164" spans="1:1" ht="15.6">
      <c r="A1164" s="116"/>
    </row>
    <row r="1165" spans="1:1" ht="15.6">
      <c r="A1165" s="116"/>
    </row>
    <row r="1166" spans="1:1" ht="15.6">
      <c r="A1166" s="116"/>
    </row>
    <row r="1167" spans="1:1" ht="15.6">
      <c r="A1167" s="116"/>
    </row>
    <row r="1168" spans="1:1" ht="15.6">
      <c r="A1168" s="116"/>
    </row>
    <row r="1169" spans="1:1" ht="15.6">
      <c r="A1169" s="116"/>
    </row>
    <row r="1170" spans="1:1" ht="15.6">
      <c r="A1170" s="116"/>
    </row>
    <row r="1171" spans="1:1" ht="15.6">
      <c r="A1171" s="116"/>
    </row>
    <row r="1172" spans="1:1" ht="15.6">
      <c r="A1172" s="116"/>
    </row>
    <row r="1173" spans="1:1" ht="15.6">
      <c r="A1173" s="116"/>
    </row>
    <row r="1174" spans="1:1" ht="15.6">
      <c r="A1174" s="116"/>
    </row>
    <row r="1175" spans="1:1" ht="15.6">
      <c r="A1175" s="116"/>
    </row>
    <row r="1176" spans="1:1" ht="15.6">
      <c r="A1176" s="116"/>
    </row>
    <row r="1177" spans="1:1" ht="15.6">
      <c r="A1177" s="116"/>
    </row>
    <row r="1178" spans="1:1" ht="15.6">
      <c r="A1178" s="116"/>
    </row>
    <row r="1179" spans="1:1" ht="15.6">
      <c r="A1179" s="116"/>
    </row>
    <row r="1180" spans="1:1" ht="15.6">
      <c r="A1180" s="116"/>
    </row>
    <row r="1181" spans="1:1" ht="15.6">
      <c r="A1181" s="116"/>
    </row>
    <row r="1182" spans="1:1" ht="15.6">
      <c r="A1182" s="116"/>
    </row>
    <row r="1183" spans="1:1" ht="15.6">
      <c r="A1183" s="116"/>
    </row>
    <row r="1184" spans="1:1" ht="15.6">
      <c r="A1184" s="116"/>
    </row>
    <row r="1185" spans="1:1" ht="15.6">
      <c r="A1185" s="116"/>
    </row>
    <row r="1186" spans="1:1" ht="15.6">
      <c r="A1186" s="116"/>
    </row>
    <row r="1187" spans="1:1" ht="15.6">
      <c r="A1187" s="116"/>
    </row>
    <row r="1188" spans="1:1" ht="15.6">
      <c r="A1188" s="116"/>
    </row>
    <row r="1189" spans="1:1" ht="15.6">
      <c r="A1189" s="116"/>
    </row>
    <row r="1190" spans="1:1" ht="15.6">
      <c r="A1190" s="116"/>
    </row>
    <row r="1191" spans="1:1" ht="15.6">
      <c r="A1191" s="116"/>
    </row>
    <row r="1192" spans="1:1" ht="15.6">
      <c r="A1192" s="116"/>
    </row>
    <row r="1193" spans="1:1" ht="15.6">
      <c r="A1193" s="116"/>
    </row>
    <row r="1194" spans="1:1" ht="15.6">
      <c r="A1194" s="116"/>
    </row>
    <row r="1195" spans="1:1" ht="15.6">
      <c r="A1195" s="116"/>
    </row>
    <row r="1196" spans="1:1" ht="15.6">
      <c r="A1196" s="116"/>
    </row>
    <row r="1197" spans="1:1" ht="15.6">
      <c r="A1197" s="116"/>
    </row>
    <row r="1198" spans="1:1" ht="15.6">
      <c r="A1198" s="116"/>
    </row>
    <row r="1199" spans="1:1" ht="15.6">
      <c r="A1199" s="116"/>
    </row>
    <row r="1200" spans="1:1" ht="15.6">
      <c r="A1200" s="116"/>
    </row>
    <row r="1201" spans="1:1" ht="15.6">
      <c r="A1201" s="116"/>
    </row>
    <row r="1202" spans="1:1" ht="15.6">
      <c r="A1202" s="116"/>
    </row>
    <row r="1203" spans="1:1" ht="15.6">
      <c r="A1203" s="116"/>
    </row>
    <row r="1204" spans="1:1" ht="15.6">
      <c r="A1204" s="116"/>
    </row>
    <row r="1205" spans="1:1" ht="15.6">
      <c r="A1205" s="116"/>
    </row>
    <row r="1206" spans="1:1" ht="15.6">
      <c r="A1206" s="116"/>
    </row>
    <row r="1207" spans="1:1" ht="15.6">
      <c r="A1207" s="116"/>
    </row>
    <row r="1208" spans="1:1" ht="15.6">
      <c r="A1208" s="116"/>
    </row>
    <row r="1209" spans="1:1" ht="15.6">
      <c r="A1209" s="116"/>
    </row>
    <row r="1210" spans="1:1" ht="15.6">
      <c r="A1210" s="116"/>
    </row>
    <row r="1211" spans="1:1" ht="15.6">
      <c r="A1211" s="116"/>
    </row>
    <row r="1212" spans="1:1" ht="15.6">
      <c r="A1212" s="116"/>
    </row>
    <row r="1213" spans="1:1" ht="15.6">
      <c r="A1213" s="116"/>
    </row>
    <row r="1214" spans="1:1" ht="15.6">
      <c r="A1214" s="116"/>
    </row>
    <row r="1215" spans="1:1" ht="15.6">
      <c r="A1215" s="116"/>
    </row>
    <row r="1216" spans="1:1" ht="15.6">
      <c r="A1216" s="116"/>
    </row>
    <row r="1217" spans="1:1" ht="15.6">
      <c r="A1217" s="116"/>
    </row>
    <row r="1218" spans="1:1" ht="15.6">
      <c r="A1218" s="116"/>
    </row>
    <row r="1219" spans="1:1" ht="15.6">
      <c r="A1219" s="116"/>
    </row>
    <row r="1220" spans="1:1" ht="15.6">
      <c r="A1220" s="116"/>
    </row>
    <row r="1221" spans="1:1" ht="15.6">
      <c r="A1221" s="116"/>
    </row>
    <row r="1222" spans="1:1" ht="15.6">
      <c r="A1222" s="116"/>
    </row>
    <row r="1223" spans="1:1" ht="15.6">
      <c r="A1223" s="116"/>
    </row>
    <row r="1224" spans="1:1" ht="15.6">
      <c r="A1224" s="116"/>
    </row>
    <row r="1225" spans="1:1" ht="15.6">
      <c r="A1225" s="116"/>
    </row>
    <row r="1226" spans="1:1" ht="15.6">
      <c r="A1226" s="116"/>
    </row>
    <row r="1227" spans="1:1" ht="15.6">
      <c r="A1227" s="116"/>
    </row>
    <row r="1228" spans="1:1" ht="15.6">
      <c r="A1228" s="116"/>
    </row>
    <row r="1229" spans="1:1" ht="15.6">
      <c r="A1229" s="116"/>
    </row>
    <row r="1230" spans="1:1" ht="15.6">
      <c r="A1230" s="116"/>
    </row>
    <row r="1231" spans="1:1" ht="15.6">
      <c r="A1231" s="116"/>
    </row>
    <row r="1232" spans="1:1" ht="15.6">
      <c r="A1232" s="116"/>
    </row>
    <row r="1233" spans="1:1" ht="15.6">
      <c r="A1233" s="116"/>
    </row>
    <row r="1234" spans="1:1" ht="15.6">
      <c r="A1234" s="116"/>
    </row>
    <row r="1235" spans="1:1" ht="15.6">
      <c r="A1235" s="116"/>
    </row>
    <row r="1236" spans="1:1" ht="15.6">
      <c r="A1236" s="116"/>
    </row>
    <row r="1237" spans="1:1" ht="15.6">
      <c r="A1237" s="116"/>
    </row>
    <row r="1238" spans="1:1" ht="15.6">
      <c r="A1238" s="116"/>
    </row>
    <row r="1239" spans="1:1" ht="15.6">
      <c r="A1239" s="116"/>
    </row>
    <row r="1240" spans="1:1" ht="15.6">
      <c r="A1240" s="116"/>
    </row>
    <row r="1241" spans="1:1" ht="15.6">
      <c r="A1241" s="116"/>
    </row>
    <row r="1242" spans="1:1" ht="15.6">
      <c r="A1242" s="116"/>
    </row>
    <row r="1243" spans="1:1" ht="15.6">
      <c r="A1243" s="116"/>
    </row>
    <row r="1244" spans="1:1" ht="15.6">
      <c r="A1244" s="116"/>
    </row>
    <row r="1245" spans="1:1" ht="15.6">
      <c r="A1245" s="116"/>
    </row>
    <row r="1246" spans="1:1" ht="15.6">
      <c r="A1246" s="116"/>
    </row>
    <row r="1247" spans="1:1" ht="15.6">
      <c r="A1247" s="116"/>
    </row>
    <row r="1248" spans="1:1" ht="15.6">
      <c r="A1248" s="116"/>
    </row>
    <row r="1249" spans="1:1" ht="15.6">
      <c r="A1249" s="116"/>
    </row>
    <row r="1250" spans="1:1" ht="15.6">
      <c r="A1250" s="116"/>
    </row>
    <row r="1251" spans="1:1" ht="15.6">
      <c r="A1251" s="116"/>
    </row>
    <row r="1252" spans="1:1" ht="15.6">
      <c r="A1252" s="116"/>
    </row>
    <row r="1253" spans="1:1" ht="15.6">
      <c r="A1253" s="116"/>
    </row>
    <row r="1254" spans="1:1" ht="15.6">
      <c r="A1254" s="116"/>
    </row>
    <row r="1255" spans="1:1" ht="15.6">
      <c r="A1255" s="116"/>
    </row>
    <row r="1256" spans="1:1" ht="15.6">
      <c r="A1256" s="116"/>
    </row>
    <row r="1257" spans="1:1" ht="15.6">
      <c r="A1257" s="116"/>
    </row>
    <row r="1258" spans="1:1" ht="15.6">
      <c r="A1258" s="116"/>
    </row>
    <row r="1259" spans="1:1" ht="15.6">
      <c r="A1259" s="116"/>
    </row>
    <row r="1260" spans="1:1" ht="15.6">
      <c r="A1260" s="116"/>
    </row>
    <row r="1261" spans="1:1" ht="15.6">
      <c r="A1261" s="116"/>
    </row>
    <row r="1262" spans="1:1" ht="15.6">
      <c r="A1262" s="116"/>
    </row>
    <row r="1263" spans="1:1" ht="15.6">
      <c r="A1263" s="116"/>
    </row>
    <row r="1264" spans="1:1" ht="15.6">
      <c r="A1264" s="116"/>
    </row>
    <row r="1265" spans="1:1" ht="15.6">
      <c r="A1265" s="116"/>
    </row>
    <row r="1266" spans="1:1" ht="15.6">
      <c r="A1266" s="116"/>
    </row>
    <row r="1267" spans="1:1" ht="15.6">
      <c r="A1267" s="116"/>
    </row>
    <row r="1268" spans="1:1" ht="15.6">
      <c r="A1268" s="116"/>
    </row>
    <row r="1269" spans="1:1" ht="15.6">
      <c r="A1269" s="116"/>
    </row>
    <row r="1270" spans="1:1" ht="15.6">
      <c r="A1270" s="116"/>
    </row>
    <row r="1271" spans="1:1" ht="15.6">
      <c r="A1271" s="116"/>
    </row>
    <row r="1272" spans="1:1" ht="15.6">
      <c r="A1272" s="116"/>
    </row>
    <row r="1273" spans="1:1" ht="15.6">
      <c r="A1273" s="116"/>
    </row>
    <row r="1274" spans="1:1" ht="15.6">
      <c r="A1274" s="116"/>
    </row>
    <row r="1275" spans="1:1" ht="15.6">
      <c r="A1275" s="116"/>
    </row>
    <row r="1276" spans="1:1" ht="15.6">
      <c r="A1276" s="116"/>
    </row>
    <row r="1277" spans="1:1" ht="15.6">
      <c r="A1277" s="116"/>
    </row>
    <row r="1278" spans="1:1" ht="15.6">
      <c r="A1278" s="116"/>
    </row>
    <row r="1279" spans="1:1" ht="15.6">
      <c r="A1279" s="116"/>
    </row>
    <row r="1280" spans="1:1" ht="15.6">
      <c r="A1280" s="116"/>
    </row>
    <row r="1281" spans="1:1" ht="15.6">
      <c r="A1281" s="116"/>
    </row>
    <row r="1282" spans="1:1" ht="15.6">
      <c r="A1282" s="116"/>
    </row>
    <row r="1283" spans="1:1" ht="15.6">
      <c r="A1283" s="116"/>
    </row>
    <row r="1284" spans="1:1" ht="15.6">
      <c r="A1284" s="116"/>
    </row>
    <row r="1285" spans="1:1" ht="15.6">
      <c r="A1285" s="116"/>
    </row>
    <row r="1286" spans="1:1" ht="15.6">
      <c r="A1286" s="116"/>
    </row>
    <row r="1287" spans="1:1" ht="15.6">
      <c r="A1287" s="116"/>
    </row>
    <row r="1288" spans="1:1" ht="15.6">
      <c r="A1288" s="116"/>
    </row>
    <row r="1289" spans="1:1" ht="15.6">
      <c r="A1289" s="116"/>
    </row>
    <row r="1290" spans="1:1" ht="15.6">
      <c r="A1290" s="116"/>
    </row>
    <row r="1291" spans="1:1" ht="15.6">
      <c r="A1291" s="116"/>
    </row>
    <row r="1292" spans="1:1" ht="15.6">
      <c r="A1292" s="116"/>
    </row>
    <row r="1293" spans="1:1" ht="15.6">
      <c r="A1293" s="116"/>
    </row>
    <row r="1294" spans="1:1" ht="15.6">
      <c r="A1294" s="116"/>
    </row>
    <row r="1295" spans="1:1" ht="15.6">
      <c r="A1295" s="116"/>
    </row>
    <row r="1296" spans="1:1" ht="15.6">
      <c r="A1296" s="116"/>
    </row>
    <row r="1297" spans="1:1" ht="15.6">
      <c r="A1297" s="116"/>
    </row>
    <row r="1298" spans="1:1" ht="15.6">
      <c r="A1298" s="116"/>
    </row>
    <row r="1299" spans="1:1" ht="15.6">
      <c r="A1299" s="116"/>
    </row>
    <row r="1300" spans="1:1" ht="15.6">
      <c r="A1300" s="116"/>
    </row>
    <row r="1301" spans="1:1" ht="15.6">
      <c r="A1301" s="116"/>
    </row>
    <row r="1302" spans="1:1" ht="15.6">
      <c r="A1302" s="116"/>
    </row>
    <row r="1303" spans="1:1" ht="15.6">
      <c r="A1303" s="116"/>
    </row>
    <row r="1304" spans="1:1" ht="15.6">
      <c r="A1304" s="116"/>
    </row>
    <row r="1305" spans="1:1" ht="15.6">
      <c r="A1305" s="116"/>
    </row>
    <row r="1306" spans="1:1" ht="15.6">
      <c r="A1306" s="116"/>
    </row>
    <row r="1307" spans="1:1" ht="15.6">
      <c r="A1307" s="116"/>
    </row>
    <row r="1308" spans="1:1" ht="15.6">
      <c r="A1308" s="116"/>
    </row>
    <row r="1309" spans="1:1" ht="15.6">
      <c r="A1309" s="116"/>
    </row>
    <row r="1310" spans="1:1" ht="15.6">
      <c r="A1310" s="116"/>
    </row>
    <row r="1311" spans="1:1" ht="15.6">
      <c r="A1311" s="116"/>
    </row>
    <row r="1312" spans="1:1" ht="15.6">
      <c r="A1312" s="116"/>
    </row>
    <row r="1313" spans="1:1" ht="15.6">
      <c r="A1313" s="116"/>
    </row>
    <row r="1314" spans="1:1" ht="15.6">
      <c r="A1314" s="116"/>
    </row>
    <row r="1315" spans="1:1" ht="15.6">
      <c r="A1315" s="116"/>
    </row>
    <row r="1316" spans="1:1" ht="15.6">
      <c r="A1316" s="116"/>
    </row>
    <row r="1317" spans="1:1" ht="15.6">
      <c r="A1317" s="116"/>
    </row>
    <row r="1318" spans="1:1" ht="15.6">
      <c r="A1318" s="116"/>
    </row>
    <row r="1319" spans="1:1" ht="15.6">
      <c r="A1319" s="116"/>
    </row>
    <row r="1320" spans="1:1" ht="15.6">
      <c r="A1320" s="116"/>
    </row>
    <row r="1321" spans="1:1" ht="15.6">
      <c r="A1321" s="116"/>
    </row>
    <row r="1322" spans="1:1" ht="15.6">
      <c r="A1322" s="116"/>
    </row>
    <row r="1323" spans="1:1" ht="15.6">
      <c r="A1323" s="116"/>
    </row>
    <row r="1324" spans="1:1" ht="15.6">
      <c r="A1324" s="116"/>
    </row>
    <row r="1325" spans="1:1" ht="15.6">
      <c r="A1325" s="116"/>
    </row>
    <row r="1326" spans="1:1" ht="15.6">
      <c r="A1326" s="116"/>
    </row>
    <row r="1327" spans="1:1" ht="15.6">
      <c r="A1327" s="116"/>
    </row>
    <row r="1328" spans="1:1" ht="15.6">
      <c r="A1328" s="116"/>
    </row>
    <row r="1329" spans="1:1" ht="15.6">
      <c r="A1329" s="116"/>
    </row>
    <row r="1330" spans="1:1" ht="15.6">
      <c r="A1330" s="116"/>
    </row>
    <row r="1331" spans="1:1" ht="15.6">
      <c r="A1331" s="116"/>
    </row>
    <row r="1332" spans="1:1" ht="15.6">
      <c r="A1332" s="116"/>
    </row>
    <row r="1333" spans="1:1" ht="15.6">
      <c r="A1333" s="116"/>
    </row>
    <row r="1334" spans="1:1" ht="15.6">
      <c r="A1334" s="116"/>
    </row>
    <row r="1335" spans="1:1" ht="15.6">
      <c r="A1335" s="116"/>
    </row>
    <row r="1336" spans="1:1" ht="15.6">
      <c r="A1336" s="116"/>
    </row>
    <row r="1337" spans="1:1" ht="15.6">
      <c r="A1337" s="116"/>
    </row>
    <row r="1338" spans="1:1" ht="15.6">
      <c r="A1338" s="116"/>
    </row>
    <row r="1339" spans="1:1" ht="15.6">
      <c r="A1339" s="116"/>
    </row>
    <row r="1340" spans="1:1" ht="15.6">
      <c r="A1340" s="116"/>
    </row>
    <row r="1341" spans="1:1" ht="15.6">
      <c r="A1341" s="116"/>
    </row>
    <row r="1342" spans="1:1" ht="15.6">
      <c r="A1342" s="116"/>
    </row>
    <row r="1343" spans="1:1" ht="15.6">
      <c r="A1343" s="116"/>
    </row>
    <row r="1344" spans="1:1" ht="15.6">
      <c r="A1344" s="116"/>
    </row>
    <row r="1345" spans="1:1" ht="15.6">
      <c r="A1345" s="116"/>
    </row>
    <row r="1346" spans="1:1" ht="15.6">
      <c r="A1346" s="116"/>
    </row>
    <row r="1347" spans="1:1" ht="15.6">
      <c r="A1347" s="116"/>
    </row>
    <row r="1348" spans="1:1" ht="15.6">
      <c r="A1348" s="116"/>
    </row>
    <row r="1349" spans="1:1" ht="15.6">
      <c r="A1349" s="116"/>
    </row>
    <row r="1350" spans="1:1" ht="15.6">
      <c r="A1350" s="116"/>
    </row>
    <row r="1351" spans="1:1" ht="15.6">
      <c r="A1351" s="116"/>
    </row>
    <row r="1352" spans="1:1" ht="15.6">
      <c r="A1352" s="116"/>
    </row>
    <row r="1353" spans="1:1" ht="15.6">
      <c r="A1353" s="116"/>
    </row>
    <row r="1354" spans="1:1" ht="15.6">
      <c r="A1354" s="116"/>
    </row>
    <row r="1355" spans="1:1" ht="15.6">
      <c r="A1355" s="116"/>
    </row>
    <row r="1356" spans="1:1" ht="15.6">
      <c r="A1356" s="116"/>
    </row>
    <row r="1357" spans="1:1" ht="15.6">
      <c r="A1357" s="116"/>
    </row>
    <row r="1358" spans="1:1" ht="15.6">
      <c r="A1358" s="116"/>
    </row>
    <row r="1359" spans="1:1" ht="15.6">
      <c r="A1359" s="116"/>
    </row>
    <row r="1360" spans="1:1" ht="15.6">
      <c r="A1360" s="116"/>
    </row>
    <row r="1361" spans="1:1" ht="15.6">
      <c r="A1361" s="116"/>
    </row>
    <row r="1362" spans="1:1" ht="15.6">
      <c r="A1362" s="116"/>
    </row>
    <row r="1363" spans="1:1" ht="15.6">
      <c r="A1363" s="116"/>
    </row>
    <row r="1364" spans="1:1" ht="15.6">
      <c r="A1364" s="116"/>
    </row>
    <row r="1365" spans="1:1" ht="15.6">
      <c r="A1365" s="116"/>
    </row>
    <row r="1366" spans="1:1" ht="15.6">
      <c r="A1366" s="116"/>
    </row>
    <row r="1367" spans="1:1" ht="15.6">
      <c r="A1367" s="116"/>
    </row>
    <row r="1368" spans="1:1" ht="15.6">
      <c r="A1368" s="116"/>
    </row>
    <row r="1369" spans="1:1" ht="15.6">
      <c r="A1369" s="116"/>
    </row>
    <row r="1370" spans="1:1" ht="15.6">
      <c r="A1370" s="116"/>
    </row>
    <row r="1371" spans="1:1" ht="15.6">
      <c r="A1371" s="116"/>
    </row>
    <row r="1372" spans="1:1" ht="15.6">
      <c r="A1372" s="116"/>
    </row>
    <row r="1373" spans="1:1" ht="15.6">
      <c r="A1373" s="116"/>
    </row>
    <row r="1374" spans="1:1" ht="15.6">
      <c r="A1374" s="116"/>
    </row>
    <row r="1375" spans="1:1" ht="15.6">
      <c r="A1375" s="116"/>
    </row>
    <row r="1376" spans="1:1" ht="15.6">
      <c r="A1376" s="116"/>
    </row>
    <row r="1377" spans="1:1" ht="15.6">
      <c r="A1377" s="116"/>
    </row>
    <row r="1378" spans="1:1" ht="15.6">
      <c r="A1378" s="116"/>
    </row>
    <row r="1379" spans="1:1" ht="15.6">
      <c r="A1379" s="116"/>
    </row>
    <row r="1380" spans="1:1" ht="15.6">
      <c r="A1380" s="116"/>
    </row>
    <row r="1381" spans="1:1" ht="15.6">
      <c r="A1381" s="116"/>
    </row>
    <row r="1382" spans="1:1" ht="15.6">
      <c r="A1382" s="116"/>
    </row>
    <row r="1383" spans="1:1" ht="15.6">
      <c r="A1383" s="116"/>
    </row>
    <row r="1384" spans="1:1" ht="15.6">
      <c r="A1384" s="116"/>
    </row>
    <row r="1385" spans="1:1" ht="15.6">
      <c r="A1385" s="116"/>
    </row>
    <row r="1386" spans="1:1" ht="15.6">
      <c r="A1386" s="116"/>
    </row>
    <row r="1387" spans="1:1" ht="15.6">
      <c r="A1387" s="116"/>
    </row>
    <row r="1388" spans="1:1" ht="15.6">
      <c r="A1388" s="116"/>
    </row>
    <row r="1389" spans="1:1" ht="15.6">
      <c r="A1389" s="116"/>
    </row>
    <row r="1390" spans="1:1" ht="15.6">
      <c r="A1390" s="116"/>
    </row>
    <row r="1391" spans="1:1" ht="15.6">
      <c r="A1391" s="116"/>
    </row>
    <row r="1392" spans="1:1" ht="15.6">
      <c r="A1392" s="116"/>
    </row>
    <row r="1393" spans="1:1" ht="15.6">
      <c r="A1393" s="116"/>
    </row>
    <row r="1394" spans="1:1" ht="15.6">
      <c r="A1394" s="116"/>
    </row>
    <row r="1395" spans="1:1" ht="15.6">
      <c r="A1395" s="116"/>
    </row>
    <row r="1396" spans="1:1" ht="15.6">
      <c r="A1396" s="116"/>
    </row>
    <row r="1397" spans="1:1" ht="15.6">
      <c r="A1397" s="116"/>
    </row>
    <row r="1398" spans="1:1" ht="15.6">
      <c r="A1398" s="116"/>
    </row>
    <row r="1399" spans="1:1" ht="15.6">
      <c r="A1399" s="116"/>
    </row>
    <row r="1400" spans="1:1" ht="15.6">
      <c r="A1400" s="116"/>
    </row>
    <row r="1401" spans="1:1" ht="15.6">
      <c r="A1401" s="116"/>
    </row>
    <row r="1402" spans="1:1" ht="15.6">
      <c r="A1402" s="116"/>
    </row>
    <row r="1403" spans="1:1" ht="15.6">
      <c r="A1403" s="116"/>
    </row>
    <row r="1404" spans="1:1" ht="15.6">
      <c r="A1404" s="116"/>
    </row>
    <row r="1405" spans="1:1" ht="15.6">
      <c r="A1405" s="116"/>
    </row>
    <row r="1406" spans="1:1" ht="15.6">
      <c r="A1406" s="116"/>
    </row>
    <row r="1407" spans="1:1" ht="15.6">
      <c r="A1407" s="116"/>
    </row>
    <row r="1408" spans="1:1" ht="15.6">
      <c r="A1408" s="116"/>
    </row>
    <row r="1409" spans="1:1" ht="15.6">
      <c r="A1409" s="116"/>
    </row>
    <row r="1410" spans="1:1" ht="15.6">
      <c r="A1410" s="116"/>
    </row>
    <row r="1411" spans="1:1" ht="15.6">
      <c r="A1411" s="116"/>
    </row>
    <row r="1412" spans="1:1" ht="15.6">
      <c r="A1412" s="116"/>
    </row>
    <row r="1413" spans="1:1" ht="15.6">
      <c r="A1413" s="116"/>
    </row>
    <row r="1414" spans="1:1" ht="15.6">
      <c r="A1414" s="116"/>
    </row>
    <row r="1415" spans="1:1" ht="15.6">
      <c r="A1415" s="116"/>
    </row>
    <row r="1416" spans="1:1" ht="15.6">
      <c r="A1416" s="116"/>
    </row>
    <row r="1417" spans="1:1" ht="15.6">
      <c r="A1417" s="116"/>
    </row>
    <row r="1418" spans="1:1" ht="15.6">
      <c r="A1418" s="116"/>
    </row>
    <row r="1419" spans="1:1" ht="15.6">
      <c r="A1419" s="116"/>
    </row>
    <row r="1420" spans="1:1" ht="15.6">
      <c r="A1420" s="116"/>
    </row>
    <row r="1421" spans="1:1" ht="15.6">
      <c r="A1421" s="116"/>
    </row>
    <row r="1422" spans="1:1" ht="15.6">
      <c r="A1422" s="116"/>
    </row>
    <row r="1423" spans="1:1" ht="15.6">
      <c r="A1423" s="116"/>
    </row>
    <row r="1424" spans="1:1" ht="15.6">
      <c r="A1424" s="116"/>
    </row>
    <row r="1425" spans="1:1" ht="15.6">
      <c r="A1425" s="116"/>
    </row>
    <row r="1426" spans="1:1" ht="15.6">
      <c r="A1426" s="116"/>
    </row>
    <row r="1427" spans="1:1" ht="15.6">
      <c r="A1427" s="116"/>
    </row>
    <row r="1428" spans="1:1" ht="15.6">
      <c r="A1428" s="116"/>
    </row>
    <row r="1429" spans="1:1" ht="15.6">
      <c r="A1429" s="116"/>
    </row>
    <row r="1430" spans="1:1" ht="15.6">
      <c r="A1430" s="116"/>
    </row>
    <row r="1431" spans="1:1" ht="15.6">
      <c r="A1431" s="116"/>
    </row>
    <row r="1432" spans="1:1" ht="15.6">
      <c r="A1432" s="116"/>
    </row>
    <row r="1433" spans="1:1" ht="15.6">
      <c r="A1433" s="116"/>
    </row>
    <row r="1434" spans="1:1" ht="15.6">
      <c r="A1434" s="116"/>
    </row>
    <row r="1435" spans="1:1" ht="15.6">
      <c r="A1435" s="116"/>
    </row>
    <row r="1436" spans="1:1" ht="15.6">
      <c r="A1436" s="116"/>
    </row>
    <row r="1437" spans="1:1" ht="15.6">
      <c r="A1437" s="116"/>
    </row>
    <row r="1438" spans="1:1" ht="15.6">
      <c r="A1438" s="116"/>
    </row>
    <row r="1439" spans="1:1" ht="15.6">
      <c r="A1439" s="116"/>
    </row>
    <row r="1440" spans="1:1" ht="15.6">
      <c r="A1440" s="116"/>
    </row>
    <row r="1441" spans="1:1" ht="15.6">
      <c r="A1441" s="116"/>
    </row>
    <row r="1442" spans="1:1" ht="15.6">
      <c r="A1442" s="116"/>
    </row>
    <row r="1443" spans="1:1" ht="15.6">
      <c r="A1443" s="116"/>
    </row>
    <row r="1444" spans="1:1" ht="15.6">
      <c r="A1444" s="116"/>
    </row>
    <row r="1445" spans="1:1" ht="15.6">
      <c r="A1445" s="116"/>
    </row>
    <row r="1446" spans="1:1" ht="15.6">
      <c r="A1446" s="116"/>
    </row>
    <row r="1447" spans="1:1" ht="15.6">
      <c r="A1447" s="116"/>
    </row>
    <row r="1448" spans="1:1" ht="15.6">
      <c r="A1448" s="116"/>
    </row>
    <row r="1449" spans="1:1" ht="15.6">
      <c r="A1449" s="116"/>
    </row>
    <row r="1450" spans="1:1" ht="15.6">
      <c r="A1450" s="116"/>
    </row>
    <row r="1451" spans="1:1" ht="15.6">
      <c r="A1451" s="116"/>
    </row>
    <row r="1452" spans="1:1" ht="15.6">
      <c r="A1452" s="116"/>
    </row>
    <row r="1453" spans="1:1" ht="15.6">
      <c r="A1453" s="116"/>
    </row>
    <row r="1454" spans="1:1" ht="15.6">
      <c r="A1454" s="116"/>
    </row>
    <row r="1455" spans="1:1" ht="15.6">
      <c r="A1455" s="116"/>
    </row>
    <row r="1456" spans="1:1" ht="15.6">
      <c r="A1456" s="116"/>
    </row>
    <row r="1457" spans="1:1" ht="15.6">
      <c r="A1457" s="116"/>
    </row>
    <row r="1458" spans="1:1" ht="15.6">
      <c r="A1458" s="116"/>
    </row>
    <row r="1459" spans="1:1" ht="15.6">
      <c r="A1459" s="116"/>
    </row>
    <row r="1460" spans="1:1" ht="15.6">
      <c r="A1460" s="116"/>
    </row>
    <row r="1461" spans="1:1" ht="15.6">
      <c r="A1461" s="116"/>
    </row>
    <row r="1462" spans="1:1" ht="15.6">
      <c r="A1462" s="116"/>
    </row>
    <row r="1463" spans="1:1" ht="15.6">
      <c r="A1463" s="116"/>
    </row>
    <row r="1464" spans="1:1" ht="15.6">
      <c r="A1464" s="116"/>
    </row>
    <row r="1465" spans="1:1" ht="15.6">
      <c r="A1465" s="116"/>
    </row>
    <row r="1466" spans="1:1" ht="15.6">
      <c r="A1466" s="116"/>
    </row>
    <row r="1467" spans="1:1" ht="15.6">
      <c r="A1467" s="116"/>
    </row>
    <row r="1468" spans="1:1" ht="15.6">
      <c r="A1468" s="116"/>
    </row>
    <row r="1469" spans="1:1" ht="15.6">
      <c r="A1469" s="116"/>
    </row>
    <row r="1470" spans="1:1" ht="15.6">
      <c r="A1470" s="116"/>
    </row>
    <row r="1471" spans="1:1" ht="15.6">
      <c r="A1471" s="116"/>
    </row>
    <row r="1472" spans="1:1" ht="15.6">
      <c r="A1472" s="116"/>
    </row>
    <row r="1473" spans="1:1" ht="15.6">
      <c r="A1473" s="116"/>
    </row>
    <row r="1474" spans="1:1" ht="15.6">
      <c r="A1474" s="116"/>
    </row>
    <row r="1475" spans="1:1" ht="15.6">
      <c r="A1475" s="116"/>
    </row>
    <row r="1476" spans="1:1" ht="15.6">
      <c r="A1476" s="116"/>
    </row>
    <row r="1477" spans="1:1" ht="15.6">
      <c r="A1477" s="116"/>
    </row>
    <row r="1478" spans="1:1" ht="15.6">
      <c r="A1478" s="116"/>
    </row>
    <row r="1479" spans="1:1" ht="15.6">
      <c r="A1479" s="116"/>
    </row>
    <row r="1480" spans="1:1" ht="15.6">
      <c r="A1480" s="116"/>
    </row>
    <row r="1481" spans="1:1" ht="15.6">
      <c r="A1481" s="116"/>
    </row>
    <row r="1482" spans="1:1" ht="15.6">
      <c r="A1482" s="116"/>
    </row>
    <row r="1483" spans="1:1" ht="15.6">
      <c r="A1483" s="116"/>
    </row>
    <row r="1484" spans="1:1" ht="15.6">
      <c r="A1484" s="116"/>
    </row>
    <row r="1485" spans="1:1" ht="15.6">
      <c r="A1485" s="116"/>
    </row>
    <row r="1486" spans="1:1" ht="15.6">
      <c r="A1486" s="116"/>
    </row>
    <row r="1487" spans="1:1" ht="15.6">
      <c r="A1487" s="116"/>
    </row>
    <row r="1488" spans="1:1" ht="15.6">
      <c r="A1488" s="116"/>
    </row>
    <row r="1489" spans="1:1" ht="15.6">
      <c r="A1489" s="116"/>
    </row>
    <row r="1490" spans="1:1" ht="15.6">
      <c r="A1490" s="116"/>
    </row>
    <row r="1491" spans="1:1" ht="15.6">
      <c r="A1491" s="116"/>
    </row>
    <row r="1492" spans="1:1" ht="15.6">
      <c r="A1492" s="116"/>
    </row>
    <row r="1493" spans="1:1" ht="15.6">
      <c r="A1493" s="116"/>
    </row>
    <row r="1494" spans="1:1" ht="15.6">
      <c r="A1494" s="116"/>
    </row>
    <row r="1495" spans="1:1" ht="15.6">
      <c r="A1495" s="116"/>
    </row>
    <row r="1496" spans="1:1" ht="15.6">
      <c r="A1496" s="116"/>
    </row>
    <row r="1497" spans="1:1" ht="15.6">
      <c r="A1497" s="116"/>
    </row>
    <row r="1498" spans="1:1" ht="15.6">
      <c r="A1498" s="116"/>
    </row>
    <row r="1499" spans="1:1" ht="15.6">
      <c r="A1499" s="116"/>
    </row>
    <row r="1500" spans="1:1" ht="15.6">
      <c r="A1500" s="116"/>
    </row>
    <row r="1501" spans="1:1" ht="15.6">
      <c r="A1501" s="116"/>
    </row>
    <row r="1502" spans="1:1" ht="15.6">
      <c r="A1502" s="116"/>
    </row>
    <row r="1503" spans="1:1" ht="15.6">
      <c r="A1503" s="116"/>
    </row>
    <row r="1504" spans="1:1" ht="15.6">
      <c r="A1504" s="116"/>
    </row>
    <row r="1505" spans="1:1" ht="15.6">
      <c r="A1505" s="116"/>
    </row>
    <row r="1506" spans="1:1" ht="15.6">
      <c r="A1506" s="116"/>
    </row>
    <row r="1507" spans="1:1" ht="15.6">
      <c r="A1507" s="116"/>
    </row>
    <row r="1508" spans="1:1" ht="15.6">
      <c r="A1508" s="116"/>
    </row>
    <row r="1509" spans="1:1" ht="15.6">
      <c r="A1509" s="116"/>
    </row>
    <row r="1510" spans="1:1" ht="15.6">
      <c r="A1510" s="116"/>
    </row>
    <row r="1511" spans="1:1" ht="15.6">
      <c r="A1511" s="116"/>
    </row>
    <row r="1512" spans="1:1" ht="15.6">
      <c r="A1512" s="116"/>
    </row>
    <row r="1513" spans="1:1" ht="15.6">
      <c r="A1513" s="116"/>
    </row>
    <row r="1514" spans="1:1" ht="15.6">
      <c r="A1514" s="116"/>
    </row>
    <row r="1515" spans="1:1" ht="15.6">
      <c r="A1515" s="116"/>
    </row>
    <row r="1516" spans="1:1" ht="15.6">
      <c r="A1516" s="116"/>
    </row>
    <row r="1517" spans="1:1" ht="15.6">
      <c r="A1517" s="116"/>
    </row>
    <row r="1518" spans="1:1" ht="15.6">
      <c r="A1518" s="116"/>
    </row>
    <row r="1519" spans="1:1" ht="15.6">
      <c r="A1519" s="116"/>
    </row>
    <row r="1520" spans="1:1" ht="15.6">
      <c r="A1520" s="116"/>
    </row>
    <row r="1521" spans="1:1" ht="15.6">
      <c r="A1521" s="116"/>
    </row>
    <row r="1522" spans="1:1" ht="15.6">
      <c r="A1522" s="116"/>
    </row>
    <row r="1523" spans="1:1" ht="15.6">
      <c r="A1523" s="116"/>
    </row>
    <row r="1524" spans="1:1" ht="15.6">
      <c r="A1524" s="116"/>
    </row>
    <row r="1525" spans="1:1" ht="15.6">
      <c r="A1525" s="116"/>
    </row>
    <row r="1526" spans="1:1" ht="15.6">
      <c r="A1526" s="116"/>
    </row>
    <row r="1527" spans="1:1" ht="15.6">
      <c r="A1527" s="116"/>
    </row>
    <row r="1528" spans="1:1" ht="15.6">
      <c r="A1528" s="116"/>
    </row>
    <row r="1529" spans="1:1" ht="15.6">
      <c r="A1529" s="116"/>
    </row>
    <row r="1530" spans="1:1" ht="15.6">
      <c r="A1530" s="116"/>
    </row>
    <row r="1531" spans="1:1" ht="15.6">
      <c r="A1531" s="116"/>
    </row>
    <row r="1532" spans="1:1" ht="15.6">
      <c r="A1532" s="116"/>
    </row>
    <row r="1533" spans="1:1" ht="15.6">
      <c r="A1533" s="116"/>
    </row>
    <row r="1534" spans="1:1" ht="15.6">
      <c r="A1534" s="116"/>
    </row>
    <row r="1535" spans="1:1" ht="15.6">
      <c r="A1535" s="116"/>
    </row>
    <row r="1536" spans="1:1" ht="15.6">
      <c r="A1536" s="116"/>
    </row>
    <row r="1537" spans="1:1" ht="15.6">
      <c r="A1537" s="116"/>
    </row>
    <row r="1538" spans="1:1" ht="15.6">
      <c r="A1538" s="116"/>
    </row>
    <row r="1539" spans="1:1" ht="15.6">
      <c r="A1539" s="116"/>
    </row>
    <row r="1540" spans="1:1" ht="15.6">
      <c r="A1540" s="116"/>
    </row>
    <row r="1541" spans="1:1" ht="15.6">
      <c r="A1541" s="116"/>
    </row>
    <row r="1542" spans="1:1" ht="15.6">
      <c r="A1542" s="116"/>
    </row>
    <row r="1543" spans="1:1" ht="15.6">
      <c r="A1543" s="116"/>
    </row>
    <row r="1544" spans="1:1" ht="15.6">
      <c r="A1544" s="116"/>
    </row>
    <row r="1545" spans="1:1" ht="15.6">
      <c r="A1545" s="116"/>
    </row>
    <row r="1546" spans="1:1" ht="15.6">
      <c r="A1546" s="116"/>
    </row>
    <row r="1547" spans="1:1" ht="15.6">
      <c r="A1547" s="116"/>
    </row>
    <row r="1548" spans="1:1" ht="15.6">
      <c r="A1548" s="116"/>
    </row>
    <row r="1549" spans="1:1" ht="15.6">
      <c r="A1549" s="116"/>
    </row>
    <row r="1550" spans="1:1" ht="15.6">
      <c r="A1550" s="116"/>
    </row>
    <row r="1551" spans="1:1" ht="15.6">
      <c r="A1551" s="116"/>
    </row>
    <row r="1552" spans="1:1" ht="15.6">
      <c r="A1552" s="116"/>
    </row>
    <row r="1553" spans="1:1" ht="15.6">
      <c r="A1553" s="116"/>
    </row>
    <row r="1554" spans="1:1" ht="15.6">
      <c r="A1554" s="116"/>
    </row>
    <row r="1555" spans="1:1" ht="15.6">
      <c r="A1555" s="116"/>
    </row>
    <row r="1556" spans="1:1" ht="15.6">
      <c r="A1556" s="116"/>
    </row>
    <row r="1557" spans="1:1" ht="15.6">
      <c r="A1557" s="116"/>
    </row>
    <row r="1558" spans="1:1" ht="15.6">
      <c r="A1558" s="116"/>
    </row>
    <row r="1559" spans="1:1" ht="15.6">
      <c r="A1559" s="116"/>
    </row>
    <row r="1560" spans="1:1" ht="15.6">
      <c r="A1560" s="116"/>
    </row>
    <row r="1561" spans="1:1" ht="15.6">
      <c r="A1561" s="116"/>
    </row>
    <row r="1562" spans="1:1" ht="15.6">
      <c r="A1562" s="116"/>
    </row>
    <row r="1563" spans="1:1" ht="15.6">
      <c r="A1563" s="116"/>
    </row>
    <row r="1564" spans="1:1" ht="15.6">
      <c r="A1564" s="116"/>
    </row>
    <row r="1565" spans="1:1" ht="15.6">
      <c r="A1565" s="116"/>
    </row>
    <row r="1566" spans="1:1" ht="15.6">
      <c r="A1566" s="116"/>
    </row>
    <row r="1567" spans="1:1" ht="15.6">
      <c r="A1567" s="116"/>
    </row>
    <row r="1568" spans="1:1" ht="15.6">
      <c r="A1568" s="116"/>
    </row>
    <row r="1569" spans="1:1" ht="15.6">
      <c r="A1569" s="116"/>
    </row>
    <row r="1570" spans="1:1" ht="15.6">
      <c r="A1570" s="116"/>
    </row>
    <row r="1571" spans="1:1" ht="15.6">
      <c r="A1571" s="116"/>
    </row>
    <row r="1572" spans="1:1" ht="15.6">
      <c r="A1572" s="116"/>
    </row>
    <row r="1573" spans="1:1" ht="15.6">
      <c r="A1573" s="116"/>
    </row>
    <row r="1574" spans="1:1" ht="15.6">
      <c r="A1574" s="116"/>
    </row>
    <row r="1575" spans="1:1" ht="15.6">
      <c r="A1575" s="116"/>
    </row>
    <row r="1576" spans="1:1" ht="15.6">
      <c r="A1576" s="116"/>
    </row>
    <row r="1577" spans="1:1" ht="15.6">
      <c r="A1577" s="116"/>
    </row>
    <row r="1578" spans="1:1" ht="15.6">
      <c r="A1578" s="116"/>
    </row>
    <row r="1579" spans="1:1" ht="15.6">
      <c r="A1579" s="116"/>
    </row>
    <row r="1580" spans="1:1" ht="15.6">
      <c r="A1580" s="116"/>
    </row>
    <row r="1581" spans="1:1" ht="15.6">
      <c r="A1581" s="116"/>
    </row>
    <row r="1582" spans="1:1" ht="15.6">
      <c r="A1582" s="116"/>
    </row>
    <row r="1583" spans="1:1" ht="15.6">
      <c r="A1583" s="116"/>
    </row>
    <row r="1584" spans="1:1" ht="15.6">
      <c r="A1584" s="116"/>
    </row>
    <row r="1585" spans="1:1" ht="15.6">
      <c r="A1585" s="116"/>
    </row>
    <row r="1586" spans="1:1" ht="15.6">
      <c r="A1586" s="116"/>
    </row>
    <row r="1587" spans="1:1" ht="15.6">
      <c r="A1587" s="116"/>
    </row>
    <row r="1588" spans="1:1" ht="15.6">
      <c r="A1588" s="116"/>
    </row>
    <row r="1589" spans="1:1" ht="15.6">
      <c r="A1589" s="116"/>
    </row>
    <row r="1590" spans="1:1" ht="15.6">
      <c r="A1590" s="116"/>
    </row>
    <row r="1591" spans="1:1" ht="15.6">
      <c r="A1591" s="116"/>
    </row>
    <row r="1592" spans="1:1" ht="15.6">
      <c r="A1592" s="116"/>
    </row>
    <row r="1593" spans="1:1" ht="15.6">
      <c r="A1593" s="116"/>
    </row>
    <row r="1594" spans="1:1" ht="15.6">
      <c r="A1594" s="116"/>
    </row>
    <row r="1595" spans="1:1" ht="15.6">
      <c r="A1595" s="116"/>
    </row>
    <row r="1596" spans="1:1" ht="15.6">
      <c r="A1596" s="116"/>
    </row>
    <row r="1597" spans="1:1" ht="15.6">
      <c r="A1597" s="116"/>
    </row>
    <row r="1598" spans="1:1" ht="15.6">
      <c r="A1598" s="116"/>
    </row>
    <row r="1599" spans="1:1" ht="15.6">
      <c r="A1599" s="116"/>
    </row>
    <row r="1600" spans="1:1" ht="15.6">
      <c r="A1600" s="116"/>
    </row>
    <row r="1601" spans="1:1" ht="15.6">
      <c r="A1601" s="116"/>
    </row>
    <row r="1602" spans="1:1" ht="15.6">
      <c r="A1602" s="116"/>
    </row>
    <row r="1603" spans="1:1" ht="15.6">
      <c r="A1603" s="116"/>
    </row>
    <row r="1604" spans="1:1" ht="15.6">
      <c r="A1604" s="116"/>
    </row>
    <row r="1605" spans="1:1" ht="15.6">
      <c r="A1605" s="116"/>
    </row>
    <row r="1606" spans="1:1" ht="15.6">
      <c r="A1606" s="116"/>
    </row>
    <row r="1607" spans="1:1" ht="15.6">
      <c r="A1607" s="116"/>
    </row>
    <row r="1608" spans="1:1" ht="15.6">
      <c r="A1608" s="116"/>
    </row>
    <row r="1609" spans="1:1" ht="15.6">
      <c r="A1609" s="116"/>
    </row>
    <row r="1610" spans="1:1" ht="15.6">
      <c r="A1610" s="116"/>
    </row>
    <row r="1611" spans="1:1" ht="15.6">
      <c r="A1611" s="116"/>
    </row>
    <row r="1612" spans="1:1" ht="15.6">
      <c r="A1612" s="116"/>
    </row>
    <row r="1613" spans="1:1" ht="15.6">
      <c r="A1613" s="116"/>
    </row>
    <row r="1614" spans="1:1" ht="15.6">
      <c r="A1614" s="116"/>
    </row>
    <row r="1615" spans="1:1" ht="15.6">
      <c r="A1615" s="116"/>
    </row>
    <row r="1616" spans="1:1" ht="15.6">
      <c r="A1616" s="116"/>
    </row>
    <row r="1617" spans="1:1" ht="15.6">
      <c r="A1617" s="116"/>
    </row>
    <row r="1618" spans="1:1" ht="15.6">
      <c r="A1618" s="116"/>
    </row>
    <row r="1619" spans="1:1" ht="15.6">
      <c r="A1619" s="116"/>
    </row>
    <row r="1620" spans="1:1" ht="15.6">
      <c r="A1620" s="116"/>
    </row>
    <row r="1621" spans="1:1" ht="15.6">
      <c r="A1621" s="116"/>
    </row>
    <row r="1622" spans="1:1" ht="15.6">
      <c r="A1622" s="116"/>
    </row>
    <row r="1623" spans="1:1" ht="15.6">
      <c r="A1623" s="116"/>
    </row>
    <row r="1624" spans="1:1" ht="15.6">
      <c r="A1624" s="116"/>
    </row>
    <row r="1625" spans="1:1" ht="15.6">
      <c r="A1625" s="116"/>
    </row>
    <row r="1626" spans="1:1" ht="15.6">
      <c r="A1626" s="116"/>
    </row>
    <row r="1627" spans="1:1" ht="15.6">
      <c r="A1627" s="116"/>
    </row>
    <row r="1628" spans="1:1" ht="15.6">
      <c r="A1628" s="116"/>
    </row>
    <row r="1629" spans="1:1" ht="15.6">
      <c r="A1629" s="116"/>
    </row>
    <row r="1630" spans="1:1" ht="15.6">
      <c r="A1630" s="116"/>
    </row>
    <row r="1631" spans="1:1" ht="15.6">
      <c r="A1631" s="116"/>
    </row>
    <row r="1632" spans="1:1" ht="15.6">
      <c r="A1632" s="116"/>
    </row>
    <row r="1633" spans="1:1" ht="15.6">
      <c r="A1633" s="116"/>
    </row>
    <row r="1634" spans="1:1" ht="15.6">
      <c r="A1634" s="116"/>
    </row>
    <row r="1635" spans="1:1" ht="15.6">
      <c r="A1635" s="116"/>
    </row>
    <row r="1636" spans="1:1" ht="15.6">
      <c r="A1636" s="116"/>
    </row>
    <row r="1637" spans="1:1" ht="15.6">
      <c r="A1637" s="116"/>
    </row>
    <row r="1638" spans="1:1" ht="15.6">
      <c r="A1638" s="116"/>
    </row>
    <row r="1639" spans="1:1" ht="15.6">
      <c r="A1639" s="116"/>
    </row>
    <row r="1640" spans="1:1" ht="15.6">
      <c r="A1640" s="116"/>
    </row>
    <row r="1641" spans="1:1" ht="15.6">
      <c r="A1641" s="116"/>
    </row>
    <row r="1642" spans="1:1" ht="15.6">
      <c r="A1642" s="116"/>
    </row>
    <row r="1643" spans="1:1" ht="15.6">
      <c r="A1643" s="116"/>
    </row>
    <row r="1644" spans="1:1" ht="15.6">
      <c r="A1644" s="116"/>
    </row>
    <row r="1645" spans="1:1" ht="15.6">
      <c r="A1645" s="116"/>
    </row>
    <row r="1646" spans="1:1" ht="15.6">
      <c r="A1646" s="116"/>
    </row>
    <row r="1647" spans="1:1" ht="15.6">
      <c r="A1647" s="116"/>
    </row>
    <row r="1648" spans="1:1" ht="15.6">
      <c r="A1648" s="116"/>
    </row>
    <row r="1649" spans="1:1" ht="15.6">
      <c r="A1649" s="116"/>
    </row>
    <row r="1650" spans="1:1" ht="15.6">
      <c r="A1650" s="116"/>
    </row>
    <row r="1651" spans="1:1" ht="15.6">
      <c r="A1651" s="116"/>
    </row>
    <row r="1652" spans="1:1" ht="15.6">
      <c r="A1652" s="116"/>
    </row>
    <row r="1653" spans="1:1" ht="15.6">
      <c r="A1653" s="116"/>
    </row>
    <row r="1654" spans="1:1" ht="15.6">
      <c r="A1654" s="116"/>
    </row>
    <row r="1655" spans="1:1" ht="15.6">
      <c r="A1655" s="116"/>
    </row>
    <row r="1656" spans="1:1" ht="15.6">
      <c r="A1656" s="116"/>
    </row>
    <row r="1657" spans="1:1" ht="15.6">
      <c r="A1657" s="116"/>
    </row>
    <row r="1658" spans="1:1" ht="15.6">
      <c r="A1658" s="116"/>
    </row>
    <row r="1659" spans="1:1" ht="15.6">
      <c r="A1659" s="116"/>
    </row>
    <row r="1660" spans="1:1" ht="15.6">
      <c r="A1660" s="116"/>
    </row>
    <row r="1661" spans="1:1" ht="15.6">
      <c r="A1661" s="116"/>
    </row>
    <row r="1662" spans="1:1" ht="15.6">
      <c r="A1662" s="116"/>
    </row>
    <row r="1663" spans="1:1" ht="15.6">
      <c r="A1663" s="116"/>
    </row>
    <row r="1664" spans="1:1" ht="15.6">
      <c r="A1664" s="116"/>
    </row>
    <row r="1665" spans="1:1" ht="15.6">
      <c r="A1665" s="116"/>
    </row>
    <row r="1666" spans="1:1" ht="15.6">
      <c r="A1666" s="116"/>
    </row>
    <row r="1667" spans="1:1" ht="15.6">
      <c r="A1667" s="116"/>
    </row>
    <row r="1668" spans="1:1" ht="15.6">
      <c r="A1668" s="116"/>
    </row>
    <row r="1669" spans="1:1" ht="15.6">
      <c r="A1669" s="116"/>
    </row>
    <row r="1670" spans="1:1" ht="15.6">
      <c r="A1670" s="116"/>
    </row>
    <row r="1671" spans="1:1" ht="15.6">
      <c r="A1671" s="116"/>
    </row>
    <row r="1672" spans="1:1" ht="15.6">
      <c r="A1672" s="116"/>
    </row>
    <row r="1673" spans="1:1" ht="15.6">
      <c r="A1673" s="116"/>
    </row>
    <row r="1674" spans="1:1" ht="15.6">
      <c r="A1674" s="116"/>
    </row>
    <row r="1675" spans="1:1" ht="15.6">
      <c r="A1675" s="116"/>
    </row>
    <row r="1676" spans="1:1" ht="15.6">
      <c r="A1676" s="116"/>
    </row>
    <row r="1677" spans="1:1" ht="15.6">
      <c r="A1677" s="116"/>
    </row>
    <row r="1678" spans="1:1" ht="15.6">
      <c r="A1678" s="116"/>
    </row>
    <row r="1679" spans="1:1" ht="15.6">
      <c r="A1679" s="116"/>
    </row>
    <row r="1680" spans="1:1" ht="15.6">
      <c r="A1680" s="116"/>
    </row>
    <row r="1681" spans="1:1" ht="15.6">
      <c r="A1681" s="116"/>
    </row>
    <row r="1682" spans="1:1" ht="15.6">
      <c r="A1682" s="116"/>
    </row>
    <row r="1683" spans="1:1" ht="15.6">
      <c r="A1683" s="116"/>
    </row>
    <row r="1684" spans="1:1" ht="15.6">
      <c r="A1684" s="116"/>
    </row>
    <row r="1685" spans="1:1" ht="15.6">
      <c r="A1685" s="116"/>
    </row>
    <row r="1686" spans="1:1" ht="15.6">
      <c r="A1686" s="116"/>
    </row>
    <row r="1687" spans="1:1" ht="15.6">
      <c r="A1687" s="116"/>
    </row>
    <row r="1688" spans="1:1" ht="15.6">
      <c r="A1688" s="116"/>
    </row>
    <row r="1689" spans="1:1" ht="15.6">
      <c r="A1689" s="116"/>
    </row>
    <row r="1690" spans="1:1" ht="15.6">
      <c r="A1690" s="116"/>
    </row>
    <row r="1691" spans="1:1" ht="15.6">
      <c r="A1691" s="116"/>
    </row>
    <row r="1692" spans="1:1" ht="15.6">
      <c r="A1692" s="116"/>
    </row>
    <row r="1693" spans="1:1" ht="15.6">
      <c r="A1693" s="116"/>
    </row>
    <row r="1694" spans="1:1" ht="15.6">
      <c r="A1694" s="116"/>
    </row>
    <row r="1695" spans="1:1" ht="15.6">
      <c r="A1695" s="116"/>
    </row>
    <row r="1696" spans="1:1" ht="15.6">
      <c r="A1696" s="116"/>
    </row>
    <row r="1697" spans="1:1" ht="15.6">
      <c r="A1697" s="116"/>
    </row>
    <row r="1698" spans="1:1" ht="15.6">
      <c r="A1698" s="116"/>
    </row>
    <row r="1699" spans="1:1" ht="15.6">
      <c r="A1699" s="116"/>
    </row>
    <row r="1700" spans="1:1" ht="15.6">
      <c r="A1700" s="116"/>
    </row>
    <row r="1701" spans="1:1" ht="15.6">
      <c r="A1701" s="116"/>
    </row>
    <row r="1702" spans="1:1" ht="15.6">
      <c r="A1702" s="116"/>
    </row>
    <row r="1703" spans="1:1" ht="15.6">
      <c r="A1703" s="116"/>
    </row>
    <row r="1704" spans="1:1" ht="15.6">
      <c r="A1704" s="116"/>
    </row>
    <row r="1705" spans="1:1" ht="15.6">
      <c r="A1705" s="116"/>
    </row>
    <row r="1706" spans="1:1" ht="15.6">
      <c r="A1706" s="116"/>
    </row>
    <row r="1707" spans="1:1" ht="15.6">
      <c r="A1707" s="116"/>
    </row>
    <row r="1708" spans="1:1" ht="15.6">
      <c r="A1708" s="116"/>
    </row>
    <row r="1709" spans="1:1" ht="15.6">
      <c r="A1709" s="116"/>
    </row>
    <row r="1710" spans="1:1" ht="15.6">
      <c r="A1710" s="116"/>
    </row>
    <row r="1711" spans="1:1" ht="15.6">
      <c r="A1711" s="116"/>
    </row>
    <row r="1712" spans="1:1" ht="15.6">
      <c r="A1712" s="116"/>
    </row>
    <row r="1713" spans="1:1" ht="15.6">
      <c r="A1713" s="116"/>
    </row>
    <row r="1714" spans="1:1" ht="15.6">
      <c r="A1714" s="116"/>
    </row>
    <row r="1715" spans="1:1" ht="15.6">
      <c r="A1715" s="116"/>
    </row>
    <row r="1716" spans="1:1" ht="15.6">
      <c r="A1716" s="116"/>
    </row>
    <row r="1717" spans="1:1" ht="15.6">
      <c r="A1717" s="116"/>
    </row>
    <row r="1718" spans="1:1" ht="15.6">
      <c r="A1718" s="116"/>
    </row>
    <row r="1719" spans="1:1" ht="15.6">
      <c r="A1719" s="116"/>
    </row>
    <row r="1720" spans="1:1" ht="15.6">
      <c r="A1720" s="116"/>
    </row>
    <row r="1721" spans="1:1" ht="15.6">
      <c r="A1721" s="116"/>
    </row>
    <row r="1722" spans="1:1" ht="15.6">
      <c r="A1722" s="116"/>
    </row>
    <row r="1723" spans="1:1" ht="15.6">
      <c r="A1723" s="116"/>
    </row>
    <row r="1724" spans="1:1" ht="15.6">
      <c r="A1724" s="116"/>
    </row>
    <row r="1725" spans="1:1" ht="15.6">
      <c r="A1725" s="116"/>
    </row>
    <row r="1726" spans="1:1" ht="15.6">
      <c r="A1726" s="116"/>
    </row>
    <row r="1727" spans="1:1" ht="15.6">
      <c r="A1727" s="116"/>
    </row>
    <row r="1728" spans="1:1" ht="15.6">
      <c r="A1728" s="116"/>
    </row>
    <row r="1729" spans="1:1" ht="15.6">
      <c r="A1729" s="116"/>
    </row>
    <row r="1730" spans="1:1" ht="15.6">
      <c r="A1730" s="116"/>
    </row>
    <row r="1731" spans="1:1" ht="15.6">
      <c r="A1731" s="116"/>
    </row>
    <row r="1732" spans="1:1" ht="15.6">
      <c r="A1732" s="116"/>
    </row>
    <row r="1733" spans="1:1" ht="15.6">
      <c r="A1733" s="116"/>
    </row>
    <row r="1744" spans="1:1">
      <c r="A1744" s="94"/>
    </row>
    <row r="1745" spans="1:1">
      <c r="A1745" s="94"/>
    </row>
    <row r="1746" spans="1:1">
      <c r="A1746" s="94"/>
    </row>
    <row r="1747" spans="1:1">
      <c r="A1747" s="94"/>
    </row>
    <row r="1748" spans="1:1">
      <c r="A1748" s="94"/>
    </row>
    <row r="1749" spans="1:1">
      <c r="A1749" s="94"/>
    </row>
    <row r="1750" spans="1:1">
      <c r="A1750" s="94"/>
    </row>
    <row r="1751" spans="1:1">
      <c r="A1751" s="94"/>
    </row>
    <row r="1752" spans="1:1">
      <c r="A1752" s="94"/>
    </row>
    <row r="1753" spans="1:1">
      <c r="A1753" s="94"/>
    </row>
    <row r="1754" spans="1:1">
      <c r="A1754" s="94"/>
    </row>
    <row r="1755" spans="1:1">
      <c r="A1755" s="94"/>
    </row>
    <row r="1756" spans="1:1">
      <c r="A1756" s="94"/>
    </row>
    <row r="1757" spans="1:1">
      <c r="A1757" s="94"/>
    </row>
    <row r="1758" spans="1:1">
      <c r="A1758" s="94"/>
    </row>
    <row r="1759" spans="1:1">
      <c r="A1759" s="94"/>
    </row>
    <row r="1760" spans="1:1">
      <c r="A1760" s="94"/>
    </row>
    <row r="1761" spans="1:1">
      <c r="A1761" s="94"/>
    </row>
    <row r="1762" spans="1:1">
      <c r="A1762" s="94"/>
    </row>
    <row r="1763" spans="1:1">
      <c r="A1763" s="94"/>
    </row>
    <row r="1764" spans="1:1">
      <c r="A1764" s="94"/>
    </row>
    <row r="1765" spans="1:1">
      <c r="A1765" s="94"/>
    </row>
    <row r="1766" spans="1:1">
      <c r="A1766" s="94"/>
    </row>
    <row r="1767" spans="1:1">
      <c r="A1767" s="94"/>
    </row>
    <row r="1768" spans="1:1">
      <c r="A1768" s="94"/>
    </row>
    <row r="1769" spans="1:1">
      <c r="A1769" s="94"/>
    </row>
    <row r="1770" spans="1:1">
      <c r="A1770" s="94"/>
    </row>
    <row r="1771" spans="1:1">
      <c r="A1771" s="94"/>
    </row>
    <row r="1772" spans="1:1">
      <c r="A1772" s="94"/>
    </row>
    <row r="1773" spans="1:1">
      <c r="A1773" s="94"/>
    </row>
    <row r="1774" spans="1:1">
      <c r="A1774" s="94"/>
    </row>
    <row r="1775" spans="1:1">
      <c r="A1775" s="94"/>
    </row>
    <row r="1776" spans="1:1">
      <c r="A1776" s="94"/>
    </row>
    <row r="1777" spans="1:1">
      <c r="A1777" s="94"/>
    </row>
    <row r="1778" spans="1:1">
      <c r="A1778" s="94"/>
    </row>
    <row r="1779" spans="1:1">
      <c r="A1779" s="94"/>
    </row>
    <row r="1780" spans="1:1">
      <c r="A1780" s="94"/>
    </row>
    <row r="1781" spans="1:1">
      <c r="A1781" s="94"/>
    </row>
    <row r="1782" spans="1:1">
      <c r="A1782" s="94"/>
    </row>
    <row r="1783" spans="1:1">
      <c r="A1783" s="94"/>
    </row>
    <row r="1784" spans="1:1">
      <c r="A1784" s="94"/>
    </row>
    <row r="1785" spans="1:1">
      <c r="A1785" s="94"/>
    </row>
    <row r="1786" spans="1:1">
      <c r="A1786" s="94"/>
    </row>
    <row r="1787" spans="1:1">
      <c r="A1787" s="94"/>
    </row>
    <row r="1788" spans="1:1">
      <c r="A1788" s="94"/>
    </row>
    <row r="1789" spans="1:1">
      <c r="A1789" s="94"/>
    </row>
    <row r="1790" spans="1:1">
      <c r="A1790" s="94"/>
    </row>
    <row r="1791" spans="1:1">
      <c r="A1791" s="94"/>
    </row>
    <row r="1792" spans="1:1">
      <c r="A1792" s="94"/>
    </row>
    <row r="1793" spans="1:1">
      <c r="A1793" s="94"/>
    </row>
    <row r="1794" spans="1:1">
      <c r="A1794" s="94"/>
    </row>
    <row r="1795" spans="1:1">
      <c r="A1795" s="94"/>
    </row>
    <row r="1796" spans="1:1">
      <c r="A1796" s="94"/>
    </row>
    <row r="1797" spans="1:1">
      <c r="A1797" s="94"/>
    </row>
    <row r="1798" spans="1:1">
      <c r="A1798" s="94"/>
    </row>
    <row r="1799" spans="1:1">
      <c r="A1799" s="94"/>
    </row>
    <row r="1800" spans="1:1">
      <c r="A1800" s="94"/>
    </row>
    <row r="1801" spans="1:1">
      <c r="A1801" s="94"/>
    </row>
    <row r="1802" spans="1:1">
      <c r="A1802" s="94"/>
    </row>
    <row r="1803" spans="1:1">
      <c r="A1803" s="94"/>
    </row>
    <row r="1804" spans="1:1">
      <c r="A1804" s="94"/>
    </row>
    <row r="1805" spans="1:1">
      <c r="A1805" s="94"/>
    </row>
    <row r="1806" spans="1:1">
      <c r="A1806" s="94"/>
    </row>
    <row r="1807" spans="1:1">
      <c r="A1807" s="94"/>
    </row>
    <row r="1808" spans="1:1">
      <c r="A1808" s="94"/>
    </row>
    <row r="1809" spans="1:1">
      <c r="A1809" s="94"/>
    </row>
    <row r="1810" spans="1:1">
      <c r="A1810" s="94"/>
    </row>
    <row r="1811" spans="1:1">
      <c r="A1811" s="94"/>
    </row>
    <row r="1812" spans="1:1">
      <c r="A1812" s="94"/>
    </row>
    <row r="1813" spans="1:1">
      <c r="A1813" s="94"/>
    </row>
    <row r="1814" spans="1:1">
      <c r="A1814" s="94"/>
    </row>
    <row r="1815" spans="1:1">
      <c r="A1815" s="94"/>
    </row>
    <row r="1816" spans="1:1">
      <c r="A1816" s="94"/>
    </row>
    <row r="1817" spans="1:1">
      <c r="A1817" s="94"/>
    </row>
    <row r="1818" spans="1:1">
      <c r="A1818" s="94"/>
    </row>
  </sheetData>
  <phoneticPr fontId="27" type="noConversion"/>
  <conditionalFormatting sqref="A8 A10 A12 A14 A16 A18:A19 A21 A23 A25 A27 A29 A31:A32 A34 A36 A38 A40 A42 A46 A48 A50 A52 A54 A56 A58 A60 A62 A64 A66 A68 A70 A72 A74 A76 A78 A80 A82 A84 A86 A88 A90 A92 A94 A96 A98 A100 A102 A104 A106 A108 A110 A112 A118 A120 A122 A124 A126 A128 A130 A132 A134 A136 A138 A140 A142:A143 A145:A146 A148:A149 A151:A152 A154:A164 A166:A167 A169:A170 A172:A173 A175:A176 A178:A179 A181:A182 A184:A185 A187:A188 A190:A191 A193:A194 A196:A197 A199:A200 A202 A204 A206 A208 A210 A212 A214 A216 A218 A220 A222 A224 A226 A228 A230 A232 A234 A236 A238 A240 A242 A244 A246 A248 A250 A252 A254 A256 A258 A260 A262 A264 A266 A268 A270 A272 A274 A276 A278 A280 A282 A284 A286 A289 A291 A293 A295 A297 A299 A301 A303 A305 A307 A309 A311 A313 A315 A317 A319 A321 A323 A325 A327 A329 A331 A333 A335 A337 A339 A341 A343 A345 A347 A349 A351 A353 A355 A357 A359 A361 A363 A365 A367 A369 A371 A373 A375 A377 A379 A381 A383 A385 A387 A389 A391 A393 A395 A397 A399 A401 A403 A405 A407 A409 A411 A413 A415 A417 A419 A421 A423 A425 A427 A429 A431 A433 A435 A437 A439 A441 A443 A445 A447 A449 A451 A453 A455 A457 A459 A461 A463 A465 A467 A469 A471 A473 A475 A477 A479 A481 A483 A485 A487 A489 A491 A493 A495 A497 A499 A501 A503 A505 A507 A509 A511 A513 A515 A517 A519 A521 A523 A525 A527 A529 A531 A533 A535 A537 A539 A541">
    <cfRule type="cellIs" dxfId="38" priority="64" stopIfTrue="1" operator="equal">
      <formula>"Configuration"</formula>
    </cfRule>
    <cfRule type="cellIs" dxfId="37" priority="66" stopIfTrue="1" operator="equal">
      <formula>"Customisation/Extension"</formula>
    </cfRule>
    <cfRule type="cellIs" dxfId="36" priority="65" stopIfTrue="1" operator="equal">
      <formula>"Standard"</formula>
    </cfRule>
  </conditionalFormatting>
  <conditionalFormatting sqref="A44">
    <cfRule type="cellIs" dxfId="35" priority="41" stopIfTrue="1" operator="equal">
      <formula>"Configuration"</formula>
    </cfRule>
    <cfRule type="cellIs" dxfId="34" priority="43" stopIfTrue="1" operator="equal">
      <formula>"Customisation/Extension"</formula>
    </cfRule>
    <cfRule type="cellIs" dxfId="33" priority="42" stopIfTrue="1" operator="equal">
      <formula>"Standard"</formula>
    </cfRule>
  </conditionalFormatting>
  <conditionalFormatting sqref="A115:A116">
    <cfRule type="cellIs" dxfId="32" priority="29" stopIfTrue="1" operator="equal">
      <formula>"Configuration"</formula>
    </cfRule>
    <cfRule type="cellIs" dxfId="31" priority="30" stopIfTrue="1" operator="equal">
      <formula>"Standard"</formula>
    </cfRule>
    <cfRule type="cellIs" dxfId="30" priority="31" stopIfTrue="1" operator="equal">
      <formula>"Customisation/Extension"</formula>
    </cfRule>
  </conditionalFormatting>
  <conditionalFormatting sqref="E8:E65536">
    <cfRule type="cellIs" dxfId="29" priority="12" stopIfTrue="1" operator="equal">
      <formula>"Must"</formula>
    </cfRule>
    <cfRule type="cellIs" dxfId="28" priority="13" stopIfTrue="1" operator="equal">
      <formula>"Should"</formula>
    </cfRule>
    <cfRule type="cellIs" dxfId="27" priority="14" stopIfTrue="1" operator="equal">
      <formula>"Could"</formula>
    </cfRule>
  </conditionalFormatting>
  <conditionalFormatting sqref="F1:F7 F17:F19 F23">
    <cfRule type="cellIs" dxfId="26" priority="72" stopIfTrue="1" operator="equal">
      <formula>"Extension"</formula>
    </cfRule>
    <cfRule type="cellIs" dxfId="25" priority="70" stopIfTrue="1" operator="equal">
      <formula>"Standard"</formula>
    </cfRule>
    <cfRule type="cellIs" dxfId="24" priority="71" stopIfTrue="1" operator="equal">
      <formula>"Configuration"</formula>
    </cfRule>
  </conditionalFormatting>
  <conditionalFormatting sqref="F28">
    <cfRule type="cellIs" dxfId="23" priority="46" stopIfTrue="1" operator="equal">
      <formula>"Extension"</formula>
    </cfRule>
  </conditionalFormatting>
  <conditionalFormatting sqref="F32:F1048576">
    <cfRule type="cellIs" dxfId="22" priority="26" stopIfTrue="1" operator="equal">
      <formula>"Extension"</formula>
    </cfRule>
  </conditionalFormatting>
  <conditionalFormatting sqref="F115:F1048576">
    <cfRule type="cellIs" dxfId="21" priority="24" stopIfTrue="1" operator="equal">
      <formula>"Standard"</formula>
    </cfRule>
    <cfRule type="cellIs" dxfId="20" priority="25" stopIfTrue="1" operator="equal">
      <formula>"Configuration"</formula>
    </cfRule>
  </conditionalFormatting>
  <conditionalFormatting sqref="F32:H114 I8:J16 G17:J17 I18:J114 F28:H28">
    <cfRule type="cellIs" dxfId="19" priority="44" stopIfTrue="1" operator="equal">
      <formula>"Standard"</formula>
    </cfRule>
  </conditionalFormatting>
  <conditionalFormatting sqref="G7:H7">
    <cfRule type="cellIs" dxfId="18" priority="2" stopIfTrue="1" operator="equal">
      <formula>"Configuration"</formula>
    </cfRule>
    <cfRule type="cellIs" dxfId="17" priority="3" stopIfTrue="1" operator="equal">
      <formula>"Extension"</formula>
    </cfRule>
    <cfRule type="cellIs" dxfId="16" priority="1" stopIfTrue="1" operator="equal">
      <formula>"Standard"</formula>
    </cfRule>
  </conditionalFormatting>
  <conditionalFormatting sqref="G115:J121">
    <cfRule type="cellIs" dxfId="15" priority="7" stopIfTrue="1" operator="equal">
      <formula>"Standard"</formula>
    </cfRule>
    <cfRule type="expression" dxfId="14" priority="9" stopIfTrue="1">
      <formula>OR(G115="Customisation",G115="Extension")</formula>
    </cfRule>
    <cfRule type="cellIs" dxfId="13" priority="8" stopIfTrue="1" operator="equal">
      <formula>"Configuration"</formula>
    </cfRule>
  </conditionalFormatting>
  <conditionalFormatting sqref="G123:J65536">
    <cfRule type="cellIs" dxfId="12" priority="4" stopIfTrue="1" operator="equal">
      <formula>"Standard"</formula>
    </cfRule>
    <cfRule type="cellIs" dxfId="11" priority="5" stopIfTrue="1" operator="equal">
      <formula>"Configuration"</formula>
    </cfRule>
    <cfRule type="expression" dxfId="10" priority="6" stopIfTrue="1">
      <formula>OR(G123="Customisation",G123="Extension")</formula>
    </cfRule>
  </conditionalFormatting>
  <conditionalFormatting sqref="I8:J16 G17:J17 I18:J114 F28:H28 F32:H114">
    <cfRule type="cellIs" dxfId="9" priority="45" stopIfTrue="1" operator="equal">
      <formula>"Configuration"</formula>
    </cfRule>
  </conditionalFormatting>
  <conditionalFormatting sqref="J122 I8:J16 G17:J17 G28:J28 I29:J31 G32:J114">
    <cfRule type="expression" dxfId="8" priority="69" stopIfTrue="1">
      <formula>OR(G8="Customisation",G8="Extension")</formula>
    </cfRule>
  </conditionalFormatting>
  <conditionalFormatting sqref="J122">
    <cfRule type="cellIs" dxfId="7" priority="67" stopIfTrue="1" operator="equal">
      <formula>"Standard"</formula>
    </cfRule>
    <cfRule type="cellIs" dxfId="6" priority="68" stopIfTrue="1" operator="equal">
      <formula>"Configuration"</formula>
    </cfRule>
  </conditionalFormatting>
  <conditionalFormatting sqref="L8:L65536 I18:J27">
    <cfRule type="expression" dxfId="5" priority="54" stopIfTrue="1">
      <formula>OR(I8="Customisation",I8="Extension")</formula>
    </cfRule>
  </conditionalFormatting>
  <conditionalFormatting sqref="L8:L65536">
    <cfRule type="cellIs" dxfId="4" priority="52" stopIfTrue="1" operator="equal">
      <formula>"Standard"</formula>
    </cfRule>
    <cfRule type="cellIs" dxfId="3" priority="53" stopIfTrue="1" operator="equal">
      <formula>"Configuration"</formula>
    </cfRule>
  </conditionalFormatting>
  <dataValidations count="5">
    <dataValidation type="list" allowBlank="1" showInputMessage="1" showErrorMessage="1" sqref="N432 N440 N467 N471 N499:N501 N503 N506 N518 N8:N325" xr:uid="{2A17823C-5D0D-4396-9041-61BEC6CF7454}">
      <formula1>"PT1, PT2, PT3, PT4, PT5, PT6"</formula1>
    </dataValidation>
    <dataValidation type="list" allowBlank="1" showInputMessage="1" showErrorMessage="1" sqref="R2:R3" xr:uid="{3EAE630A-0289-4971-9C35-3FC63E72C30D}">
      <formula1>Include_exclude</formula1>
    </dataValidation>
    <dataValidation type="list" allowBlank="1" showInputMessage="1" showErrorMessage="1" sqref="M8:M325" xr:uid="{C2D7ECA9-A41F-4F22-A7A0-012027D9FF55}">
      <formula1>"Hi, Med, Low"</formula1>
    </dataValidation>
    <dataValidation type="list" allowBlank="1" showErrorMessage="1" sqref="F8:F65536" xr:uid="{D0385D97-7A80-40A3-9746-1FDF11159A60}">
      <formula1>"Standard,Configuration,Extension,Customisation,Interface,Later Phase,Link,Out Of Scope,Business Proc Only"</formula1>
    </dataValidation>
    <dataValidation type="list" allowBlank="1" showInputMessage="1" showErrorMessage="1" sqref="E8:E541" xr:uid="{2CC22877-BB81-4FBA-8624-77EA16677FD1}">
      <formula1>"Must,Should, Could, Wont"</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37"/>
  <sheetViews>
    <sheetView zoomScale="90" zoomScaleNormal="90" workbookViewId="0">
      <selection activeCell="D4" sqref="D4"/>
    </sheetView>
  </sheetViews>
  <sheetFormatPr defaultColWidth="9.33203125" defaultRowHeight="13.2"/>
  <cols>
    <col min="2" max="2" width="12.6640625" customWidth="1"/>
    <col min="3" max="3" width="11.44140625" bestFit="1" customWidth="1"/>
    <col min="4" max="4" width="57.33203125" bestFit="1" customWidth="1"/>
    <col min="5" max="5" width="50.6640625" customWidth="1"/>
  </cols>
  <sheetData>
    <row r="1" spans="1:5" ht="18">
      <c r="A1" s="15" t="s">
        <v>1494</v>
      </c>
      <c r="B1" s="16"/>
      <c r="C1" s="16"/>
      <c r="D1" s="21" t="str">
        <f>'Requirements Trace Matrix'!G3</f>
        <v>Appendix 01_Functional Requirements_LIMS - Thermo Fisher</v>
      </c>
      <c r="E1" s="17"/>
    </row>
    <row r="2" spans="1:5" ht="18">
      <c r="A2" s="15" t="s">
        <v>1495</v>
      </c>
      <c r="B2" s="16"/>
      <c r="C2" s="16"/>
      <c r="D2" s="16"/>
      <c r="E2" s="17"/>
    </row>
    <row r="3" spans="1:5" ht="15.6">
      <c r="A3" s="18" t="s">
        <v>1496</v>
      </c>
      <c r="B3" s="18" t="s">
        <v>1497</v>
      </c>
      <c r="C3" s="18" t="s">
        <v>1498</v>
      </c>
      <c r="D3" s="18" t="s">
        <v>1499</v>
      </c>
      <c r="E3" s="19" t="s">
        <v>1500</v>
      </c>
    </row>
    <row r="4" spans="1:5">
      <c r="A4" s="20"/>
      <c r="B4" s="22"/>
      <c r="C4" s="20"/>
      <c r="D4" s="20"/>
      <c r="E4" s="20"/>
    </row>
    <row r="5" spans="1:5">
      <c r="A5" s="20"/>
      <c r="B5" s="22"/>
      <c r="C5" s="20"/>
      <c r="D5" s="20"/>
      <c r="E5" s="20"/>
    </row>
    <row r="6" spans="1:5">
      <c r="A6" s="20"/>
      <c r="B6" s="22"/>
      <c r="C6" s="20"/>
      <c r="D6" s="20"/>
      <c r="E6" s="20"/>
    </row>
    <row r="7" spans="1:5">
      <c r="A7" s="20"/>
      <c r="B7" s="22"/>
      <c r="C7" s="20"/>
      <c r="D7" s="20"/>
      <c r="E7" s="20"/>
    </row>
    <row r="8" spans="1:5">
      <c r="A8" s="20"/>
      <c r="B8" s="22"/>
      <c r="C8" s="20"/>
      <c r="D8" s="20"/>
      <c r="E8" s="20"/>
    </row>
    <row r="9" spans="1:5">
      <c r="A9" s="20"/>
      <c r="B9" s="22"/>
      <c r="C9" s="20"/>
      <c r="D9" s="20"/>
      <c r="E9" s="20"/>
    </row>
    <row r="10" spans="1:5">
      <c r="A10" s="20"/>
      <c r="B10" s="22"/>
      <c r="C10" s="20"/>
      <c r="D10" s="20"/>
      <c r="E10" s="20"/>
    </row>
    <row r="11" spans="1:5">
      <c r="A11" s="20"/>
      <c r="B11" s="22"/>
      <c r="C11" s="20"/>
      <c r="D11" s="20"/>
      <c r="E11" s="20"/>
    </row>
    <row r="12" spans="1:5">
      <c r="A12" s="20"/>
      <c r="B12" s="22"/>
      <c r="C12" s="20"/>
      <c r="D12" s="20"/>
      <c r="E12" s="20"/>
    </row>
    <row r="13" spans="1:5">
      <c r="A13" s="20"/>
      <c r="B13" s="22"/>
      <c r="C13" s="20"/>
      <c r="D13" s="20"/>
      <c r="E13" s="20"/>
    </row>
    <row r="14" spans="1:5">
      <c r="A14" s="20"/>
      <c r="B14" s="22"/>
      <c r="C14" s="20"/>
      <c r="D14" s="20"/>
      <c r="E14" s="20"/>
    </row>
    <row r="15" spans="1:5">
      <c r="A15" s="20"/>
      <c r="B15" s="22"/>
      <c r="C15" s="20"/>
      <c r="D15" s="20"/>
      <c r="E15" s="20"/>
    </row>
    <row r="16" spans="1:5">
      <c r="A16" s="20"/>
      <c r="B16" s="22"/>
      <c r="C16" s="20"/>
      <c r="D16" s="20"/>
      <c r="E16" s="20"/>
    </row>
    <row r="17" spans="1:5">
      <c r="A17" s="20"/>
      <c r="B17" s="22"/>
      <c r="C17" s="20"/>
      <c r="D17" s="20"/>
      <c r="E17" s="20"/>
    </row>
    <row r="18" spans="1:5">
      <c r="A18" s="20"/>
      <c r="B18" s="22"/>
      <c r="C18" s="20"/>
      <c r="D18" s="20"/>
      <c r="E18" s="20"/>
    </row>
    <row r="19" spans="1:5">
      <c r="A19" s="20"/>
      <c r="B19" s="22"/>
      <c r="C19" s="20"/>
      <c r="D19" s="20"/>
      <c r="E19" s="20"/>
    </row>
    <row r="20" spans="1:5">
      <c r="A20" s="20"/>
      <c r="B20" s="22"/>
      <c r="C20" s="20"/>
      <c r="D20" s="20"/>
      <c r="E20" s="20"/>
    </row>
    <row r="21" spans="1:5">
      <c r="A21" s="20"/>
      <c r="B21" s="22"/>
      <c r="C21" s="20"/>
      <c r="D21" s="20"/>
      <c r="E21" s="20"/>
    </row>
    <row r="22" spans="1:5">
      <c r="A22" s="20"/>
      <c r="B22" s="22"/>
      <c r="C22" s="20"/>
      <c r="D22" s="20"/>
      <c r="E22" s="20"/>
    </row>
    <row r="23" spans="1:5">
      <c r="A23" s="20"/>
      <c r="B23" s="22"/>
      <c r="C23" s="20"/>
      <c r="D23" s="20"/>
      <c r="E23" s="20"/>
    </row>
    <row r="24" spans="1:5">
      <c r="A24" s="20"/>
      <c r="B24" s="22"/>
      <c r="C24" s="20"/>
      <c r="D24" s="20"/>
      <c r="E24" s="20"/>
    </row>
    <row r="25" spans="1:5">
      <c r="A25" s="20"/>
      <c r="B25" s="22"/>
      <c r="C25" s="20"/>
      <c r="D25" s="20"/>
      <c r="E25" s="20"/>
    </row>
    <row r="26" spans="1:5">
      <c r="A26" s="20"/>
      <c r="B26" s="22"/>
      <c r="C26" s="20"/>
      <c r="D26" s="20"/>
      <c r="E26" s="20"/>
    </row>
    <row r="27" spans="1:5">
      <c r="A27" s="20"/>
      <c r="B27" s="22"/>
      <c r="C27" s="20"/>
      <c r="D27" s="20"/>
      <c r="E27" s="20"/>
    </row>
    <row r="28" spans="1:5">
      <c r="A28" s="20"/>
      <c r="B28" s="22"/>
      <c r="C28" s="20"/>
      <c r="D28" s="20"/>
      <c r="E28" s="20"/>
    </row>
    <row r="29" spans="1:5">
      <c r="A29" s="20"/>
      <c r="B29" s="22"/>
      <c r="C29" s="20"/>
      <c r="D29" s="20"/>
      <c r="E29" s="20"/>
    </row>
    <row r="30" spans="1:5">
      <c r="A30" s="20"/>
      <c r="B30" s="22"/>
      <c r="C30" s="20"/>
      <c r="D30" s="20"/>
      <c r="E30" s="20"/>
    </row>
    <row r="31" spans="1:5">
      <c r="A31" s="20"/>
      <c r="B31" s="22"/>
      <c r="C31" s="20"/>
      <c r="D31" s="20"/>
      <c r="E31" s="20"/>
    </row>
    <row r="32" spans="1:5">
      <c r="A32" s="20"/>
      <c r="B32" s="22"/>
      <c r="C32" s="20"/>
      <c r="D32" s="20"/>
      <c r="E32" s="20"/>
    </row>
    <row r="33" spans="1:5">
      <c r="A33" s="20"/>
      <c r="B33" s="22"/>
      <c r="C33" s="20"/>
      <c r="D33" s="20"/>
      <c r="E33" s="20"/>
    </row>
    <row r="34" spans="1:5">
      <c r="A34" s="20"/>
      <c r="B34" s="22"/>
      <c r="C34" s="20"/>
      <c r="D34" s="20"/>
      <c r="E34" s="20"/>
    </row>
    <row r="35" spans="1:5">
      <c r="A35" s="20"/>
      <c r="B35" s="22"/>
      <c r="C35" s="20"/>
      <c r="D35" s="20"/>
      <c r="E35" s="20"/>
    </row>
    <row r="36" spans="1:5">
      <c r="A36" s="20"/>
      <c r="B36" s="22"/>
      <c r="C36" s="20"/>
      <c r="D36" s="20"/>
      <c r="E36" s="20"/>
    </row>
    <row r="37" spans="1:5">
      <c r="A37" s="20"/>
      <c r="B37" s="22"/>
      <c r="C37" s="20"/>
      <c r="D37" s="20"/>
      <c r="E37" s="20"/>
    </row>
  </sheetData>
  <phoneticPr fontId="27" type="noConversion"/>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F69"/>
  <sheetViews>
    <sheetView workbookViewId="0">
      <selection activeCell="H35" sqref="H35"/>
    </sheetView>
  </sheetViews>
  <sheetFormatPr defaultColWidth="9.33203125" defaultRowHeight="13.2"/>
  <cols>
    <col min="1" max="1" width="3.33203125" style="1" customWidth="1"/>
    <col min="2" max="2" width="4.5546875" style="1" customWidth="1"/>
    <col min="3" max="3" width="26.33203125" style="1" customWidth="1"/>
    <col min="4" max="4" width="25" style="1" customWidth="1"/>
    <col min="5" max="5" width="34.6640625" style="1" customWidth="1"/>
    <col min="6" max="6" width="4" style="1" customWidth="1"/>
    <col min="7" max="16384" width="9.33203125" style="1"/>
  </cols>
  <sheetData>
    <row r="2" spans="2:6" ht="17.399999999999999">
      <c r="B2" s="13" t="s">
        <v>1501</v>
      </c>
    </row>
    <row r="3" spans="2:6">
      <c r="B3" s="10" t="s">
        <v>1502</v>
      </c>
    </row>
    <row r="5" spans="2:6" ht="15.6">
      <c r="B5" s="9" t="s">
        <v>1503</v>
      </c>
    </row>
    <row r="6" spans="2:6" ht="55.5" customHeight="1">
      <c r="B6" s="313" t="s">
        <v>1504</v>
      </c>
      <c r="C6" s="314"/>
      <c r="D6" s="314"/>
      <c r="E6" s="314"/>
      <c r="F6" s="314"/>
    </row>
    <row r="7" spans="2:6" ht="54.75" customHeight="1">
      <c r="B7" s="313" t="s">
        <v>1505</v>
      </c>
      <c r="C7" s="314"/>
      <c r="D7" s="314"/>
      <c r="E7" s="314"/>
      <c r="F7" s="314"/>
    </row>
    <row r="8" spans="2:6">
      <c r="C8" s="11"/>
      <c r="D8" s="11"/>
      <c r="E8" s="11"/>
    </row>
    <row r="9" spans="2:6">
      <c r="C9" s="11"/>
      <c r="D9" s="11"/>
      <c r="E9" s="11"/>
    </row>
    <row r="10" spans="2:6" ht="15.6">
      <c r="B10" s="9" t="s">
        <v>1506</v>
      </c>
    </row>
    <row r="11" spans="2:6" ht="20.399999999999999">
      <c r="B11" s="6" t="s">
        <v>1507</v>
      </c>
      <c r="C11" s="317" t="s">
        <v>1508</v>
      </c>
      <c r="D11" s="312"/>
      <c r="E11" s="4" t="s">
        <v>1509</v>
      </c>
    </row>
    <row r="12" spans="2:6">
      <c r="B12" s="7">
        <v>1</v>
      </c>
      <c r="C12" s="308" t="s">
        <v>1510</v>
      </c>
      <c r="D12" s="312"/>
      <c r="E12" s="5" t="s">
        <v>1511</v>
      </c>
    </row>
    <row r="13" spans="2:6" ht="25.5" customHeight="1">
      <c r="B13" s="7">
        <v>2</v>
      </c>
      <c r="C13" s="308" t="s">
        <v>1512</v>
      </c>
      <c r="D13" s="312"/>
      <c r="E13" s="5" t="s">
        <v>1513</v>
      </c>
    </row>
    <row r="14" spans="2:6" ht="24.75" customHeight="1">
      <c r="B14" s="7">
        <v>3</v>
      </c>
      <c r="C14" s="308" t="s">
        <v>1514</v>
      </c>
      <c r="D14" s="312"/>
      <c r="E14" s="5" t="s">
        <v>1515</v>
      </c>
    </row>
    <row r="15" spans="2:6" ht="12.75" customHeight="1">
      <c r="C15" s="8"/>
      <c r="D15" s="8"/>
      <c r="E15" s="8"/>
    </row>
    <row r="16" spans="2:6">
      <c r="C16" s="8"/>
      <c r="D16" s="3"/>
      <c r="E16" s="3"/>
    </row>
    <row r="17" spans="2:6" ht="15.6">
      <c r="B17" s="9" t="s">
        <v>1516</v>
      </c>
      <c r="D17" s="3"/>
      <c r="E17" s="3"/>
    </row>
    <row r="18" spans="2:6">
      <c r="C18" s="8"/>
      <c r="D18" s="3"/>
      <c r="E18" s="3"/>
    </row>
    <row r="19" spans="2:6">
      <c r="B19" s="12" t="s">
        <v>1517</v>
      </c>
      <c r="D19" s="3"/>
      <c r="E19" s="3"/>
    </row>
    <row r="20" spans="2:6" ht="30" customHeight="1">
      <c r="B20" s="315" t="s">
        <v>1518</v>
      </c>
      <c r="C20" s="314"/>
      <c r="D20" s="314"/>
      <c r="E20" s="314"/>
      <c r="F20" s="314"/>
    </row>
    <row r="21" spans="2:6" ht="12.75" customHeight="1">
      <c r="C21" s="316" t="s">
        <v>1519</v>
      </c>
      <c r="D21" s="314"/>
      <c r="E21" s="314"/>
      <c r="F21" s="314"/>
    </row>
    <row r="22" spans="2:6" ht="12.75" customHeight="1">
      <c r="C22" s="316" t="s">
        <v>1520</v>
      </c>
      <c r="D22" s="314"/>
      <c r="E22" s="314"/>
      <c r="F22" s="314"/>
    </row>
    <row r="23" spans="2:6" ht="12.75" customHeight="1">
      <c r="C23" s="316" t="s">
        <v>1521</v>
      </c>
      <c r="D23" s="314"/>
      <c r="E23" s="314"/>
      <c r="F23" s="314"/>
    </row>
    <row r="25" spans="2:6">
      <c r="B25" s="12" t="s">
        <v>1522</v>
      </c>
    </row>
    <row r="26" spans="2:6" ht="72" customHeight="1">
      <c r="B26" s="313" t="s">
        <v>1523</v>
      </c>
      <c r="C26" s="314"/>
      <c r="D26" s="314"/>
      <c r="E26" s="314"/>
      <c r="F26" s="314"/>
    </row>
    <row r="27" spans="2:6" ht="39.75" customHeight="1">
      <c r="B27" s="313" t="s">
        <v>1524</v>
      </c>
      <c r="C27" s="314"/>
      <c r="D27" s="314"/>
      <c r="E27" s="314"/>
      <c r="F27" s="314"/>
    </row>
    <row r="28" spans="2:6" ht="39.75" customHeight="1">
      <c r="B28" s="313" t="s">
        <v>1525</v>
      </c>
      <c r="C28" s="314"/>
      <c r="D28" s="314"/>
      <c r="E28" s="314"/>
      <c r="F28" s="314"/>
    </row>
    <row r="30" spans="2:6">
      <c r="C30" s="4" t="s">
        <v>1526</v>
      </c>
      <c r="D30" s="317" t="s">
        <v>2</v>
      </c>
      <c r="E30" s="312"/>
    </row>
    <row r="31" spans="2:6" ht="77.25" customHeight="1">
      <c r="C31" s="14" t="s">
        <v>1527</v>
      </c>
      <c r="D31" s="310" t="s">
        <v>1528</v>
      </c>
      <c r="E31" s="311"/>
    </row>
    <row r="32" spans="2:6" ht="39" customHeight="1">
      <c r="C32" s="5" t="s">
        <v>34</v>
      </c>
      <c r="D32" s="308" t="s">
        <v>1529</v>
      </c>
      <c r="E32" s="309"/>
    </row>
    <row r="33" spans="3:5" ht="37.5" customHeight="1">
      <c r="C33" s="14" t="s">
        <v>1530</v>
      </c>
      <c r="D33" s="308" t="s">
        <v>1531</v>
      </c>
      <c r="E33" s="309"/>
    </row>
    <row r="34" spans="3:5" ht="25.5" customHeight="1">
      <c r="C34" s="5" t="s">
        <v>15</v>
      </c>
      <c r="D34" s="308" t="s">
        <v>1532</v>
      </c>
      <c r="E34" s="309"/>
    </row>
    <row r="35" spans="3:5" ht="165" customHeight="1">
      <c r="C35" s="5" t="s">
        <v>3</v>
      </c>
      <c r="D35" s="308" t="s">
        <v>1533</v>
      </c>
      <c r="E35" s="309"/>
    </row>
    <row r="36" spans="3:5">
      <c r="C36" s="5" t="s">
        <v>49</v>
      </c>
      <c r="D36" s="308" t="s">
        <v>1534</v>
      </c>
      <c r="E36" s="309"/>
    </row>
    <row r="37" spans="3:5" ht="26.25" customHeight="1">
      <c r="C37" s="5" t="s">
        <v>51</v>
      </c>
      <c r="D37" s="308" t="s">
        <v>1535</v>
      </c>
      <c r="E37" s="309"/>
    </row>
    <row r="38" spans="3:5" ht="51.75" customHeight="1">
      <c r="C38" s="5" t="s">
        <v>1536</v>
      </c>
      <c r="D38" s="308" t="s">
        <v>1537</v>
      </c>
      <c r="E38" s="309"/>
    </row>
    <row r="39" spans="3:5" ht="27" customHeight="1">
      <c r="C39" s="5" t="s">
        <v>53</v>
      </c>
      <c r="D39" s="308" t="s">
        <v>1538</v>
      </c>
      <c r="E39" s="309"/>
    </row>
    <row r="40" spans="3:5" ht="51" customHeight="1">
      <c r="C40" s="5" t="s">
        <v>54</v>
      </c>
      <c r="D40" s="308" t="s">
        <v>1539</v>
      </c>
      <c r="E40" s="309"/>
    </row>
    <row r="41" spans="3:5" ht="27" customHeight="1">
      <c r="C41" s="5" t="s">
        <v>55</v>
      </c>
      <c r="D41" s="308" t="s">
        <v>1540</v>
      </c>
      <c r="E41" s="309"/>
    </row>
    <row r="42" spans="3:5" ht="27.75" customHeight="1">
      <c r="C42" s="5" t="s">
        <v>56</v>
      </c>
      <c r="D42" s="308" t="s">
        <v>1541</v>
      </c>
      <c r="E42" s="309"/>
    </row>
    <row r="43" spans="3:5" ht="24.75" customHeight="1">
      <c r="C43" s="5" t="s">
        <v>57</v>
      </c>
      <c r="D43" s="308" t="s">
        <v>1542</v>
      </c>
      <c r="E43" s="309"/>
    </row>
    <row r="44" spans="3:5" ht="25.5" customHeight="1">
      <c r="C44" s="14" t="s">
        <v>1543</v>
      </c>
      <c r="D44" s="308" t="s">
        <v>1544</v>
      </c>
      <c r="E44" s="309"/>
    </row>
    <row r="45" spans="3:5" ht="25.5" customHeight="1">
      <c r="C45" s="14" t="s">
        <v>59</v>
      </c>
      <c r="D45" s="310" t="s">
        <v>1545</v>
      </c>
      <c r="E45" s="311"/>
    </row>
    <row r="46" spans="3:5" ht="25.5" customHeight="1">
      <c r="C46" s="5" t="s">
        <v>1546</v>
      </c>
      <c r="D46" s="308" t="s">
        <v>1547</v>
      </c>
      <c r="E46" s="309"/>
    </row>
    <row r="47" spans="3:5">
      <c r="C47" s="5" t="s">
        <v>61</v>
      </c>
      <c r="D47" s="308" t="s">
        <v>1548</v>
      </c>
      <c r="E47" s="309"/>
    </row>
    <row r="48" spans="3:5">
      <c r="C48" s="5"/>
      <c r="D48" s="308"/>
      <c r="E48" s="309"/>
    </row>
    <row r="50" spans="3:3">
      <c r="C50" s="2"/>
    </row>
    <row r="51" spans="3:3">
      <c r="C51" s="2"/>
    </row>
    <row r="52" spans="3:3">
      <c r="C52" s="2"/>
    </row>
    <row r="53" spans="3:3">
      <c r="C53" s="2"/>
    </row>
    <row r="54" spans="3:3">
      <c r="C54" s="2"/>
    </row>
    <row r="55" spans="3:3">
      <c r="C55" s="2"/>
    </row>
    <row r="56" spans="3:3">
      <c r="C56" s="2"/>
    </row>
    <row r="57" spans="3:3">
      <c r="C57" s="2"/>
    </row>
    <row r="58" spans="3:3">
      <c r="C58" s="2"/>
    </row>
    <row r="59" spans="3:3">
      <c r="C59" s="2"/>
    </row>
    <row r="60" spans="3:3">
      <c r="C60" s="2"/>
    </row>
    <row r="61" spans="3:3">
      <c r="C61" s="2"/>
    </row>
    <row r="62" spans="3:3">
      <c r="C62" s="2"/>
    </row>
    <row r="63" spans="3:3">
      <c r="C63" s="2"/>
    </row>
    <row r="64" spans="3:3">
      <c r="C64" s="2"/>
    </row>
    <row r="65" spans="3:3">
      <c r="C65" s="2"/>
    </row>
    <row r="66" spans="3:3">
      <c r="C66" s="2"/>
    </row>
    <row r="67" spans="3:3">
      <c r="C67" s="2"/>
    </row>
    <row r="68" spans="3:3">
      <c r="C68" s="2"/>
    </row>
    <row r="69" spans="3:3">
      <c r="C69" s="2"/>
    </row>
  </sheetData>
  <mergeCells count="32">
    <mergeCell ref="D32:E32"/>
    <mergeCell ref="D33:E33"/>
    <mergeCell ref="B26:F26"/>
    <mergeCell ref="B28:F28"/>
    <mergeCell ref="D30:E30"/>
    <mergeCell ref="D31:E31"/>
    <mergeCell ref="B6:F6"/>
    <mergeCell ref="B7:F7"/>
    <mergeCell ref="C11:D11"/>
    <mergeCell ref="C12:D12"/>
    <mergeCell ref="C13:D13"/>
    <mergeCell ref="C14:D14"/>
    <mergeCell ref="D42:E42"/>
    <mergeCell ref="D43:E43"/>
    <mergeCell ref="D37:E37"/>
    <mergeCell ref="D38:E38"/>
    <mergeCell ref="D39:E39"/>
    <mergeCell ref="D40:E40"/>
    <mergeCell ref="D41:E41"/>
    <mergeCell ref="D34:E34"/>
    <mergeCell ref="D35:E35"/>
    <mergeCell ref="D36:E36"/>
    <mergeCell ref="B27:F27"/>
    <mergeCell ref="B20:F20"/>
    <mergeCell ref="C21:F21"/>
    <mergeCell ref="C22:F22"/>
    <mergeCell ref="C23:F23"/>
    <mergeCell ref="D48:E48"/>
    <mergeCell ref="D44:E44"/>
    <mergeCell ref="D46:E46"/>
    <mergeCell ref="D47:E47"/>
    <mergeCell ref="D45:E45"/>
  </mergeCells>
  <phoneticPr fontId="0" type="noConversion"/>
  <conditionalFormatting sqref="C54">
    <cfRule type="cellIs" dxfId="2" priority="1" stopIfTrue="1" operator="equal">
      <formula>"Standard"</formula>
    </cfRule>
    <cfRule type="cellIs" dxfId="1" priority="2" stopIfTrue="1" operator="equal">
      <formula>"Configuration"</formula>
    </cfRule>
    <cfRule type="cellIs" dxfId="0" priority="3" stopIfTrue="1" operator="equal">
      <formula>"Extension"</formula>
    </cfRule>
  </conditionalFormatting>
  <pageMargins left="0.75" right="0.75" top="1" bottom="1" header="0.5" footer="0.5"/>
  <pageSetup paperSize="9" orientation="portrait" horizontalDpi="300" verticalDpi="300"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fd156ce-c20c-4333-9016-100ff8d3ce5f">
      <Terms xmlns="http://schemas.microsoft.com/office/infopath/2007/PartnerControls"/>
    </lcf76f155ced4ddcb4097134ff3c332f>
    <TaxCatchAll xmlns="e3de43da-a351-43e5-b7a1-980afc0d19d1"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2A6694D2AC78A48A7C8E53FEF04F831" ma:contentTypeVersion="13" ma:contentTypeDescription="Create a new document." ma:contentTypeScope="" ma:versionID="5bd5ffd0d7f68b13ec4f6f677be58787">
  <xsd:schema xmlns:xsd="http://www.w3.org/2001/XMLSchema" xmlns:xs="http://www.w3.org/2001/XMLSchema" xmlns:p="http://schemas.microsoft.com/office/2006/metadata/properties" xmlns:ns2="afd156ce-c20c-4333-9016-100ff8d3ce5f" xmlns:ns3="e3de43da-a351-43e5-b7a1-980afc0d19d1" targetNamespace="http://schemas.microsoft.com/office/2006/metadata/properties" ma:root="true" ma:fieldsID="7510b1d9a5ba5c9f55a6b194411e8c21" ns2:_="" ns3:_="">
    <xsd:import namespace="afd156ce-c20c-4333-9016-100ff8d3ce5f"/>
    <xsd:import namespace="e3de43da-a351-43e5-b7a1-980afc0d19d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d156ce-c20c-4333-9016-100ff8d3ce5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0a21608a-12e9-46d7-aa35-d9915e8fc0e4"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element name="MediaServiceLocation" ma:index="20"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de43da-a351-43e5-b7a1-980afc0d19d1"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1f82101b-7728-4906-b209-930a224fc08a}" ma:internalName="TaxCatchAll" ma:showField="CatchAllData" ma:web="e3de43da-a351-43e5-b7a1-980afc0d19d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C25EC8B-19FC-440D-B03C-A634F5DBFCE1}">
  <ds:schemaRefs>
    <ds:schemaRef ds:uri="http://purl.org/dc/elements/1.1/"/>
    <ds:schemaRef ds:uri="http://schemas.microsoft.com/office/2006/documentManagement/types"/>
    <ds:schemaRef ds:uri="http://schemas.microsoft.com/office/2006/metadata/properties"/>
    <ds:schemaRef ds:uri="http://schemas.microsoft.com/office/infopath/2007/PartnerControls"/>
    <ds:schemaRef ds:uri="http://www.w3.org/XML/1998/namespace"/>
    <ds:schemaRef ds:uri="http://schemas.openxmlformats.org/package/2006/metadata/core-properties"/>
    <ds:schemaRef ds:uri="http://purl.org/dc/dcmitype/"/>
    <ds:schemaRef ds:uri="e3de43da-a351-43e5-b7a1-980afc0d19d1"/>
    <ds:schemaRef ds:uri="afd156ce-c20c-4333-9016-100ff8d3ce5f"/>
    <ds:schemaRef ds:uri="http://purl.org/dc/terms/"/>
  </ds:schemaRefs>
</ds:datastoreItem>
</file>

<file path=customXml/itemProps2.xml><?xml version="1.0" encoding="utf-8"?>
<ds:datastoreItem xmlns:ds="http://schemas.openxmlformats.org/officeDocument/2006/customXml" ds:itemID="{66E633FC-1A00-4FC8-8FE6-DA3D487DA55D}">
  <ds:schemaRefs>
    <ds:schemaRef ds:uri="http://schemas.microsoft.com/sharepoint/v3/contenttype/forms"/>
  </ds:schemaRefs>
</ds:datastoreItem>
</file>

<file path=customXml/itemProps3.xml><?xml version="1.0" encoding="utf-8"?>
<ds:datastoreItem xmlns:ds="http://schemas.openxmlformats.org/officeDocument/2006/customXml" ds:itemID="{B7B1296B-0029-4494-8A61-103A302D06D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fd156ce-c20c-4333-9016-100ff8d3ce5f"/>
    <ds:schemaRef ds:uri="e3de43da-a351-43e5-b7a1-980afc0d19d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5</vt:i4>
      </vt:variant>
      <vt:variant>
        <vt:lpstr>Named Ranges</vt:lpstr>
      </vt:variant>
      <vt:variant>
        <vt:i4>1</vt:i4>
      </vt:variant>
    </vt:vector>
  </HeadingPairs>
  <TitlesOfParts>
    <vt:vector size="6" baseType="lpstr">
      <vt:lpstr>Definition</vt:lpstr>
      <vt:lpstr>Requirements Trace Matrix</vt:lpstr>
      <vt:lpstr>Non Functional</vt:lpstr>
      <vt:lpstr>Revision History</vt:lpstr>
      <vt:lpstr>Guidelines</vt:lpstr>
      <vt:lpstr>'Requirements Trace Matrix'!Print_Titles</vt:lpstr>
    </vt:vector>
  </TitlesOfParts>
  <Manager/>
  <Company>Thermo Electron Corporation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 Gambie</dc:creator>
  <cp:keywords/>
  <dc:description/>
  <cp:lastModifiedBy>Xiao, Mengran</cp:lastModifiedBy>
  <cp:revision/>
  <dcterms:created xsi:type="dcterms:W3CDTF">2003-11-19T11:10:04Z</dcterms:created>
  <dcterms:modified xsi:type="dcterms:W3CDTF">2025-07-28T02:35:46Z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0x01010092A6694D2AC78A48A7C8E53FEF04F831</vt:lpwstr>
  </property>
  <property fmtid="{D5CDD505-2E9C-101B-9397-08002B2CF9AE}" pid="3" name="MediaServiceImageTags">
    <vt:lpwstr/>
  </property>
</Properties>
</file>