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08 FS/SAP/LIMS to SAP Inspection Result/"/>
    </mc:Choice>
  </mc:AlternateContent>
  <xr:revisionPtr revIDLastSave="1" documentId="13_ncr:1_{855FB588-ACA0-414D-A777-D9E5096098A5}" xr6:coauthVersionLast="47" xr6:coauthVersionMax="47" xr10:uidLastSave="{BD573C0F-4152-4524-B3C4-301707FB56C3}"/>
  <bookViews>
    <workbookView xWindow="1170" yWindow="1170" windowWidth="21600" windowHeight="11295" xr2:uid="{39C9DC99-CEA3-464C-8501-FAB1D1257F3A}"/>
  </bookViews>
  <sheets>
    <sheet name="LIMS-SAP Inspection Result" sheetId="1" r:id="rId1"/>
    <sheet name="Exampeld Data" sheetId="4" r:id="rId2"/>
  </sheets>
  <externalReferences>
    <externalReference r:id="rId3"/>
    <externalReference r:id="rId4"/>
    <externalReference r:id="rId5"/>
  </externalReferences>
  <definedNames>
    <definedName name="_xlnm._FilterDatabase" localSheetId="0" hidden="1">'LIMS-SAP Inspection Result'!$A$15:$J$280</definedName>
    <definedName name="DRY_NOODLE挂面">'[1]N-S基础数据'!$I$716:$I$723+'[1]N-S基础数据'!$I$716:$I$723</definedName>
    <definedName name="D中类设备">OFFSET([2]参考表!$D$1,MATCH([3]汇总!$C1,[2]参考表!$C:$C,0)-1,,COUNTIF([2]参考表!$C:$C,[3]汇总!$C1))</definedName>
    <definedName name="NITRILE_AMINE腈胺">'[1]N-S基础数据'!$I$130:$I$139+'[1]N-S基础数据'!$I$130:$I$139</definedName>
    <definedName name="SILICA二氧化硅白炭黑">'[1]N-S基础数据'!$I$365:$I$377+'[1]N-S基础数据'!$I$365:$I$377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7" i="1" l="1"/>
  <c r="K274" i="1"/>
  <c r="K249" i="1"/>
  <c r="K248" i="1"/>
  <c r="K247" i="1"/>
  <c r="K246" i="1"/>
  <c r="K244" i="1"/>
  <c r="K243" i="1"/>
  <c r="K242" i="1"/>
  <c r="K241" i="1"/>
  <c r="K240" i="1"/>
  <c r="K232" i="1"/>
  <c r="K231" i="1"/>
  <c r="K229" i="1"/>
  <c r="K228" i="1"/>
  <c r="K227" i="1"/>
  <c r="K197" i="1"/>
  <c r="K187" i="1"/>
  <c r="K181" i="1"/>
  <c r="K178" i="1"/>
  <c r="K173" i="1"/>
  <c r="K166" i="1"/>
  <c r="K165" i="1"/>
  <c r="K162" i="1"/>
  <c r="K161" i="1"/>
  <c r="K159" i="1"/>
  <c r="K156" i="1"/>
  <c r="K155" i="1"/>
  <c r="K154" i="1"/>
  <c r="K153" i="1"/>
  <c r="K152" i="1"/>
  <c r="K151" i="1"/>
  <c r="K149" i="1"/>
  <c r="K148" i="1"/>
  <c r="K147" i="1"/>
  <c r="K146" i="1"/>
  <c r="K145" i="1"/>
  <c r="K143" i="1"/>
  <c r="K142" i="1"/>
  <c r="K141" i="1"/>
  <c r="K140" i="1"/>
  <c r="K132" i="1"/>
  <c r="K131" i="1"/>
  <c r="K130" i="1"/>
  <c r="K129" i="1"/>
  <c r="K128" i="1"/>
  <c r="K126" i="1"/>
  <c r="K125" i="1"/>
  <c r="K123" i="1"/>
  <c r="K96" i="1"/>
  <c r="K95" i="1"/>
  <c r="K89" i="1"/>
  <c r="K84" i="1"/>
  <c r="K74" i="1"/>
  <c r="K49" i="1"/>
  <c r="K47" i="1"/>
  <c r="K38" i="1"/>
  <c r="K37" i="1"/>
  <c r="K36" i="1"/>
  <c r="K27" i="1"/>
  <c r="K26" i="1"/>
  <c r="K24" i="1"/>
  <c r="K23" i="1"/>
  <c r="K22" i="1"/>
  <c r="K19" i="1"/>
  <c r="K16" i="1"/>
  <c r="K17" i="1"/>
  <c r="K18" i="1"/>
  <c r="K20" i="1"/>
  <c r="K21" i="1"/>
  <c r="K25" i="1"/>
  <c r="K28" i="1"/>
  <c r="K29" i="1"/>
  <c r="K30" i="1"/>
  <c r="K31" i="1"/>
  <c r="K32" i="1"/>
  <c r="K33" i="1"/>
  <c r="K34" i="1"/>
  <c r="K35" i="1"/>
  <c r="K39" i="1"/>
  <c r="K40" i="1"/>
  <c r="K41" i="1"/>
  <c r="K42" i="1"/>
  <c r="K43" i="1"/>
  <c r="K44" i="1"/>
  <c r="K45" i="1"/>
  <c r="K46" i="1"/>
  <c r="K48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5" i="1"/>
  <c r="K76" i="1"/>
  <c r="K77" i="1"/>
  <c r="K78" i="1"/>
  <c r="K79" i="1"/>
  <c r="K80" i="1"/>
  <c r="K81" i="1"/>
  <c r="K82" i="1"/>
  <c r="K83" i="1"/>
  <c r="K85" i="1"/>
  <c r="K86" i="1"/>
  <c r="K87" i="1"/>
  <c r="K88" i="1"/>
  <c r="K90" i="1"/>
  <c r="K91" i="1"/>
  <c r="K92" i="1"/>
  <c r="K93" i="1"/>
  <c r="K94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4" i="1"/>
  <c r="K127" i="1"/>
  <c r="K133" i="1"/>
  <c r="K134" i="1"/>
  <c r="K135" i="1"/>
  <c r="K136" i="1"/>
  <c r="K137" i="1"/>
  <c r="K138" i="1"/>
  <c r="K139" i="1"/>
  <c r="K144" i="1"/>
  <c r="K150" i="1"/>
  <c r="K157" i="1"/>
  <c r="K158" i="1"/>
  <c r="K160" i="1"/>
  <c r="K163" i="1"/>
  <c r="K164" i="1"/>
  <c r="K167" i="1"/>
  <c r="K168" i="1"/>
  <c r="K169" i="1"/>
  <c r="K170" i="1"/>
  <c r="K171" i="1"/>
  <c r="K172" i="1"/>
  <c r="K174" i="1"/>
  <c r="K175" i="1"/>
  <c r="K176" i="1"/>
  <c r="K177" i="1"/>
  <c r="K179" i="1"/>
  <c r="K180" i="1"/>
  <c r="K182" i="1"/>
  <c r="K183" i="1"/>
  <c r="K184" i="1"/>
  <c r="K185" i="1"/>
  <c r="K186" i="1"/>
  <c r="K188" i="1"/>
  <c r="K189" i="1"/>
  <c r="K190" i="1"/>
  <c r="K191" i="1"/>
  <c r="K192" i="1"/>
  <c r="K193" i="1"/>
  <c r="K194" i="1"/>
  <c r="K195" i="1"/>
  <c r="K196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30" i="1"/>
  <c r="K233" i="1"/>
  <c r="K234" i="1"/>
  <c r="K235" i="1"/>
  <c r="K236" i="1"/>
  <c r="K237" i="1"/>
  <c r="K238" i="1"/>
  <c r="K239" i="1"/>
  <c r="K245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5" i="1"/>
  <c r="K276" i="1"/>
  <c r="K278" i="1"/>
  <c r="K279" i="1"/>
  <c r="K280" i="1"/>
  <c r="L16" i="1"/>
  <c r="D270" i="1"/>
  <c r="D268" i="1"/>
  <c r="D266" i="1"/>
  <c r="D263" i="1"/>
  <c r="D262" i="1"/>
  <c r="D257" i="1"/>
  <c r="D256" i="1"/>
  <c r="D253" i="1"/>
  <c r="D252" i="1"/>
  <c r="D251" i="1"/>
  <c r="D248" i="1"/>
  <c r="D246" i="1"/>
  <c r="D242" i="1"/>
  <c r="D240" i="1"/>
  <c r="D235" i="1"/>
  <c r="D234" i="1"/>
  <c r="D233" i="1"/>
  <c r="D219" i="1"/>
  <c r="D216" i="1"/>
  <c r="D215" i="1"/>
  <c r="D206" i="1"/>
  <c r="D172" i="1"/>
  <c r="D169" i="1"/>
  <c r="D167" i="1"/>
  <c r="D165" i="1"/>
  <c r="D163" i="1"/>
  <c r="D161" i="1"/>
  <c r="D158" i="1"/>
  <c r="D229" i="1"/>
  <c r="E229" i="1"/>
  <c r="D230" i="1"/>
  <c r="E230" i="1"/>
  <c r="D231" i="1"/>
  <c r="E231" i="1"/>
  <c r="D232" i="1"/>
  <c r="E232" i="1"/>
  <c r="D236" i="1"/>
  <c r="E236" i="1"/>
  <c r="D237" i="1"/>
  <c r="E237" i="1"/>
  <c r="D238" i="1"/>
  <c r="E238" i="1"/>
  <c r="D239" i="1"/>
  <c r="E239" i="1"/>
  <c r="D241" i="1"/>
  <c r="E241" i="1"/>
  <c r="D243" i="1"/>
  <c r="E243" i="1"/>
  <c r="D244" i="1"/>
  <c r="E244" i="1"/>
  <c r="D245" i="1"/>
  <c r="E245" i="1"/>
  <c r="D247" i="1"/>
  <c r="E247" i="1"/>
  <c r="D249" i="1"/>
  <c r="E249" i="1"/>
  <c r="D250" i="1"/>
  <c r="E250" i="1"/>
  <c r="D254" i="1"/>
  <c r="E254" i="1"/>
  <c r="D255" i="1"/>
  <c r="E255" i="1"/>
  <c r="E258" i="1"/>
  <c r="E259" i="1"/>
  <c r="D260" i="1"/>
  <c r="E260" i="1"/>
  <c r="D261" i="1"/>
  <c r="E261" i="1"/>
  <c r="D264" i="1"/>
  <c r="E264" i="1"/>
  <c r="D265" i="1"/>
  <c r="E265" i="1"/>
  <c r="D267" i="1"/>
  <c r="E267" i="1"/>
  <c r="D269" i="1"/>
  <c r="E269" i="1"/>
  <c r="D271" i="1"/>
  <c r="E271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E279" i="1"/>
  <c r="E280" i="1"/>
  <c r="E228" i="1"/>
  <c r="D228" i="1"/>
  <c r="D155" i="1"/>
  <c r="E155" i="1"/>
  <c r="D156" i="1"/>
  <c r="E156" i="1"/>
  <c r="D157" i="1"/>
  <c r="E157" i="1"/>
  <c r="D159" i="1"/>
  <c r="E159" i="1"/>
  <c r="D160" i="1"/>
  <c r="E160" i="1"/>
  <c r="D162" i="1"/>
  <c r="E162" i="1"/>
  <c r="D164" i="1"/>
  <c r="E164" i="1"/>
  <c r="D166" i="1"/>
  <c r="E166" i="1"/>
  <c r="D168" i="1"/>
  <c r="E168" i="1"/>
  <c r="E170" i="1"/>
  <c r="D171" i="1"/>
  <c r="E171" i="1"/>
  <c r="E173" i="1"/>
  <c r="D174" i="1"/>
  <c r="E174" i="1"/>
  <c r="D175" i="1"/>
  <c r="E175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E185" i="1"/>
  <c r="E186" i="1"/>
  <c r="D187" i="1"/>
  <c r="E187" i="1"/>
  <c r="E188" i="1"/>
  <c r="E189" i="1"/>
  <c r="D190" i="1"/>
  <c r="E190" i="1"/>
  <c r="D191" i="1"/>
  <c r="E191" i="1"/>
  <c r="E192" i="1"/>
  <c r="D193" i="1"/>
  <c r="E193" i="1"/>
  <c r="D194" i="1"/>
  <c r="E194" i="1"/>
  <c r="D195" i="1"/>
  <c r="E195" i="1"/>
  <c r="E196" i="1"/>
  <c r="D197" i="1"/>
  <c r="E197" i="1"/>
  <c r="D198" i="1"/>
  <c r="E198" i="1"/>
  <c r="D199" i="1"/>
  <c r="E199" i="1"/>
  <c r="E200" i="1"/>
  <c r="D201" i="1"/>
  <c r="E201" i="1"/>
  <c r="D202" i="1"/>
  <c r="E202" i="1"/>
  <c r="D203" i="1"/>
  <c r="E203" i="1"/>
  <c r="D204" i="1"/>
  <c r="E204" i="1"/>
  <c r="D205" i="1"/>
  <c r="E205" i="1"/>
  <c r="D207" i="1"/>
  <c r="E207" i="1"/>
  <c r="D208" i="1"/>
  <c r="E208" i="1"/>
  <c r="D209" i="1"/>
  <c r="E209" i="1"/>
  <c r="D210" i="1"/>
  <c r="E210" i="1"/>
  <c r="D211" i="1"/>
  <c r="E211" i="1"/>
  <c r="E212" i="1"/>
  <c r="D213" i="1"/>
  <c r="E213" i="1"/>
  <c r="D214" i="1"/>
  <c r="E214" i="1"/>
  <c r="D217" i="1"/>
  <c r="E217" i="1"/>
  <c r="D218" i="1"/>
  <c r="E218" i="1"/>
  <c r="D220" i="1"/>
  <c r="E220" i="1"/>
  <c r="E221" i="1"/>
  <c r="D222" i="1"/>
  <c r="E222" i="1"/>
  <c r="D223" i="1"/>
  <c r="E223" i="1"/>
  <c r="E224" i="1"/>
  <c r="D225" i="1"/>
  <c r="E225" i="1"/>
  <c r="D226" i="1"/>
  <c r="E226" i="1"/>
  <c r="E154" i="1"/>
  <c r="D154" i="1"/>
  <c r="D146" i="1"/>
  <c r="D142" i="1"/>
  <c r="D131" i="1"/>
  <c r="D130" i="1"/>
  <c r="D129" i="1"/>
  <c r="D127" i="1"/>
  <c r="D117" i="1"/>
  <c r="D112" i="1"/>
  <c r="D96" i="1"/>
  <c r="D95" i="1"/>
  <c r="D94" i="1"/>
  <c r="D93" i="1"/>
  <c r="D70" i="1"/>
  <c r="D68" i="1"/>
  <c r="D52" i="1"/>
  <c r="D42" i="1"/>
  <c r="D36" i="1"/>
  <c r="D35" i="1"/>
  <c r="D33" i="1"/>
  <c r="D32" i="1"/>
  <c r="D30" i="1"/>
  <c r="D29" i="1"/>
  <c r="D28" i="1"/>
  <c r="D26" i="1"/>
  <c r="D25" i="1"/>
  <c r="E17" i="1"/>
  <c r="E18" i="1"/>
  <c r="E19" i="1"/>
  <c r="E20" i="1"/>
  <c r="E21" i="1"/>
  <c r="E22" i="1"/>
  <c r="E23" i="1"/>
  <c r="E24" i="1"/>
  <c r="E27" i="1"/>
  <c r="E31" i="1"/>
  <c r="E34" i="1"/>
  <c r="E37" i="1"/>
  <c r="E38" i="1"/>
  <c r="E39" i="1"/>
  <c r="E40" i="1"/>
  <c r="E41" i="1"/>
  <c r="E43" i="1"/>
  <c r="E44" i="1"/>
  <c r="E45" i="1"/>
  <c r="E46" i="1"/>
  <c r="E47" i="1"/>
  <c r="E48" i="1"/>
  <c r="E49" i="1"/>
  <c r="E50" i="1"/>
  <c r="E5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9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3" i="1"/>
  <c r="E114" i="1"/>
  <c r="E115" i="1"/>
  <c r="E116" i="1"/>
  <c r="E118" i="1"/>
  <c r="E119" i="1"/>
  <c r="E120" i="1"/>
  <c r="E121" i="1"/>
  <c r="E122" i="1"/>
  <c r="E123" i="1"/>
  <c r="E124" i="1"/>
  <c r="E125" i="1"/>
  <c r="E126" i="1"/>
  <c r="E128" i="1"/>
  <c r="E132" i="1"/>
  <c r="E133" i="1"/>
  <c r="E134" i="1"/>
  <c r="E135" i="1"/>
  <c r="E136" i="1"/>
  <c r="E137" i="1"/>
  <c r="E138" i="1"/>
  <c r="E139" i="1"/>
  <c r="E140" i="1"/>
  <c r="E141" i="1"/>
  <c r="E143" i="1"/>
  <c r="E144" i="1"/>
  <c r="E145" i="1"/>
  <c r="E147" i="1"/>
  <c r="E148" i="1"/>
  <c r="E149" i="1"/>
  <c r="E150" i="1"/>
  <c r="E151" i="1"/>
  <c r="E152" i="1"/>
  <c r="E16" i="1"/>
  <c r="D17" i="1"/>
  <c r="D18" i="1"/>
  <c r="D19" i="1"/>
  <c r="D20" i="1"/>
  <c r="D24" i="1"/>
  <c r="D27" i="1"/>
  <c r="D31" i="1"/>
  <c r="D34" i="1"/>
  <c r="D37" i="1"/>
  <c r="D38" i="1"/>
  <c r="D39" i="1"/>
  <c r="D40" i="1"/>
  <c r="D41" i="1"/>
  <c r="D44" i="1"/>
  <c r="D45" i="1"/>
  <c r="D46" i="1"/>
  <c r="D47" i="1"/>
  <c r="D48" i="1"/>
  <c r="D49" i="1"/>
  <c r="D50" i="1"/>
  <c r="D51" i="1"/>
  <c r="D53" i="1"/>
  <c r="D54" i="1"/>
  <c r="D55" i="1"/>
  <c r="D56" i="1"/>
  <c r="D57" i="1"/>
  <c r="D58" i="1"/>
  <c r="D59" i="1"/>
  <c r="D60" i="1"/>
  <c r="D62" i="1"/>
  <c r="D63" i="1"/>
  <c r="D64" i="1"/>
  <c r="D65" i="1"/>
  <c r="D66" i="1"/>
  <c r="D67" i="1"/>
  <c r="D69" i="1"/>
  <c r="D73" i="1"/>
  <c r="D74" i="1"/>
  <c r="D75" i="1"/>
  <c r="D80" i="1"/>
  <c r="D81" i="1"/>
  <c r="D82" i="1"/>
  <c r="D84" i="1"/>
  <c r="D85" i="1"/>
  <c r="D86" i="1"/>
  <c r="D88" i="1"/>
  <c r="D89" i="1"/>
  <c r="D90" i="1"/>
  <c r="D91" i="1"/>
  <c r="D92" i="1"/>
  <c r="D97" i="1"/>
  <c r="D98" i="1"/>
  <c r="D99" i="1"/>
  <c r="D100" i="1"/>
  <c r="D101" i="1"/>
  <c r="D102" i="1"/>
  <c r="D103" i="1"/>
  <c r="D104" i="1"/>
  <c r="D106" i="1"/>
  <c r="D107" i="1"/>
  <c r="D110" i="1"/>
  <c r="D113" i="1"/>
  <c r="D114" i="1"/>
  <c r="D115" i="1"/>
  <c r="D116" i="1"/>
  <c r="D118" i="1"/>
  <c r="D119" i="1"/>
  <c r="D120" i="1"/>
  <c r="D123" i="1"/>
  <c r="D124" i="1"/>
  <c r="D125" i="1"/>
  <c r="D126" i="1"/>
  <c r="D128" i="1"/>
  <c r="D132" i="1"/>
  <c r="D133" i="1"/>
  <c r="D134" i="1"/>
  <c r="D135" i="1"/>
  <c r="D136" i="1"/>
  <c r="D137" i="1"/>
  <c r="D138" i="1"/>
  <c r="D139" i="1"/>
  <c r="D140" i="1"/>
  <c r="D141" i="1"/>
  <c r="D145" i="1"/>
  <c r="D147" i="1"/>
  <c r="D148" i="1"/>
  <c r="D149" i="1"/>
  <c r="D150" i="1"/>
  <c r="D151" i="1"/>
  <c r="D152" i="1"/>
  <c r="D16" i="1"/>
</calcChain>
</file>

<file path=xl/sharedStrings.xml><?xml version="1.0" encoding="utf-8"?>
<sst xmlns="http://schemas.openxmlformats.org/spreadsheetml/2006/main" count="1915" uniqueCount="354">
  <si>
    <t>A Part - Interface Information</t>
  </si>
  <si>
    <t>Interface Name</t>
  </si>
  <si>
    <t>LIMS to SAP Inspection Result</t>
  </si>
  <si>
    <t>Description</t>
  </si>
  <si>
    <t>LIMS push the inspection result of a sample to SAP when it is authorized on QCLAD</t>
  </si>
  <si>
    <t>System ID</t>
  </si>
  <si>
    <t>Protocol</t>
  </si>
  <si>
    <t>Remark</t>
  </si>
  <si>
    <t>Source</t>
  </si>
  <si>
    <t>LIMS</t>
  </si>
  <si>
    <t>Target</t>
  </si>
  <si>
    <t>SAP</t>
  </si>
  <si>
    <t>Sync/Async</t>
  </si>
  <si>
    <t>Sync</t>
  </si>
  <si>
    <t xml:space="preserve">Interface Account </t>
  </si>
  <si>
    <t>Frequency</t>
  </si>
  <si>
    <t>Real Time</t>
  </si>
  <si>
    <t>Exampled Json File</t>
  </si>
  <si>
    <r>
      <rPr>
        <b/>
        <sz val="20"/>
        <color rgb="FF000000"/>
        <rFont val="宋体"/>
        <family val="1"/>
        <charset val="134"/>
      </rPr>
      <t>B Part</t>
    </r>
    <r>
      <rPr>
        <b/>
        <sz val="20"/>
        <color rgb="FF000000"/>
        <rFont val="Cambria"/>
        <family val="1"/>
      </rPr>
      <t xml:space="preserve"> - </t>
    </r>
    <r>
      <rPr>
        <b/>
        <sz val="20"/>
        <color rgb="FF000000"/>
        <rFont val="宋体"/>
        <family val="1"/>
        <charset val="134"/>
      </rPr>
      <t>Interface Fields</t>
    </r>
  </si>
  <si>
    <t>Table1 Sample</t>
  </si>
  <si>
    <t>Root Node : SAMPLE</t>
  </si>
  <si>
    <t>Y</t>
  </si>
  <si>
    <t>Table Name</t>
  </si>
  <si>
    <t>Json Field Name</t>
  </si>
  <si>
    <t>LIMS Type/Length</t>
  </si>
  <si>
    <t>Type</t>
  </si>
  <si>
    <t>Length</t>
  </si>
  <si>
    <t>Key</t>
  </si>
  <si>
    <t>Description</t>
    <phoneticPr fontId="0" type="noConversion"/>
  </si>
  <si>
    <t>Required in SAP?</t>
  </si>
  <si>
    <t>Exampled Value</t>
  </si>
  <si>
    <t>mapping field in SAP</t>
  </si>
  <si>
    <t>SAMPLE</t>
  </si>
  <si>
    <t>ID_NUMERIC</t>
  </si>
  <si>
    <t>varchar(10)</t>
  </si>
  <si>
    <t>the unique id of each sample, incremental numeric id, starting from 1</t>
  </si>
  <si>
    <t>ID_TEXT</t>
  </si>
  <si>
    <t>nvarchar(30)</t>
  </si>
  <si>
    <t>N</t>
  </si>
  <si>
    <t>SM-28-AUG-2024-000018</t>
  </si>
  <si>
    <t>JOB_NAME</t>
  </si>
  <si>
    <t>nvarchar(20)</t>
  </si>
  <si>
    <t>STATUS</t>
  </si>
  <si>
    <t>nvarchar(1)</t>
  </si>
  <si>
    <t>A (authorized), only this status will get pushed</t>
  </si>
  <si>
    <t>A</t>
  </si>
  <si>
    <t>OLD_STATUS</t>
  </si>
  <si>
    <t>C</t>
  </si>
  <si>
    <t>COMPARED</t>
  </si>
  <si>
    <t>varchar(1)</t>
  </si>
  <si>
    <t>Boolean</t>
  </si>
  <si>
    <t>F</t>
  </si>
  <si>
    <t>ON_SPEC</t>
  </si>
  <si>
    <t>TRUE or FALSE, indicate if all results are within limit</t>
  </si>
  <si>
    <t>RE_SAMPLED</t>
  </si>
  <si>
    <t>TRUE or FALSE, indicate if resampled action is performed</t>
  </si>
  <si>
    <t>ORIGINAL_SAMPLE</t>
  </si>
  <si>
    <t>linked to the original sample if current sample is created out of resample.</t>
  </si>
  <si>
    <t>LINK_NUMBER</t>
  </si>
  <si>
    <t>int</t>
  </si>
  <si>
    <t>LOGIN_DATE</t>
  </si>
  <si>
    <t>datetime</t>
  </si>
  <si>
    <t>the datetime where sample is created</t>
  </si>
  <si>
    <t>LOGIN_BY</t>
  </si>
  <si>
    <t>nvarchar(10)</t>
  </si>
  <si>
    <t>the person ID who create the sample</t>
  </si>
  <si>
    <t>SYSTEM</t>
  </si>
  <si>
    <t>SAMPLED_DATE</t>
  </si>
  <si>
    <t>RECD_DATE</t>
  </si>
  <si>
    <t>DATE_STARTED</t>
  </si>
  <si>
    <t>STARTER</t>
  </si>
  <si>
    <t>DATERESREQ</t>
  </si>
  <si>
    <t>DATE_COMPLETED</t>
  </si>
  <si>
    <t>COMPLETER</t>
  </si>
  <si>
    <t>DATERESAVAIL</t>
  </si>
  <si>
    <t>NULL</t>
  </si>
  <si>
    <t>DATE_AUTHORISED</t>
  </si>
  <si>
    <t>the datetime where sample is authorized</t>
  </si>
  <si>
    <t>AUTHORISER</t>
  </si>
  <si>
    <t>the person Id who authorize the sample</t>
  </si>
  <si>
    <t>AUTHORISATION_NOTES</t>
  </si>
  <si>
    <t>nvarchar(234)</t>
  </si>
  <si>
    <t>the authorization note</t>
  </si>
  <si>
    <t>Automatically authorised</t>
  </si>
  <si>
    <t>PRODUCT</t>
  </si>
  <si>
    <t>TEST001</t>
  </si>
  <si>
    <t>PRODUCT_VERSION</t>
  </si>
  <si>
    <t>GRADE_CODE</t>
  </si>
  <si>
    <t>TESTS_TO_DO</t>
  </si>
  <si>
    <t>ON_WKS</t>
  </si>
  <si>
    <t>PROJECT_ID</t>
  </si>
  <si>
    <t>BATCH_NAME</t>
  </si>
  <si>
    <t>SAMPLING_POINT</t>
  </si>
  <si>
    <t>SAMPLE_TYPE</t>
  </si>
  <si>
    <t xml:space="preserve">to store the value of JIT, RM etc, such sub inspection case </t>
  </si>
  <si>
    <t>IQC-STD</t>
  </si>
  <si>
    <t>SAMPLE_NAME</t>
  </si>
  <si>
    <t>DESCRIPTION</t>
  </si>
  <si>
    <t>PREPARATION</t>
  </si>
  <si>
    <t>HAZARD</t>
  </si>
  <si>
    <t>PRIORITY</t>
  </si>
  <si>
    <t>LOCATION_ID</t>
  </si>
  <si>
    <t>nvarchar(50)</t>
  </si>
  <si>
    <t>CUSTOMER_ID</t>
  </si>
  <si>
    <t>INVOICE_NUMBER</t>
  </si>
  <si>
    <t>TEST_SCHEDULE</t>
  </si>
  <si>
    <t>TEMPLATE_ID</t>
  </si>
  <si>
    <t>COMP_PROD_NAME</t>
  </si>
  <si>
    <t>COMP_PROD_VER</t>
  </si>
  <si>
    <t>COMP_PROD_GRADE</t>
  </si>
  <si>
    <t>STANDARD</t>
  </si>
  <si>
    <t>STANDARD_ID</t>
  </si>
  <si>
    <t>STANDARD_VERSION</t>
  </si>
  <si>
    <t>INSPECTION_HEADER</t>
  </si>
  <si>
    <t>STANDARD_TYPE</t>
  </si>
  <si>
    <t>BATCH_ID</t>
  </si>
  <si>
    <t>DYNAMIC_PRODUCT</t>
  </si>
  <si>
    <t>TOTAL_ELEMENTS</t>
  </si>
  <si>
    <t>SAMPLING_PROCEDURE</t>
  </si>
  <si>
    <t>REPLICATE_LINK_NO</t>
  </si>
  <si>
    <t>AUTO_VALIDATE</t>
  </si>
  <si>
    <t>T</t>
  </si>
  <si>
    <t>HAS_INCIDENTS</t>
  </si>
  <si>
    <t>CERTIFICATE</t>
  </si>
  <si>
    <t>SUBSTANCE</t>
  </si>
  <si>
    <t>material ID</t>
  </si>
  <si>
    <t>WORKFLOW_NODE</t>
  </si>
  <si>
    <t>nvarchar(36)</t>
  </si>
  <si>
    <t>D658C55C-FC51-42A1-83BC-106833F87DAE</t>
  </si>
  <si>
    <t>IS_SPLIT</t>
  </si>
  <si>
    <t>IS_COMPOSITE</t>
  </si>
  <si>
    <t>HAS_SPLIT</t>
  </si>
  <si>
    <t>HAS_COMPOSITE</t>
  </si>
  <si>
    <t>COMPOSITE_STATUS</t>
  </si>
  <si>
    <t>NONE</t>
  </si>
  <si>
    <t>ENTITY_TEMPLATE_ID</t>
  </si>
  <si>
    <t>IQC_SAMPLE</t>
  </si>
  <si>
    <t>ENTITY_TEMPLATE_VERSION</t>
  </si>
  <si>
    <t>HAS_ATTACHMENTS</t>
  </si>
  <si>
    <t>COMMENTS</t>
  </si>
  <si>
    <t>LAB_METHOD_ID</t>
  </si>
  <si>
    <t>LAB_METHOD_VERSION</t>
  </si>
  <si>
    <t>LAB_METHOD_OUTSTANDING</t>
  </si>
  <si>
    <t>LAB_EXECUTION_ID</t>
  </si>
  <si>
    <t>RETAIN_ASSOCIATED_SAMPLE_ID</t>
  </si>
  <si>
    <t>RETAIN_ASSOCIATED_JOB_NAME</t>
  </si>
  <si>
    <t>RETAIN_TEST_PLAN_ID</t>
  </si>
  <si>
    <t>RETAIN_TEST_PLAN_VERSION</t>
  </si>
  <si>
    <t>RETAIN_NEXT_TEST_DATE</t>
  </si>
  <si>
    <t>RETAIN_LAST_TEST_DATE</t>
  </si>
  <si>
    <t>RETAIN_UNTIL_DATE</t>
  </si>
  <si>
    <t>RETAIN_DISPOSAL_DATE</t>
  </si>
  <si>
    <t>CERT_TEMPLATE_ID</t>
  </si>
  <si>
    <t>5EAD14A8-5BC8-423B-A135-82DB63033892</t>
  </si>
  <si>
    <t>CERT_TEMPLATE_VERSION</t>
  </si>
  <si>
    <t>CERT_ID</t>
  </si>
  <si>
    <t>AC5FD5FA-1EF9-4A9C-A6B4-3476BC9D4A1C</t>
  </si>
  <si>
    <t>CERT_VERSION</t>
  </si>
  <si>
    <t>SCHEDULE</t>
  </si>
  <si>
    <t>SOW_GUID</t>
  </si>
  <si>
    <t>SOW_VERSION</t>
  </si>
  <si>
    <t>SOW_ITEM_ID</t>
  </si>
  <si>
    <t>INVOICED</t>
  </si>
  <si>
    <t>CUSTOMER_PROJECT</t>
  </si>
  <si>
    <t>EXTERNAL_ID</t>
  </si>
  <si>
    <t>nvarchar(100)</t>
  </si>
  <si>
    <t>EXTERNAL_ID_DUPLICATE</t>
  </si>
  <si>
    <t>HAS_NOTEBOOK_LINK</t>
  </si>
  <si>
    <t>PRICE_OPTION</t>
  </si>
  <si>
    <t>HAS_AQC_ISSUE</t>
  </si>
  <si>
    <t>AMOUNT</t>
  </si>
  <si>
    <t>float</t>
  </si>
  <si>
    <t>UNIT</t>
  </si>
  <si>
    <t>nvarchar(40)</t>
  </si>
  <si>
    <t>SAMPLE_CONTAINER_TYPE_ID</t>
  </si>
  <si>
    <t>SAMPLE_CONTAINER_TYPE_VERSION</t>
  </si>
  <si>
    <t>CONTAINER_LABEL_TEXT</t>
  </si>
  <si>
    <t>COLLECTED_ON</t>
  </si>
  <si>
    <t>COLLECTED_BY</t>
  </si>
  <si>
    <t>DOWNLOADED_BY</t>
  </si>
  <si>
    <t>CONTAINER_GROUP</t>
  </si>
  <si>
    <t>DEV_BOOLEAN</t>
  </si>
  <si>
    <t>HEN_SAMPLE_STARTED</t>
  </si>
  <si>
    <t>HEN_GROUP_ID</t>
  </si>
  <si>
    <t xml:space="preserve"> </t>
  </si>
  <si>
    <t>HEN_IDH</t>
  </si>
  <si>
    <t>HEN_PLANT</t>
  </si>
  <si>
    <t>the plant code</t>
  </si>
  <si>
    <t>HEN_STORAGE_CONDITION</t>
  </si>
  <si>
    <t>HEN_ACTIVITY_NO</t>
  </si>
  <si>
    <t>HEN_WORK_CENTER</t>
  </si>
  <si>
    <t>HEN_DATE_MFG</t>
  </si>
  <si>
    <t>prodution date</t>
  </si>
  <si>
    <t>HEN_DATE_EXPIRED</t>
  </si>
  <si>
    <t>expiry date</t>
  </si>
  <si>
    <t>HEN_DATE_LOGIN</t>
  </si>
  <si>
    <t>HEN_PHASE_NUMBER</t>
  </si>
  <si>
    <t>HEN_NS_DEPARTMENT</t>
  </si>
  <si>
    <t>HEN_NS_NAME</t>
  </si>
  <si>
    <t>HEN_NS_EMAIL</t>
  </si>
  <si>
    <t>HEN_NS_REGION</t>
  </si>
  <si>
    <t>HEN_NS_COUNTRY</t>
  </si>
  <si>
    <t>HEN_PLANT_NAME</t>
  </si>
  <si>
    <t>HEN_NS_MATERIAL</t>
  </si>
  <si>
    <t>HEN_NS_TEST</t>
  </si>
  <si>
    <t>all for non-standard testing</t>
  </si>
  <si>
    <t>HEN_NS_NUMBER</t>
  </si>
  <si>
    <t>HEN_NS_EXPECTDATE</t>
  </si>
  <si>
    <t>HEN_NS_USERETAIN</t>
  </si>
  <si>
    <t>HEN_ALLOW_COPY</t>
  </si>
  <si>
    <t>HEN_MES_ID</t>
  </si>
  <si>
    <t>MES sample ID</t>
  </si>
  <si>
    <t>HEN_RECEIVED_DATE</t>
  </si>
  <si>
    <t>the datetime where sample is received</t>
  </si>
  <si>
    <t>HEN_RECEIVED_BY</t>
  </si>
  <si>
    <t>the person id who receive sample</t>
  </si>
  <si>
    <t>HEN_INSPECTION_CATEGORY</t>
  </si>
  <si>
    <t>such as IQC, IPQC, OQC etc</t>
  </si>
  <si>
    <t>HEN_PROD_LINE</t>
  </si>
  <si>
    <t>production line</t>
  </si>
  <si>
    <t>HEN_PROD_LINE_PLANT</t>
  </si>
  <si>
    <t>HEN_RESULT_FROM</t>
  </si>
  <si>
    <t>the sample ID where the result is copied from</t>
  </si>
  <si>
    <t>HEN_INSPECTION_LOT</t>
  </si>
  <si>
    <t>SAP inspection lot no</t>
  </si>
  <si>
    <t>Table2 Test</t>
  </si>
  <si>
    <t>Sub Node: TEST</t>
  </si>
  <si>
    <t>TEST</t>
  </si>
  <si>
    <t>TEST_NUMBER</t>
  </si>
  <si>
    <t>the unique id of each test, incremental numeric id, starting from 1</t>
  </si>
  <si>
    <t>ANALYSIS</t>
  </si>
  <si>
    <t>the name of each MIC</t>
  </si>
  <si>
    <t>the sample in which the test is under</t>
  </si>
  <si>
    <t>TEST_PREP</t>
  </si>
  <si>
    <t>TEST_COUNT</t>
  </si>
  <si>
    <t>A (authorized), only this status will get pushed
cancelled test will not push</t>
  </si>
  <si>
    <t>the datetime where test is assigned</t>
  </si>
  <si>
    <t>the person ID who get assigned with the test</t>
  </si>
  <si>
    <t>the datetime where test is authorized</t>
  </si>
  <si>
    <t>the person Id who authorize the test</t>
  </si>
  <si>
    <t>COMPONENT_REPLICATES</t>
  </si>
  <si>
    <t>WORKSHEET</t>
  </si>
  <si>
    <t>WORKSHEET_POSITION</t>
  </si>
  <si>
    <t>REPLICATE_TEST</t>
  </si>
  <si>
    <t>INSTRUMENT</t>
  </si>
  <si>
    <t>TEST_PRIORITY</t>
  </si>
  <si>
    <t>ORDER_NUM</t>
  </si>
  <si>
    <t>HAS_RESULT_LIST</t>
  </si>
  <si>
    <t>COMPONENT_LIST</t>
  </si>
  <si>
    <t>ANALYSIS_VERSION</t>
  </si>
  <si>
    <t>the version of the MIC master data</t>
  </si>
  <si>
    <t>PREPARATION_BATCH</t>
  </si>
  <si>
    <t>INSTRUMENT_BATCH</t>
  </si>
  <si>
    <t>PARENT_TEST</t>
  </si>
  <si>
    <t>linked to the original Test if current Test is created out of Retest.</t>
  </si>
  <si>
    <t>TRIGGER_RULE</t>
  </si>
  <si>
    <t>TRIGGER_ANALYSIS</t>
  </si>
  <si>
    <t>STAT_DOUBLE_ATT_FAIL</t>
  </si>
  <si>
    <t>VALIDATION_STATUS</t>
  </si>
  <si>
    <t>V</t>
  </si>
  <si>
    <t>AUTHORISATION_COMMENT</t>
  </si>
  <si>
    <t>authorization note</t>
  </si>
  <si>
    <t>INSTRUMENT_TYPE</t>
  </si>
  <si>
    <t>INSTRUMENT_CATEGORY</t>
  </si>
  <si>
    <t>INSTRUMENT_REQUIRED</t>
  </si>
  <si>
    <t>F23187C8-AF14-44DB-B480-B64E99C9F6D5</t>
  </si>
  <si>
    <t>DEFAULT_TEST</t>
  </si>
  <si>
    <t>SOW_ITEM_ORDER</t>
  </si>
  <si>
    <t>SOW_ITEM_CHARGE_ORDER_NUMBER</t>
  </si>
  <si>
    <t>SOW_ITEM_CHARGE_COUNT</t>
  </si>
  <si>
    <t>AQC_CHART_ID</t>
  </si>
  <si>
    <t>AQC_CHART_VERSION</t>
  </si>
  <si>
    <t>AQC_CHART_POINT_NUMBER</t>
  </si>
  <si>
    <t>AQC_CHART_POINT_NAME</t>
  </si>
  <si>
    <t>INCLUDE_ON_INVOICE</t>
  </si>
  <si>
    <t>MAPPING_ID</t>
  </si>
  <si>
    <t>SMC_INSTRUMENT</t>
  </si>
  <si>
    <t>HEN_PREP_DATESTART</t>
  </si>
  <si>
    <t>HEN_PREP_DATETARGET</t>
  </si>
  <si>
    <t>HEN_PREPARED_BY</t>
  </si>
  <si>
    <t>HEN_PREP_COMMENT</t>
  </si>
  <si>
    <t>HEN_PREP_DATECOMPLETE</t>
  </si>
  <si>
    <t>HEN_PREP_COMPLETER</t>
  </si>
  <si>
    <t>HEN_RESAMPLED</t>
  </si>
  <si>
    <t>HEN_PREP_ASSIGN</t>
  </si>
  <si>
    <t>HEN_IS_RETURNED</t>
  </si>
  <si>
    <t>HEN_RETURN_COMMENT</t>
  </si>
  <si>
    <t>HEN_RETURN_BY</t>
  </si>
  <si>
    <t>Table2 Result</t>
  </si>
  <si>
    <t>Sub Node: RESULT</t>
  </si>
  <si>
    <t>RESULT</t>
  </si>
  <si>
    <t>the TEST ID the result is under</t>
  </si>
  <si>
    <t>NAME</t>
  </si>
  <si>
    <t>the result name</t>
  </si>
  <si>
    <t>Weight</t>
  </si>
  <si>
    <t>ORDER_NUMBER</t>
  </si>
  <si>
    <t>RESULT_TYPE</t>
  </si>
  <si>
    <t>N (Numeric), T (Text), K (calculated) etc</t>
  </si>
  <si>
    <t>UNITS</t>
  </si>
  <si>
    <t>the unit</t>
  </si>
  <si>
    <t>MINIMUM</t>
  </si>
  <si>
    <t>MAXIMUM</t>
  </si>
  <si>
    <t>TYPICAL</t>
  </si>
  <si>
    <t>TRUE_WORD</t>
  </si>
  <si>
    <t>FALSE_WORD</t>
  </si>
  <si>
    <t>ALLOWED_CHARACTERS</t>
  </si>
  <si>
    <t>nvarchar(26)</t>
  </si>
  <si>
    <t>CALCULATION</t>
  </si>
  <si>
    <t>VALUE</t>
  </si>
  <si>
    <t>TEXT</t>
  </si>
  <si>
    <t>PLACES</t>
  </si>
  <si>
    <t>OUT_OF_RANGE</t>
  </si>
  <si>
    <t>TRUE or FALSE, if out of limit</t>
  </si>
  <si>
    <t>E</t>
  </si>
  <si>
    <t>ENTERED_ON</t>
  </si>
  <si>
    <t>ENTERED_BY</t>
  </si>
  <si>
    <t>GROUP_ID</t>
  </si>
  <si>
    <t>SECURITY_FLAGS</t>
  </si>
  <si>
    <t>SIG_FIGS_NUMBER</t>
  </si>
  <si>
    <t>SIG_FIGS_ROUNDING</t>
  </si>
  <si>
    <t>SIG_FIGS_FILTER</t>
  </si>
  <si>
    <t>REP_CONTROL</t>
  </si>
  <si>
    <t>nvarchar(3)</t>
  </si>
  <si>
    <t>MINIMUM_PQL</t>
  </si>
  <si>
    <t>MAXIMUM_PQL</t>
  </si>
  <si>
    <t>LESS_THAN_PQL</t>
  </si>
  <si>
    <t>GREATER_THAN_PQL</t>
  </si>
  <si>
    <t>PQL_CALCULATION</t>
  </si>
  <si>
    <t>FORMULA</t>
  </si>
  <si>
    <t>nvarchar(500)</t>
  </si>
  <si>
    <t>DILUTION_FACTOR</t>
  </si>
  <si>
    <t>SPIKE_VALUE</t>
  </si>
  <si>
    <t>SURROGATE_MLP</t>
  </si>
  <si>
    <t>SURROGATE_MLP_VERSION</t>
  </si>
  <si>
    <t>MATRIX_NO</t>
  </si>
  <si>
    <t>MATRIX_NAME</t>
  </si>
  <si>
    <t>COLUMN_NO</t>
  </si>
  <si>
    <t>COLUMN_NAME</t>
  </si>
  <si>
    <t>ROW_NO</t>
  </si>
  <si>
    <t>ROW_NAME</t>
  </si>
  <si>
    <t>INSTRUMENT_USED</t>
  </si>
  <si>
    <t>RAW_RESULT</t>
  </si>
  <si>
    <t>raw result</t>
  </si>
  <si>
    <t>ENTITY_CRITERIA</t>
  </si>
  <si>
    <t>948DD6D4-1BD2-4E7A-A7EE-EA2CE751605C</t>
  </si>
  <si>
    <t>OUT_OF_RANGE_LEVEL</t>
  </si>
  <si>
    <t>ENTITY_FULL_ID</t>
  </si>
  <si>
    <t>Sample Level</t>
  </si>
  <si>
    <t>Test Level</t>
  </si>
  <si>
    <t>TEST_WEHT</t>
  </si>
  <si>
    <t>test</t>
  </si>
  <si>
    <t>TEST_WC</t>
  </si>
  <si>
    <t>Result Level</t>
  </si>
  <si>
    <t>water%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</si>
</sst>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Calibri"/>
      <family val="2"/>
    </font>
    <font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0"/>
      <color indexed="16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2"/>
      <color rgb="FF000000"/>
      <name val="Cambria"/>
      <family val="1"/>
    </font>
    <font>
      <b/>
      <sz val="12"/>
      <color rgb="FF000000"/>
      <name val="宋体"/>
      <family val="1"/>
      <charset val="134"/>
    </font>
    <font>
      <b/>
      <sz val="20"/>
      <color rgb="FF000000"/>
      <name val="Cambria"/>
      <family val="1"/>
    </font>
    <font>
      <b/>
      <sz val="20"/>
      <color rgb="FF000000"/>
      <name val="Cambria"/>
      <family val="1"/>
      <charset val="134"/>
    </font>
    <font>
      <b/>
      <sz val="20"/>
      <color rgb="FF000000"/>
      <name val="宋体"/>
      <family val="1"/>
      <charset val="134"/>
    </font>
    <font>
      <b/>
      <sz val="1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u/>
      <sz val="10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1"/>
      <name val="微软雅黑"/>
      <family val="2"/>
      <charset val="134"/>
    </font>
    <font>
      <sz val="14"/>
      <color theme="1"/>
      <name val="等线"/>
      <family val="2"/>
      <charset val="134"/>
      <scheme val="minor"/>
    </font>
    <font>
      <b/>
      <sz val="10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0"/>
      <name val="微软雅黑"/>
      <family val="2"/>
      <charset val="134"/>
    </font>
    <font>
      <sz val="11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0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3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34"/>
      </patternFill>
    </fill>
    <fill>
      <patternFill patternType="solid">
        <fgColor theme="4" tint="0.59999389629810485"/>
        <bgColor indexed="3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0" fontId="1" fillId="0" borderId="0">
      <alignment vertical="center"/>
    </xf>
    <xf numFmtId="0" fontId="8" fillId="0" borderId="0" applyNumberFormat="0" applyFill="0" applyBorder="0" applyAlignment="0" applyProtection="0"/>
    <xf numFmtId="0" fontId="9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05">
    <xf numFmtId="0" fontId="0" fillId="0" borderId="0" xfId="0"/>
    <xf numFmtId="0" fontId="1" fillId="0" borderId="0" xfId="1"/>
    <xf numFmtId="0" fontId="3" fillId="0" borderId="1" xfId="1" applyFont="1" applyBorder="1"/>
    <xf numFmtId="0" fontId="10" fillId="2" borderId="0" xfId="5" applyFont="1" applyFill="1" applyAlignment="1">
      <alignment wrapText="1"/>
    </xf>
    <xf numFmtId="0" fontId="11" fillId="6" borderId="2" xfId="1" applyFont="1" applyFill="1" applyBorder="1" applyAlignment="1">
      <alignment horizontal="center" vertical="center"/>
    </xf>
    <xf numFmtId="0" fontId="16" fillId="5" borderId="1" xfId="2" applyFont="1" applyFill="1" applyBorder="1" applyAlignment="1">
      <alignment horizontal="center" vertical="center" wrapText="1"/>
    </xf>
    <xf numFmtId="0" fontId="16" fillId="5" borderId="1" xfId="2" applyFont="1" applyFill="1" applyBorder="1" applyAlignment="1">
      <alignment horizontal="center" vertical="center"/>
    </xf>
    <xf numFmtId="0" fontId="16" fillId="8" borderId="2" xfId="5" applyFont="1" applyFill="1" applyBorder="1" applyAlignment="1">
      <alignment horizontal="center" wrapText="1"/>
    </xf>
    <xf numFmtId="0" fontId="16" fillId="9" borderId="1" xfId="2" applyFont="1" applyFill="1" applyBorder="1" applyAlignment="1">
      <alignment horizontal="left" vertical="center"/>
    </xf>
    <xf numFmtId="0" fontId="16" fillId="3" borderId="6" xfId="5" applyFont="1" applyFill="1" applyBorder="1" applyAlignment="1">
      <alignment horizontal="center" wrapText="1"/>
    </xf>
    <xf numFmtId="0" fontId="16" fillId="10" borderId="1" xfId="2" applyFont="1" applyFill="1" applyBorder="1" applyAlignment="1">
      <alignment horizontal="center" vertical="center" wrapText="1"/>
    </xf>
    <xf numFmtId="0" fontId="9" fillId="0" borderId="0" xfId="5" applyAlignment="1"/>
    <xf numFmtId="0" fontId="13" fillId="6" borderId="0" xfId="1" applyFont="1" applyFill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1" fillId="0" borderId="1" xfId="1" applyBorder="1"/>
    <xf numFmtId="0" fontId="4" fillId="0" borderId="1" xfId="0" applyFont="1" applyBorder="1"/>
    <xf numFmtId="0" fontId="5" fillId="3" borderId="1" xfId="1" applyFont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 wrapText="1"/>
    </xf>
    <xf numFmtId="0" fontId="6" fillId="4" borderId="8" xfId="2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top" wrapText="1"/>
    </xf>
    <xf numFmtId="0" fontId="1" fillId="0" borderId="1" xfId="1" applyBorder="1" applyAlignment="1">
      <alignment horizontal="left" vertical="top"/>
    </xf>
    <xf numFmtId="0" fontId="21" fillId="0" borderId="1" xfId="1" applyFont="1" applyBorder="1"/>
    <xf numFmtId="0" fontId="21" fillId="0" borderId="0" xfId="1" applyFont="1"/>
    <xf numFmtId="0" fontId="13" fillId="6" borderId="6" xfId="1" applyFont="1" applyFill="1" applyBorder="1" applyAlignment="1">
      <alignment horizontal="center" vertical="center"/>
    </xf>
    <xf numFmtId="0" fontId="13" fillId="6" borderId="4" xfId="1" applyFont="1" applyFill="1" applyBorder="1" applyAlignment="1">
      <alignment horizontal="center" vertical="center"/>
    </xf>
    <xf numFmtId="0" fontId="16" fillId="10" borderId="2" xfId="2" applyFont="1" applyFill="1" applyBorder="1" applyAlignment="1">
      <alignment horizontal="center" vertical="center" wrapText="1"/>
    </xf>
    <xf numFmtId="0" fontId="16" fillId="8" borderId="3" xfId="5" applyFont="1" applyFill="1" applyBorder="1" applyAlignment="1">
      <alignment horizontal="center" wrapText="1"/>
    </xf>
    <xf numFmtId="0" fontId="1" fillId="0" borderId="0" xfId="1" applyAlignment="1">
      <alignment horizontal="center"/>
    </xf>
    <xf numFmtId="0" fontId="18" fillId="7" borderId="2" xfId="6" applyFont="1" applyFill="1" applyBorder="1" applyAlignment="1" applyProtection="1">
      <alignment horizontal="center" vertical="center" wrapText="1"/>
    </xf>
    <xf numFmtId="0" fontId="16" fillId="0" borderId="2" xfId="2" applyFont="1" applyBorder="1" applyAlignment="1">
      <alignment horizontal="center" vertical="center" wrapText="1"/>
    </xf>
    <xf numFmtId="0" fontId="10" fillId="0" borderId="0" xfId="5" applyFont="1" applyAlignment="1">
      <alignment wrapText="1"/>
    </xf>
    <xf numFmtId="0" fontId="22" fillId="0" borderId="1" xfId="2" applyFont="1" applyBorder="1" applyAlignment="1">
      <alignment horizontal="center" vertical="center" wrapText="1"/>
    </xf>
    <xf numFmtId="0" fontId="20" fillId="3" borderId="4" xfId="1" applyFont="1" applyFill="1" applyBorder="1" applyAlignment="1">
      <alignment vertical="top"/>
    </xf>
    <xf numFmtId="0" fontId="23" fillId="3" borderId="1" xfId="1" applyFont="1" applyFill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10" fillId="5" borderId="0" xfId="2" applyFont="1" applyFill="1" applyAlignment="1">
      <alignment horizontal="center" vertical="center" wrapText="1"/>
    </xf>
    <xf numFmtId="0" fontId="16" fillId="5" borderId="0" xfId="2" applyFont="1" applyFill="1" applyAlignment="1">
      <alignment horizontal="left" vertical="center" wrapText="1"/>
    </xf>
    <xf numFmtId="0" fontId="10" fillId="0" borderId="0" xfId="2" applyFont="1" applyAlignment="1">
      <alignment horizontal="center" vertical="center" wrapText="1"/>
    </xf>
    <xf numFmtId="0" fontId="16" fillId="10" borderId="3" xfId="2" applyFont="1" applyFill="1" applyBorder="1" applyAlignment="1">
      <alignment vertical="center" wrapText="1"/>
    </xf>
    <xf numFmtId="0" fontId="16" fillId="10" borderId="2" xfId="2" applyFont="1" applyFill="1" applyBorder="1" applyAlignment="1">
      <alignment vertical="center" wrapText="1"/>
    </xf>
    <xf numFmtId="0" fontId="16" fillId="7" borderId="3" xfId="2" applyFont="1" applyFill="1" applyBorder="1" applyAlignment="1">
      <alignment vertical="top"/>
    </xf>
    <xf numFmtId="0" fontId="16" fillId="7" borderId="2" xfId="2" applyFont="1" applyFill="1" applyBorder="1" applyAlignment="1">
      <alignment vertical="top"/>
    </xf>
    <xf numFmtId="0" fontId="16" fillId="7" borderId="3" xfId="2" applyFont="1" applyFill="1" applyBorder="1" applyAlignment="1">
      <alignment vertical="top" wrapText="1"/>
    </xf>
    <xf numFmtId="0" fontId="16" fillId="7" borderId="2" xfId="2" applyFont="1" applyFill="1" applyBorder="1" applyAlignment="1">
      <alignment vertical="top" wrapText="1"/>
    </xf>
    <xf numFmtId="0" fontId="18" fillId="7" borderId="3" xfId="6" applyFont="1" applyFill="1" applyBorder="1" applyAlignment="1" applyProtection="1">
      <alignment vertical="center" wrapText="1"/>
    </xf>
    <xf numFmtId="0" fontId="18" fillId="7" borderId="2" xfId="6" applyFont="1" applyFill="1" applyBorder="1" applyAlignment="1" applyProtection="1">
      <alignment vertical="center" wrapText="1"/>
    </xf>
    <xf numFmtId="0" fontId="8" fillId="0" borderId="3" xfId="4" applyFill="1" applyBorder="1" applyAlignment="1">
      <alignment vertical="center" wrapText="1"/>
    </xf>
    <xf numFmtId="0" fontId="23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8" fillId="0" borderId="2" xfId="4" applyFill="1" applyBorder="1" applyAlignment="1">
      <alignment horizontal="center" vertical="center" wrapText="1"/>
    </xf>
    <xf numFmtId="0" fontId="13" fillId="6" borderId="5" xfId="1" applyFont="1" applyFill="1" applyBorder="1" applyAlignment="1">
      <alignment vertical="center"/>
    </xf>
    <xf numFmtId="0" fontId="13" fillId="6" borderId="4" xfId="1" applyFont="1" applyFill="1" applyBorder="1" applyAlignment="1">
      <alignment vertical="center"/>
    </xf>
    <xf numFmtId="0" fontId="16" fillId="3" borderId="3" xfId="5" applyFont="1" applyFill="1" applyBorder="1" applyAlignment="1">
      <alignment vertical="top" wrapText="1"/>
    </xf>
    <xf numFmtId="0" fontId="16" fillId="3" borderId="2" xfId="5" applyFont="1" applyFill="1" applyBorder="1" applyAlignment="1">
      <alignment vertical="top" wrapText="1"/>
    </xf>
    <xf numFmtId="0" fontId="16" fillId="5" borderId="0" xfId="2" applyFont="1" applyFill="1" applyAlignment="1">
      <alignment vertical="center" wrapText="1"/>
    </xf>
    <xf numFmtId="0" fontId="8" fillId="0" borderId="2" xfId="4" applyFill="1" applyBorder="1" applyAlignment="1">
      <alignment vertical="center" wrapText="1"/>
    </xf>
    <xf numFmtId="0" fontId="0" fillId="0" borderId="1" xfId="0" applyBorder="1"/>
    <xf numFmtId="0" fontId="25" fillId="0" borderId="1" xfId="2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9" fillId="3" borderId="1" xfId="1" applyFont="1" applyFill="1" applyBorder="1" applyAlignment="1">
      <alignment horizontal="center" vertical="center"/>
    </xf>
    <xf numFmtId="0" fontId="21" fillId="0" borderId="1" xfId="1" applyFont="1" applyBorder="1" applyAlignment="1">
      <alignment horizontal="left" vertical="top"/>
    </xf>
    <xf numFmtId="0" fontId="1" fillId="3" borderId="1" xfId="1" applyFill="1" applyBorder="1"/>
    <xf numFmtId="0" fontId="19" fillId="3" borderId="1" xfId="1" applyFont="1" applyFill="1" applyBorder="1" applyAlignment="1">
      <alignment horizontal="left" vertical="top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left" indent="3"/>
    </xf>
    <xf numFmtId="0" fontId="16" fillId="3" borderId="2" xfId="5" applyFont="1" applyFill="1" applyBorder="1" applyAlignment="1">
      <alignment horizontal="center" vertical="top" wrapText="1"/>
    </xf>
    <xf numFmtId="0" fontId="16" fillId="7" borderId="2" xfId="2" applyFont="1" applyFill="1" applyBorder="1" applyAlignment="1">
      <alignment horizontal="center" vertical="top"/>
    </xf>
    <xf numFmtId="0" fontId="16" fillId="7" borderId="2" xfId="2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3" borderId="1" xfId="1" applyFill="1" applyBorder="1" applyAlignment="1">
      <alignment horizontal="center"/>
    </xf>
    <xf numFmtId="47" fontId="0" fillId="0" borderId="0" xfId="0" applyNumberFormat="1"/>
    <xf numFmtId="0" fontId="24" fillId="0" borderId="1" xfId="0" applyFont="1" applyBorder="1"/>
    <xf numFmtId="0" fontId="26" fillId="0" borderId="1" xfId="0" applyFont="1" applyBorder="1"/>
    <xf numFmtId="0" fontId="27" fillId="0" borderId="1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3" borderId="1" xfId="1" applyFont="1" applyFill="1" applyBorder="1"/>
    <xf numFmtId="0" fontId="23" fillId="3" borderId="1" xfId="1" applyFont="1" applyFill="1" applyBorder="1" applyAlignment="1">
      <alignment vertical="center"/>
    </xf>
    <xf numFmtId="0" fontId="19" fillId="3" borderId="1" xfId="1" applyFont="1" applyFill="1" applyBorder="1" applyAlignment="1">
      <alignment vertical="center"/>
    </xf>
    <xf numFmtId="0" fontId="0" fillId="12" borderId="0" xfId="0" applyFill="1"/>
    <xf numFmtId="0" fontId="6" fillId="4" borderId="8" xfId="1" applyFont="1" applyFill="1" applyBorder="1" applyAlignment="1">
      <alignment horizontal="left" vertical="top"/>
    </xf>
    <xf numFmtId="0" fontId="9" fillId="0" borderId="0" xfId="5" applyAlignment="1">
      <alignment horizontal="left" vertical="top"/>
    </xf>
    <xf numFmtId="0" fontId="10" fillId="5" borderId="0" xfId="2" applyFont="1" applyFill="1" applyAlignment="1">
      <alignment horizontal="left" vertical="top"/>
    </xf>
    <xf numFmtId="0" fontId="10" fillId="0" borderId="0" xfId="2" applyFont="1" applyAlignment="1">
      <alignment horizontal="left" vertical="top"/>
    </xf>
    <xf numFmtId="0" fontId="25" fillId="0" borderId="1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1" fillId="3" borderId="1" xfId="1" applyFill="1" applyBorder="1" applyAlignment="1">
      <alignment horizontal="left" vertical="top"/>
    </xf>
    <xf numFmtId="0" fontId="1" fillId="0" borderId="0" xfId="1" applyAlignment="1">
      <alignment horizontal="left" vertical="top"/>
    </xf>
    <xf numFmtId="0" fontId="1" fillId="0" borderId="0" xfId="1" applyAlignment="1">
      <alignment horizontal="center"/>
    </xf>
    <xf numFmtId="0" fontId="12" fillId="6" borderId="2" xfId="1" applyFont="1" applyFill="1" applyBorder="1" applyAlignment="1">
      <alignment horizontal="center" vertical="center"/>
    </xf>
    <xf numFmtId="0" fontId="11" fillId="6" borderId="2" xfId="1" applyFont="1" applyFill="1" applyBorder="1" applyAlignment="1">
      <alignment horizontal="center" vertical="center"/>
    </xf>
    <xf numFmtId="0" fontId="10" fillId="5" borderId="0" xfId="2" applyFont="1" applyFill="1" applyAlignment="1">
      <alignment horizontal="left" vertical="top"/>
    </xf>
    <xf numFmtId="0" fontId="10" fillId="5" borderId="0" xfId="2" applyFont="1" applyFill="1" applyAlignment="1">
      <alignment horizontal="center" vertical="center" wrapText="1"/>
    </xf>
    <xf numFmtId="0" fontId="20" fillId="3" borderId="3" xfId="1" applyFont="1" applyFill="1" applyBorder="1" applyAlignment="1">
      <alignment horizontal="center" vertical="top"/>
    </xf>
    <xf numFmtId="0" fontId="20" fillId="3" borderId="2" xfId="1" applyFont="1" applyFill="1" applyBorder="1" applyAlignment="1">
      <alignment horizontal="center" vertical="top"/>
    </xf>
    <xf numFmtId="0" fontId="3" fillId="3" borderId="4" xfId="1" applyFont="1" applyFill="1" applyBorder="1" applyAlignment="1">
      <alignment horizontal="left" vertical="top"/>
    </xf>
    <xf numFmtId="0" fontId="14" fillId="6" borderId="7" xfId="1" applyFont="1" applyFill="1" applyBorder="1" applyAlignment="1">
      <alignment horizontal="center" vertical="center"/>
    </xf>
    <xf numFmtId="0" fontId="13" fillId="6" borderId="6" xfId="1" applyFont="1" applyFill="1" applyBorder="1" applyAlignment="1">
      <alignment horizontal="center" vertical="center"/>
    </xf>
    <xf numFmtId="0" fontId="13" fillId="6" borderId="5" xfId="1" applyFont="1" applyFill="1" applyBorder="1" applyAlignment="1">
      <alignment horizontal="center" vertical="center"/>
    </xf>
    <xf numFmtId="0" fontId="13" fillId="6" borderId="4" xfId="1" applyFont="1" applyFill="1" applyBorder="1" applyAlignment="1">
      <alignment horizontal="center" vertical="center"/>
    </xf>
    <xf numFmtId="0" fontId="0" fillId="11" borderId="0" xfId="0" applyFill="1" applyAlignment="1">
      <alignment horizontal="left" vertical="top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left"/>
    </xf>
  </cellXfs>
  <cellStyles count="7">
    <cellStyle name="Hyperlink" xfId="4" builtinId="8"/>
    <cellStyle name="Normal" xfId="0" builtinId="0"/>
    <cellStyle name="Normal 2" xfId="1" xr:uid="{DD241DC5-F859-480B-8A42-10173D068B48}"/>
    <cellStyle name="Normal_Vietnam_Salesman_Incentice.xls" xfId="2" xr:uid="{D0B17D37-2945-453F-B9B1-B0A3E2071672}"/>
    <cellStyle name="常规 2" xfId="3" xr:uid="{4DAFDE3F-C072-4411-B296-4B2DA2FFA7F8}"/>
    <cellStyle name="常规 5" xfId="5" xr:uid="{48E6750B-4D09-402C-AA89-3C5AB47FD510}"/>
    <cellStyle name="超链接 2" xfId="6" xr:uid="{4FA66F1F-DAA7-4BB6-8413-AEC12868D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LIMS&#31995;&#32479;\&#39033;&#30446;&#23454;&#26045;&#26041;&#26696;\&#32452;&#32455;&#23618;&#32423;&#22522;&#30784;&#25968;&#25454;\20210426%20&#35843;&#25972;&#29256;\5.LIMS&#31995;&#32479;&#32452;&#32455;&#23618;&#32423;&#26631;&#20934;&#21270;&#25968;&#25454;&#34920;20210425(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38598;&#22242;&#24037;&#20316;/LIMS/LIMS-20180114/&#20202;&#22120;&#35774;&#22791;/&#20202;&#22120;&#32479;&#35745;&#27719;&#24635;-20180125-&#37038;&#20214;&#21457;&#36865;-&#21547;&#25509;&#21475;&#25968;&#37327;&#32479;&#35745;-&#24037;&#20316;&#31449;&#23454;&#26045;&#25968;&#37327;.xlsx" TargetMode="External"/><Relationship Id="rId1" Type="http://schemas.openxmlformats.org/officeDocument/2006/relationships/externalLinkPath" Target="/&#38598;&#22242;&#24037;&#20316;/LIMS/LIMS-20180114/&#20202;&#22120;&#35774;&#22791;/&#20202;&#22120;&#32479;&#35745;&#27719;&#24635;-20180125-&#37038;&#20214;&#21457;&#36865;-&#21547;&#25509;&#21475;&#25968;&#37327;&#32479;&#35745;-&#24037;&#20316;&#31449;&#23454;&#26045;&#25968;&#37327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%20&#24037;&#20316;&#25991;&#20214;/LIMS/&#20202;&#22120;&#32479;&#35745;&#27719;&#24635;-20180125-&#37038;&#20214;&#21457;&#36865;.xlsx" TargetMode="External"/><Relationship Id="rId1" Type="http://schemas.openxmlformats.org/officeDocument/2006/relationships/externalLinkPath" Target="/1%20&#24037;&#20316;&#25991;&#20214;/LIMS/&#20202;&#22120;&#32479;&#35745;&#27719;&#24635;-20180125-&#37038;&#20214;&#21457;&#3686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组织层级标准化表（国家）"/>
      <sheetName val="组织层级标准化表（品管部）"/>
      <sheetName val="组织层级标准化表（生产）"/>
      <sheetName val="组织层级标准化表（其他部门）"/>
      <sheetName val="检验组明细"/>
      <sheetName val="A-I基础数据"/>
      <sheetName val="N-S基础数据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汇总"/>
      <sheetName val="统计"/>
      <sheetName val="参考表"/>
      <sheetName val="大中类分类规则"/>
      <sheetName val="工作站(LIMS需求)"/>
      <sheetName val="数据接口（LIMS需求）"/>
      <sheetName val="上海企业群"/>
      <sheetName val="Sheet1"/>
      <sheetName val="恒温恒湿箱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汇总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6307-D26A-4807-95BE-F4EFA70F227A}">
  <sheetPr codeName="Sheet1" filterMode="1">
    <tabColor rgb="FF92D050"/>
  </sheetPr>
  <dimension ref="A1:P282"/>
  <sheetViews>
    <sheetView tabSelected="1" zoomScale="70" zoomScaleNormal="70" workbookViewId="0">
      <selection activeCell="I286" sqref="I286"/>
    </sheetView>
  </sheetViews>
  <sheetFormatPr defaultColWidth="8.625" defaultRowHeight="13.5" customHeight="1"/>
  <cols>
    <col min="1" max="1" width="20.875" style="1" customWidth="1"/>
    <col min="2" max="2" width="40.625" style="1" customWidth="1"/>
    <col min="3" max="3" width="23" style="1" customWidth="1"/>
    <col min="4" max="4" width="15.25" style="1" customWidth="1"/>
    <col min="5" max="5" width="20.25" style="29" customWidth="1"/>
    <col min="6" max="6" width="13.5" style="1" customWidth="1"/>
    <col min="7" max="7" width="44.875" style="89" customWidth="1"/>
    <col min="8" max="8" width="30.875" style="1" customWidth="1"/>
    <col min="9" max="9" width="30.375" style="1" customWidth="1"/>
    <col min="10" max="10" width="52.5" style="1" customWidth="1"/>
    <col min="11" max="11" width="21.625" style="1" hidden="1" customWidth="1"/>
    <col min="12" max="16384" width="8.625" style="1"/>
  </cols>
  <sheetData>
    <row r="1" spans="1:12" s="11" customFormat="1" ht="25.5">
      <c r="A1" s="52" t="s">
        <v>0</v>
      </c>
      <c r="B1" s="53"/>
      <c r="C1" s="53"/>
      <c r="D1" s="53"/>
      <c r="E1" s="26"/>
      <c r="F1" s="12"/>
      <c r="G1" s="83"/>
    </row>
    <row r="2" spans="1:12" s="3" customFormat="1" ht="15" customHeight="1">
      <c r="A2" s="10" t="s">
        <v>1</v>
      </c>
      <c r="B2" s="40" t="s">
        <v>2</v>
      </c>
      <c r="C2" s="41"/>
      <c r="D2" s="41"/>
      <c r="E2" s="27"/>
      <c r="F2" s="27"/>
      <c r="G2" s="84"/>
      <c r="H2" s="37"/>
      <c r="I2" s="37"/>
    </row>
    <row r="3" spans="1:12" s="3" customFormat="1" ht="114" customHeight="1">
      <c r="A3" s="5" t="s">
        <v>3</v>
      </c>
      <c r="B3" s="54" t="s">
        <v>4</v>
      </c>
      <c r="C3" s="55"/>
      <c r="D3" s="55"/>
      <c r="E3" s="68"/>
      <c r="F3" s="9"/>
      <c r="G3" s="84"/>
      <c r="H3" s="56"/>
      <c r="I3" s="38"/>
    </row>
    <row r="4" spans="1:12" s="3" customFormat="1" ht="15" customHeight="1">
      <c r="A4" s="5"/>
      <c r="B4" s="8" t="s">
        <v>5</v>
      </c>
      <c r="C4" s="8"/>
      <c r="D4" s="8" t="s">
        <v>6</v>
      </c>
      <c r="E4" s="28" t="s">
        <v>7</v>
      </c>
      <c r="F4" s="7"/>
      <c r="G4" s="84"/>
      <c r="H4" s="38"/>
      <c r="I4" s="38"/>
    </row>
    <row r="5" spans="1:12" s="3" customFormat="1" ht="21" customHeight="1">
      <c r="A5" s="6" t="s">
        <v>8</v>
      </c>
      <c r="B5" s="42" t="s">
        <v>9</v>
      </c>
      <c r="C5" s="43"/>
      <c r="D5" s="43"/>
      <c r="E5" s="69"/>
      <c r="F5" s="43"/>
      <c r="G5" s="84"/>
      <c r="H5" s="37"/>
      <c r="I5" s="37"/>
    </row>
    <row r="6" spans="1:12" s="3" customFormat="1" ht="15" customHeight="1">
      <c r="A6" s="5" t="s">
        <v>10</v>
      </c>
      <c r="B6" s="44" t="s">
        <v>11</v>
      </c>
      <c r="C6" s="45"/>
      <c r="D6" s="45"/>
      <c r="E6" s="70"/>
      <c r="F6" s="45"/>
      <c r="G6" s="84"/>
      <c r="H6" s="37"/>
      <c r="I6" s="37"/>
    </row>
    <row r="7" spans="1:12" s="3" customFormat="1" ht="15" customHeight="1">
      <c r="A7" s="5" t="s">
        <v>12</v>
      </c>
      <c r="B7" s="44" t="s">
        <v>13</v>
      </c>
      <c r="C7" s="45"/>
      <c r="D7" s="45"/>
      <c r="E7" s="70"/>
      <c r="F7" s="45"/>
      <c r="G7" s="84"/>
      <c r="H7" s="37"/>
      <c r="I7" s="37"/>
    </row>
    <row r="8" spans="1:12" s="3" customFormat="1" ht="15" customHeight="1">
      <c r="A8" s="5" t="s">
        <v>14</v>
      </c>
      <c r="B8" s="46"/>
      <c r="C8" s="47"/>
      <c r="D8" s="47"/>
      <c r="E8" s="30"/>
      <c r="F8" s="47"/>
      <c r="G8" s="84"/>
      <c r="H8" s="37"/>
      <c r="I8" s="37"/>
    </row>
    <row r="9" spans="1:12" s="3" customFormat="1" ht="12.75">
      <c r="A9" s="5" t="s">
        <v>15</v>
      </c>
      <c r="B9" s="44" t="s">
        <v>16</v>
      </c>
      <c r="C9" s="45"/>
      <c r="D9" s="45"/>
      <c r="E9" s="70"/>
      <c r="F9" s="45"/>
      <c r="G9" s="84"/>
      <c r="H9" s="37"/>
      <c r="I9" s="37"/>
    </row>
    <row r="10" spans="1:12" s="32" customFormat="1" ht="72" customHeight="1">
      <c r="A10" s="33" t="s">
        <v>17</v>
      </c>
      <c r="B10" s="48"/>
      <c r="C10" s="57"/>
      <c r="D10" s="57"/>
      <c r="E10" s="51"/>
      <c r="F10" s="31"/>
      <c r="G10" s="85"/>
      <c r="H10" s="39"/>
      <c r="I10" s="39"/>
    </row>
    <row r="11" spans="1:12" s="3" customFormat="1" ht="15" customHeight="1">
      <c r="A11" s="98" t="s">
        <v>18</v>
      </c>
      <c r="B11" s="99"/>
      <c r="C11" s="99"/>
      <c r="D11" s="99"/>
      <c r="E11" s="99"/>
      <c r="F11" s="25"/>
      <c r="G11" s="84"/>
      <c r="H11" s="37"/>
      <c r="I11" s="37"/>
    </row>
    <row r="12" spans="1:12" s="3" customFormat="1" ht="15" customHeight="1">
      <c r="A12" s="100"/>
      <c r="B12" s="101"/>
      <c r="C12" s="101"/>
      <c r="D12" s="101"/>
      <c r="E12" s="101"/>
      <c r="F12" s="26"/>
      <c r="G12" s="84"/>
      <c r="H12" s="37"/>
      <c r="I12" s="37"/>
    </row>
    <row r="13" spans="1:12" s="3" customFormat="1" ht="15" customHeight="1">
      <c r="A13" s="91"/>
      <c r="B13" s="92"/>
      <c r="C13" s="92"/>
      <c r="D13" s="92"/>
      <c r="E13" s="92"/>
      <c r="F13" s="4"/>
      <c r="G13" s="93"/>
      <c r="H13" s="94"/>
      <c r="I13" s="37"/>
    </row>
    <row r="14" spans="1:12" ht="16.5">
      <c r="A14" s="18" t="s">
        <v>19</v>
      </c>
      <c r="B14" s="95" t="s">
        <v>20</v>
      </c>
      <c r="C14" s="96"/>
      <c r="D14" s="96"/>
      <c r="E14" s="96"/>
      <c r="F14" s="96"/>
      <c r="G14" s="97"/>
      <c r="H14" s="36" t="s">
        <v>21</v>
      </c>
      <c r="I14" s="36"/>
      <c r="J14" s="34"/>
    </row>
    <row r="15" spans="1:12" ht="16.5">
      <c r="A15" s="19" t="s">
        <v>22</v>
      </c>
      <c r="B15" s="19" t="s">
        <v>23</v>
      </c>
      <c r="C15" s="19" t="s">
        <v>24</v>
      </c>
      <c r="D15" s="19" t="s">
        <v>25</v>
      </c>
      <c r="E15" s="19" t="s">
        <v>26</v>
      </c>
      <c r="F15" s="20" t="s">
        <v>27</v>
      </c>
      <c r="G15" s="82" t="s">
        <v>28</v>
      </c>
      <c r="H15" s="20" t="s">
        <v>29</v>
      </c>
      <c r="I15" s="20" t="s">
        <v>30</v>
      </c>
      <c r="J15" s="20" t="s">
        <v>31</v>
      </c>
    </row>
    <row r="16" spans="1:12" ht="16.5">
      <c r="A16" s="15" t="s">
        <v>32</v>
      </c>
      <c r="B16" s="58" t="s">
        <v>33</v>
      </c>
      <c r="C16" s="58" t="s">
        <v>34</v>
      </c>
      <c r="D16" s="58" t="str">
        <f>LEFT(C16,FIND("(",C16)-1)</f>
        <v>varchar</v>
      </c>
      <c r="E16" s="59" t="str">
        <f>MID(C16,FIND("(",C16),5)</f>
        <v>(10)</v>
      </c>
      <c r="F16" s="60" t="s">
        <v>21</v>
      </c>
      <c r="G16" s="86" t="s">
        <v>35</v>
      </c>
      <c r="H16" s="60" t="s">
        <v>21</v>
      </c>
      <c r="I16">
        <v>20</v>
      </c>
      <c r="J16" s="60"/>
      <c r="K16" s="1" t="str">
        <f>""""&amp;B16&amp;""""&amp;":"&amp;""""&amp;I16&amp;""""&amp;","</f>
        <v>"ID_NUMERIC":"20",</v>
      </c>
      <c r="L16" s="1" t="str">
        <f>""</f>
        <v/>
      </c>
    </row>
    <row r="17" spans="1:11" ht="16.5" hidden="1">
      <c r="A17" s="15" t="s">
        <v>32</v>
      </c>
      <c r="B17" s="58" t="s">
        <v>36</v>
      </c>
      <c r="C17" s="58" t="s">
        <v>37</v>
      </c>
      <c r="D17" s="58" t="str">
        <f t="shared" ref="D17:D80" si="0">LEFT(C17,FIND("(",C17)-1)</f>
        <v>nvarchar</v>
      </c>
      <c r="E17" s="59" t="str">
        <f t="shared" ref="E17:E80" si="1">MID(C17,FIND("(",C17),5)</f>
        <v>(30)</v>
      </c>
      <c r="F17" s="60"/>
      <c r="G17" s="60"/>
      <c r="H17" s="60" t="s">
        <v>38</v>
      </c>
      <c r="I17" t="s">
        <v>39</v>
      </c>
      <c r="J17" s="60"/>
      <c r="K17" s="1" t="str">
        <f t="shared" ref="K17:K80" si="2">""""&amp;B17&amp;""""&amp;":"&amp;""""&amp;I17&amp;""""</f>
        <v>"ID_TEXT":"SM-28-AUG-2024-000018"</v>
      </c>
    </row>
    <row r="18" spans="1:11" ht="13.9" hidden="1" customHeight="1">
      <c r="A18" s="15" t="s">
        <v>32</v>
      </c>
      <c r="B18" s="58" t="s">
        <v>40</v>
      </c>
      <c r="C18" s="58" t="s">
        <v>41</v>
      </c>
      <c r="D18" s="58" t="str">
        <f t="shared" si="0"/>
        <v>nvarchar</v>
      </c>
      <c r="E18" s="59" t="str">
        <f t="shared" si="1"/>
        <v>(20)</v>
      </c>
      <c r="F18" s="60"/>
      <c r="G18" s="60"/>
      <c r="H18" s="60" t="s">
        <v>38</v>
      </c>
      <c r="I18"/>
      <c r="J18" s="60"/>
      <c r="K18" s="1" t="str">
        <f t="shared" si="2"/>
        <v>"JOB_NAME":""</v>
      </c>
    </row>
    <row r="19" spans="1:11" ht="16.5" hidden="1">
      <c r="A19" s="15" t="s">
        <v>32</v>
      </c>
      <c r="B19" s="58" t="s">
        <v>42</v>
      </c>
      <c r="C19" s="58" t="s">
        <v>43</v>
      </c>
      <c r="D19" s="58" t="str">
        <f t="shared" si="0"/>
        <v>nvarchar</v>
      </c>
      <c r="E19" s="59" t="str">
        <f t="shared" si="1"/>
        <v>(1)</v>
      </c>
      <c r="F19" s="60"/>
      <c r="G19" s="86" t="s">
        <v>44</v>
      </c>
      <c r="H19" s="60" t="s">
        <v>38</v>
      </c>
      <c r="I19" t="s">
        <v>45</v>
      </c>
      <c r="J19" s="60"/>
      <c r="K19" s="1" t="str">
        <f>""""&amp;B19&amp;""""&amp;":"&amp;""""&amp;I19&amp;""""&amp;","</f>
        <v>"STATUS":"A",</v>
      </c>
    </row>
    <row r="20" spans="1:11" ht="16.5" hidden="1">
      <c r="A20" s="15" t="s">
        <v>32</v>
      </c>
      <c r="B20" s="58" t="s">
        <v>46</v>
      </c>
      <c r="C20" s="58" t="s">
        <v>43</v>
      </c>
      <c r="D20" s="58" t="str">
        <f t="shared" si="0"/>
        <v>nvarchar</v>
      </c>
      <c r="E20" s="59" t="str">
        <f t="shared" si="1"/>
        <v>(1)</v>
      </c>
      <c r="F20" s="60"/>
      <c r="G20" s="60"/>
      <c r="H20" s="60" t="s">
        <v>38</v>
      </c>
      <c r="I20" t="s">
        <v>47</v>
      </c>
      <c r="J20" s="60"/>
      <c r="K20" s="1" t="str">
        <f t="shared" si="2"/>
        <v>"OLD_STATUS":"C"</v>
      </c>
    </row>
    <row r="21" spans="1:11" ht="16.5" hidden="1">
      <c r="A21" s="15" t="s">
        <v>32</v>
      </c>
      <c r="B21" s="58" t="s">
        <v>48</v>
      </c>
      <c r="C21" s="58" t="s">
        <v>49</v>
      </c>
      <c r="D21" s="58" t="s">
        <v>50</v>
      </c>
      <c r="E21" s="59" t="str">
        <f t="shared" si="1"/>
        <v>(1)</v>
      </c>
      <c r="F21" s="60"/>
      <c r="G21" s="60"/>
      <c r="H21" s="60" t="s">
        <v>38</v>
      </c>
      <c r="I21" t="s">
        <v>51</v>
      </c>
      <c r="J21" s="60"/>
      <c r="K21" s="1" t="str">
        <f t="shared" si="2"/>
        <v>"COMPARED":"F"</v>
      </c>
    </row>
    <row r="22" spans="1:11" ht="16.5">
      <c r="A22" s="15" t="s">
        <v>32</v>
      </c>
      <c r="B22" s="58" t="s">
        <v>52</v>
      </c>
      <c r="C22" s="58" t="s">
        <v>49</v>
      </c>
      <c r="D22" s="58" t="s">
        <v>50</v>
      </c>
      <c r="E22" s="59" t="str">
        <f t="shared" si="1"/>
        <v>(1)</v>
      </c>
      <c r="F22" s="60"/>
      <c r="G22" s="86" t="s">
        <v>53</v>
      </c>
      <c r="H22" s="60" t="s">
        <v>21</v>
      </c>
      <c r="I22" t="b">
        <v>0</v>
      </c>
      <c r="J22" s="60"/>
      <c r="K22" s="1" t="str">
        <f t="shared" ref="K22:K24" si="3">""""&amp;B22&amp;""""&amp;":"&amp;""""&amp;I22&amp;""""&amp;","</f>
        <v>"ON_SPEC":"FALSE",</v>
      </c>
    </row>
    <row r="23" spans="1:11" ht="16.5">
      <c r="A23" s="15" t="s">
        <v>32</v>
      </c>
      <c r="B23" s="58" t="s">
        <v>54</v>
      </c>
      <c r="C23" s="58" t="s">
        <v>49</v>
      </c>
      <c r="D23" s="58" t="s">
        <v>50</v>
      </c>
      <c r="E23" s="59" t="str">
        <f t="shared" si="1"/>
        <v>(1)</v>
      </c>
      <c r="F23" s="60"/>
      <c r="G23" s="86" t="s">
        <v>55</v>
      </c>
      <c r="H23" s="60" t="s">
        <v>21</v>
      </c>
      <c r="I23" t="b">
        <v>0</v>
      </c>
      <c r="J23" s="60"/>
      <c r="K23" s="1" t="str">
        <f t="shared" si="3"/>
        <v>"RE_SAMPLED":"FALSE",</v>
      </c>
    </row>
    <row r="24" spans="1:11" ht="16.5">
      <c r="A24" s="15" t="s">
        <v>32</v>
      </c>
      <c r="B24" s="58" t="s">
        <v>56</v>
      </c>
      <c r="C24" s="58" t="s">
        <v>34</v>
      </c>
      <c r="D24" s="58" t="str">
        <f t="shared" si="0"/>
        <v>varchar</v>
      </c>
      <c r="E24" s="59" t="str">
        <f t="shared" si="1"/>
        <v>(10)</v>
      </c>
      <c r="F24" s="60"/>
      <c r="G24" s="86" t="s">
        <v>57</v>
      </c>
      <c r="H24" s="60" t="s">
        <v>21</v>
      </c>
      <c r="I24">
        <v>0</v>
      </c>
      <c r="J24" s="60"/>
      <c r="K24" s="1" t="str">
        <f t="shared" si="3"/>
        <v>"ORIGINAL_SAMPLE":"0",</v>
      </c>
    </row>
    <row r="25" spans="1:11" ht="16.5" hidden="1">
      <c r="A25" s="15" t="s">
        <v>32</v>
      </c>
      <c r="B25" s="58" t="s">
        <v>58</v>
      </c>
      <c r="C25" s="58" t="s">
        <v>59</v>
      </c>
      <c r="D25" s="58" t="str">
        <f>C25</f>
        <v>int</v>
      </c>
      <c r="E25" s="59"/>
      <c r="F25" s="60"/>
      <c r="G25" s="60"/>
      <c r="H25" s="60" t="s">
        <v>38</v>
      </c>
      <c r="I25">
        <v>0</v>
      </c>
      <c r="J25" s="60"/>
      <c r="K25" s="1" t="str">
        <f t="shared" si="2"/>
        <v>"LINK_NUMBER":"0"</v>
      </c>
    </row>
    <row r="26" spans="1:11" ht="16.5" hidden="1">
      <c r="A26" s="15" t="s">
        <v>32</v>
      </c>
      <c r="B26" s="58" t="s">
        <v>60</v>
      </c>
      <c r="C26" s="58" t="s">
        <v>61</v>
      </c>
      <c r="D26" s="58" t="str">
        <f>C26</f>
        <v>datetime</v>
      </c>
      <c r="E26" s="59"/>
      <c r="F26" s="60"/>
      <c r="G26" s="86" t="s">
        <v>62</v>
      </c>
      <c r="H26" s="60" t="s">
        <v>38</v>
      </c>
      <c r="I26" s="73">
        <v>45532.135233020832</v>
      </c>
      <c r="J26" s="60"/>
      <c r="K26" s="1" t="str">
        <f t="shared" ref="K26:K27" si="4">""""&amp;B26&amp;""""&amp;":"&amp;""""&amp;I26&amp;""""&amp;","</f>
        <v>"LOGIN_DATE":"45532.1352330208",</v>
      </c>
    </row>
    <row r="27" spans="1:11" ht="16.5" hidden="1">
      <c r="A27" s="15" t="s">
        <v>32</v>
      </c>
      <c r="B27" s="58" t="s">
        <v>63</v>
      </c>
      <c r="C27" s="58" t="s">
        <v>64</v>
      </c>
      <c r="D27" s="58" t="str">
        <f t="shared" si="0"/>
        <v>nvarchar</v>
      </c>
      <c r="E27" s="59" t="str">
        <f t="shared" si="1"/>
        <v>(10)</v>
      </c>
      <c r="F27" s="60"/>
      <c r="G27" s="86" t="s">
        <v>65</v>
      </c>
      <c r="H27" s="60" t="s">
        <v>38</v>
      </c>
      <c r="I27" t="s">
        <v>66</v>
      </c>
      <c r="J27" s="60"/>
      <c r="K27" s="1" t="str">
        <f t="shared" si="4"/>
        <v>"LOGIN_BY":"SYSTEM",</v>
      </c>
    </row>
    <row r="28" spans="1:11" ht="16.5" hidden="1">
      <c r="A28" s="15" t="s">
        <v>32</v>
      </c>
      <c r="B28" s="58" t="s">
        <v>67</v>
      </c>
      <c r="C28" s="58" t="s">
        <v>61</v>
      </c>
      <c r="D28" s="58" t="str">
        <f t="shared" ref="D28:D30" si="5">C28</f>
        <v>datetime</v>
      </c>
      <c r="E28" s="59"/>
      <c r="F28" s="60"/>
      <c r="G28" s="60"/>
      <c r="H28" s="60" t="s">
        <v>38</v>
      </c>
      <c r="I28" s="73">
        <v>45532.135858217589</v>
      </c>
      <c r="J28" s="60"/>
      <c r="K28" s="1" t="str">
        <f t="shared" si="2"/>
        <v>"SAMPLED_DATE":"45532.1358582176"</v>
      </c>
    </row>
    <row r="29" spans="1:11" ht="16.5" hidden="1">
      <c r="A29" s="15" t="s">
        <v>32</v>
      </c>
      <c r="B29" s="58" t="s">
        <v>68</v>
      </c>
      <c r="C29" s="58" t="s">
        <v>61</v>
      </c>
      <c r="D29" s="58" t="str">
        <f t="shared" si="5"/>
        <v>datetime</v>
      </c>
      <c r="E29" s="59"/>
      <c r="F29" s="60"/>
      <c r="G29" s="60"/>
      <c r="H29" s="60" t="s">
        <v>38</v>
      </c>
      <c r="I29" s="73">
        <v>45532.135890358797</v>
      </c>
      <c r="J29" s="60"/>
      <c r="K29" s="1" t="str">
        <f t="shared" si="2"/>
        <v>"RECD_DATE":"45532.1358903588"</v>
      </c>
    </row>
    <row r="30" spans="1:11" ht="16.5" hidden="1">
      <c r="A30" s="15" t="s">
        <v>32</v>
      </c>
      <c r="B30" s="58" t="s">
        <v>69</v>
      </c>
      <c r="C30" s="58" t="s">
        <v>61</v>
      </c>
      <c r="D30" s="58" t="str">
        <f t="shared" si="5"/>
        <v>datetime</v>
      </c>
      <c r="E30" s="59"/>
      <c r="F30" s="60"/>
      <c r="G30" s="60"/>
      <c r="H30" s="60" t="s">
        <v>38</v>
      </c>
      <c r="I30" s="73">
        <v>45532.135889849538</v>
      </c>
      <c r="J30" s="60"/>
      <c r="K30" s="1" t="str">
        <f t="shared" si="2"/>
        <v>"DATE_STARTED":"45532.1358898495"</v>
      </c>
    </row>
    <row r="31" spans="1:11" ht="16.5" hidden="1">
      <c r="A31" s="15" t="s">
        <v>32</v>
      </c>
      <c r="B31" s="58" t="s">
        <v>70</v>
      </c>
      <c r="C31" s="58" t="s">
        <v>64</v>
      </c>
      <c r="D31" s="58" t="str">
        <f t="shared" si="0"/>
        <v>nvarchar</v>
      </c>
      <c r="E31" s="59" t="str">
        <f t="shared" si="1"/>
        <v>(10)</v>
      </c>
      <c r="F31" s="60"/>
      <c r="G31" s="60"/>
      <c r="H31" s="60" t="s">
        <v>38</v>
      </c>
      <c r="I31" t="s">
        <v>66</v>
      </c>
      <c r="J31" s="60"/>
      <c r="K31" s="1" t="str">
        <f t="shared" si="2"/>
        <v>"STARTER":"SYSTEM"</v>
      </c>
    </row>
    <row r="32" spans="1:11" ht="16.5" hidden="1">
      <c r="A32" s="15" t="s">
        <v>32</v>
      </c>
      <c r="B32" s="58" t="s">
        <v>71</v>
      </c>
      <c r="C32" s="58" t="s">
        <v>61</v>
      </c>
      <c r="D32" s="58" t="str">
        <f t="shared" ref="D32:D33" si="6">C32</f>
        <v>datetime</v>
      </c>
      <c r="E32" s="59"/>
      <c r="F32" s="60"/>
      <c r="G32" s="60"/>
      <c r="H32" s="60" t="s">
        <v>38</v>
      </c>
      <c r="I32" s="73">
        <v>45532.135233252317</v>
      </c>
      <c r="J32" s="60"/>
      <c r="K32" s="1" t="str">
        <f t="shared" si="2"/>
        <v>"DATERESREQ":"45532.1352332523"</v>
      </c>
    </row>
    <row r="33" spans="1:11" ht="16.5" hidden="1">
      <c r="A33" s="15" t="s">
        <v>32</v>
      </c>
      <c r="B33" s="58" t="s">
        <v>72</v>
      </c>
      <c r="C33" s="58" t="s">
        <v>61</v>
      </c>
      <c r="D33" s="58" t="str">
        <f t="shared" si="6"/>
        <v>datetime</v>
      </c>
      <c r="E33" s="59"/>
      <c r="F33" s="60"/>
      <c r="G33" s="86"/>
      <c r="H33" s="60" t="s">
        <v>38</v>
      </c>
      <c r="I33" s="73">
        <v>45532.236456446757</v>
      </c>
      <c r="J33" s="60"/>
      <c r="K33" s="1" t="str">
        <f t="shared" si="2"/>
        <v>"DATE_COMPLETED":"45532.2364564468"</v>
      </c>
    </row>
    <row r="34" spans="1:11" ht="16.5" hidden="1">
      <c r="A34" s="15" t="s">
        <v>32</v>
      </c>
      <c r="B34" s="58" t="s">
        <v>73</v>
      </c>
      <c r="C34" s="58" t="s">
        <v>64</v>
      </c>
      <c r="D34" s="58" t="str">
        <f t="shared" si="0"/>
        <v>nvarchar</v>
      </c>
      <c r="E34" s="59" t="str">
        <f t="shared" si="1"/>
        <v>(10)</v>
      </c>
      <c r="F34" s="60"/>
      <c r="G34" s="86"/>
      <c r="H34" s="60" t="s">
        <v>38</v>
      </c>
      <c r="I34" t="s">
        <v>66</v>
      </c>
      <c r="J34" s="60"/>
      <c r="K34" s="1" t="str">
        <f t="shared" si="2"/>
        <v>"COMPLETER":"SYSTEM"</v>
      </c>
    </row>
    <row r="35" spans="1:11" ht="16.5" hidden="1">
      <c r="A35" s="15" t="s">
        <v>32</v>
      </c>
      <c r="B35" s="58" t="s">
        <v>74</v>
      </c>
      <c r="C35" s="58" t="s">
        <v>61</v>
      </c>
      <c r="D35" s="58" t="str">
        <f t="shared" ref="D35:D36" si="7">C35</f>
        <v>datetime</v>
      </c>
      <c r="E35" s="59"/>
      <c r="F35" s="60"/>
      <c r="G35" s="60"/>
      <c r="H35" s="60" t="s">
        <v>38</v>
      </c>
      <c r="I35" t="s">
        <v>75</v>
      </c>
      <c r="J35" s="60"/>
      <c r="K35" s="1" t="str">
        <f t="shared" si="2"/>
        <v>"DATERESAVAIL":"NULL"</v>
      </c>
    </row>
    <row r="36" spans="1:11" ht="16.5">
      <c r="A36" s="15" t="s">
        <v>32</v>
      </c>
      <c r="B36" s="58" t="s">
        <v>76</v>
      </c>
      <c r="C36" s="58" t="s">
        <v>61</v>
      </c>
      <c r="D36" s="58" t="str">
        <f t="shared" si="7"/>
        <v>datetime</v>
      </c>
      <c r="E36" s="59"/>
      <c r="F36" s="60"/>
      <c r="G36" s="86" t="s">
        <v>77</v>
      </c>
      <c r="H36" s="60" t="s">
        <v>21</v>
      </c>
      <c r="I36" s="73">
        <v>45532.240045335646</v>
      </c>
      <c r="J36" s="60"/>
      <c r="K36" s="1" t="str">
        <f t="shared" ref="K36:K38" si="8">""""&amp;B36&amp;""""&amp;":"&amp;""""&amp;I36&amp;""""&amp;","</f>
        <v>"DATE_AUTHORISED":"45532.2400453356",</v>
      </c>
    </row>
    <row r="37" spans="1:11" ht="16.5">
      <c r="A37" s="15" t="s">
        <v>32</v>
      </c>
      <c r="B37" s="58" t="s">
        <v>78</v>
      </c>
      <c r="C37" s="58" t="s">
        <v>64</v>
      </c>
      <c r="D37" s="58" t="str">
        <f t="shared" si="0"/>
        <v>nvarchar</v>
      </c>
      <c r="E37" s="59" t="str">
        <f t="shared" si="1"/>
        <v>(10)</v>
      </c>
      <c r="F37" s="60"/>
      <c r="G37" s="86" t="s">
        <v>79</v>
      </c>
      <c r="H37" s="60" t="s">
        <v>21</v>
      </c>
      <c r="I37" t="s">
        <v>66</v>
      </c>
      <c r="J37" s="60"/>
      <c r="K37" s="1" t="str">
        <f t="shared" si="8"/>
        <v>"AUTHORISER":"SYSTEM",</v>
      </c>
    </row>
    <row r="38" spans="1:11" ht="16.5">
      <c r="A38" s="15" t="s">
        <v>32</v>
      </c>
      <c r="B38" s="58" t="s">
        <v>80</v>
      </c>
      <c r="C38" s="58" t="s">
        <v>81</v>
      </c>
      <c r="D38" s="58" t="str">
        <f t="shared" si="0"/>
        <v>nvarchar</v>
      </c>
      <c r="E38" s="59" t="str">
        <f t="shared" si="1"/>
        <v>(234)</v>
      </c>
      <c r="F38" s="60"/>
      <c r="G38" s="86" t="s">
        <v>82</v>
      </c>
      <c r="H38" s="60" t="s">
        <v>21</v>
      </c>
      <c r="I38" t="s">
        <v>83</v>
      </c>
      <c r="J38" s="60"/>
      <c r="K38" s="1" t="str">
        <f t="shared" si="8"/>
        <v>"AUTHORISATION_NOTES":"Automatically authorised",</v>
      </c>
    </row>
    <row r="39" spans="1:11" ht="16.5" hidden="1">
      <c r="A39" s="15" t="s">
        <v>32</v>
      </c>
      <c r="B39" s="58" t="s">
        <v>84</v>
      </c>
      <c r="C39" s="58" t="s">
        <v>64</v>
      </c>
      <c r="D39" s="58" t="str">
        <f t="shared" si="0"/>
        <v>nvarchar</v>
      </c>
      <c r="E39" s="59" t="str">
        <f t="shared" si="1"/>
        <v>(10)</v>
      </c>
      <c r="F39" s="60"/>
      <c r="G39" s="60"/>
      <c r="H39" s="60" t="s">
        <v>38</v>
      </c>
      <c r="I39" t="s">
        <v>85</v>
      </c>
      <c r="J39" s="60"/>
      <c r="K39" s="1" t="str">
        <f t="shared" si="2"/>
        <v>"PRODUCT":"TEST001"</v>
      </c>
    </row>
    <row r="40" spans="1:11" ht="16.5" hidden="1">
      <c r="A40" s="15" t="s">
        <v>32</v>
      </c>
      <c r="B40" s="58" t="s">
        <v>86</v>
      </c>
      <c r="C40" s="58" t="s">
        <v>34</v>
      </c>
      <c r="D40" s="58" t="str">
        <f t="shared" si="0"/>
        <v>varchar</v>
      </c>
      <c r="E40" s="59" t="str">
        <f t="shared" si="1"/>
        <v>(10)</v>
      </c>
      <c r="F40" s="60"/>
      <c r="G40" s="60"/>
      <c r="H40" s="60" t="s">
        <v>38</v>
      </c>
      <c r="I40">
        <v>1</v>
      </c>
      <c r="J40" s="60"/>
      <c r="K40" s="1" t="str">
        <f t="shared" si="2"/>
        <v>"PRODUCT_VERSION":"1"</v>
      </c>
    </row>
    <row r="41" spans="1:11" ht="16.5" hidden="1">
      <c r="A41" s="15" t="s">
        <v>32</v>
      </c>
      <c r="B41" s="58" t="s">
        <v>87</v>
      </c>
      <c r="C41" s="58" t="s">
        <v>64</v>
      </c>
      <c r="D41" s="58" t="str">
        <f t="shared" si="0"/>
        <v>nvarchar</v>
      </c>
      <c r="E41" s="59" t="str">
        <f t="shared" si="1"/>
        <v>(10)</v>
      </c>
      <c r="F41" s="60"/>
      <c r="G41" s="60"/>
      <c r="H41" s="60" t="s">
        <v>38</v>
      </c>
      <c r="I41"/>
      <c r="J41" s="60"/>
      <c r="K41" s="1" t="str">
        <f t="shared" si="2"/>
        <v>"GRADE_CODE":""</v>
      </c>
    </row>
    <row r="42" spans="1:11" ht="16.5" hidden="1">
      <c r="A42" s="15" t="s">
        <v>32</v>
      </c>
      <c r="B42" s="58" t="s">
        <v>88</v>
      </c>
      <c r="C42" s="58" t="s">
        <v>59</v>
      </c>
      <c r="D42" s="58" t="str">
        <f>C42</f>
        <v>int</v>
      </c>
      <c r="E42" s="59"/>
      <c r="F42" s="60"/>
      <c r="G42" s="60"/>
      <c r="H42" s="60" t="s">
        <v>38</v>
      </c>
      <c r="I42">
        <v>0</v>
      </c>
      <c r="J42" s="60"/>
      <c r="K42" s="1" t="str">
        <f t="shared" si="2"/>
        <v>"TESTS_TO_DO":"0"</v>
      </c>
    </row>
    <row r="43" spans="1:11" ht="16.5" hidden="1">
      <c r="A43" s="15" t="s">
        <v>32</v>
      </c>
      <c r="B43" s="58" t="s">
        <v>89</v>
      </c>
      <c r="C43" s="58" t="s">
        <v>49</v>
      </c>
      <c r="D43" s="58" t="s">
        <v>50</v>
      </c>
      <c r="E43" s="59" t="str">
        <f t="shared" si="1"/>
        <v>(1)</v>
      </c>
      <c r="F43" s="60"/>
      <c r="G43" s="60"/>
      <c r="H43" s="60" t="s">
        <v>38</v>
      </c>
      <c r="I43" t="s">
        <v>51</v>
      </c>
      <c r="J43" s="60"/>
      <c r="K43" s="1" t="str">
        <f t="shared" si="2"/>
        <v>"ON_WKS":"F"</v>
      </c>
    </row>
    <row r="44" spans="1:11" ht="16.5" hidden="1">
      <c r="A44" s="15" t="s">
        <v>32</v>
      </c>
      <c r="B44" s="58" t="s">
        <v>90</v>
      </c>
      <c r="C44" s="58" t="s">
        <v>64</v>
      </c>
      <c r="D44" s="58" t="str">
        <f t="shared" si="0"/>
        <v>nvarchar</v>
      </c>
      <c r="E44" s="59" t="str">
        <f t="shared" si="1"/>
        <v>(10)</v>
      </c>
      <c r="F44" s="60"/>
      <c r="G44" s="60"/>
      <c r="H44" s="60" t="s">
        <v>38</v>
      </c>
      <c r="I44"/>
      <c r="J44" s="60"/>
      <c r="K44" s="1" t="str">
        <f t="shared" si="2"/>
        <v>"PROJECT_ID":""</v>
      </c>
    </row>
    <row r="45" spans="1:11" ht="16.5" hidden="1">
      <c r="A45" s="15" t="s">
        <v>32</v>
      </c>
      <c r="B45" s="58" t="s">
        <v>91</v>
      </c>
      <c r="C45" s="58" t="s">
        <v>64</v>
      </c>
      <c r="D45" s="58" t="str">
        <f t="shared" si="0"/>
        <v>nvarchar</v>
      </c>
      <c r="E45" s="59" t="str">
        <f t="shared" si="1"/>
        <v>(10)</v>
      </c>
      <c r="F45" s="60"/>
      <c r="G45" s="60"/>
      <c r="H45" s="60" t="s">
        <v>38</v>
      </c>
      <c r="I45">
        <v>123</v>
      </c>
      <c r="J45" s="60"/>
      <c r="K45" s="1" t="str">
        <f t="shared" si="2"/>
        <v>"BATCH_NAME":"123"</v>
      </c>
    </row>
    <row r="46" spans="1:11" ht="16.5" hidden="1">
      <c r="A46" s="15" t="s">
        <v>32</v>
      </c>
      <c r="B46" s="58" t="s">
        <v>92</v>
      </c>
      <c r="C46" s="58" t="s">
        <v>64</v>
      </c>
      <c r="D46" s="58" t="str">
        <f t="shared" si="0"/>
        <v>nvarchar</v>
      </c>
      <c r="E46" s="59" t="str">
        <f t="shared" si="1"/>
        <v>(10)</v>
      </c>
      <c r="F46" s="60"/>
      <c r="G46" s="60"/>
      <c r="H46" s="60" t="s">
        <v>38</v>
      </c>
      <c r="I46"/>
      <c r="J46" s="60"/>
      <c r="K46" s="1" t="str">
        <f t="shared" si="2"/>
        <v>"SAMPLING_POINT":""</v>
      </c>
    </row>
    <row r="47" spans="1:11" ht="16.5">
      <c r="A47" s="15" t="s">
        <v>32</v>
      </c>
      <c r="B47" s="58" t="s">
        <v>93</v>
      </c>
      <c r="C47" s="58" t="s">
        <v>64</v>
      </c>
      <c r="D47" s="58" t="str">
        <f t="shared" si="0"/>
        <v>nvarchar</v>
      </c>
      <c r="E47" s="59" t="str">
        <f t="shared" si="1"/>
        <v>(10)</v>
      </c>
      <c r="F47" s="60"/>
      <c r="G47" s="86" t="s">
        <v>94</v>
      </c>
      <c r="H47" s="60" t="s">
        <v>21</v>
      </c>
      <c r="I47" t="s">
        <v>95</v>
      </c>
      <c r="J47" s="60"/>
      <c r="K47" s="1" t="str">
        <f>""""&amp;B47&amp;""""&amp;":"&amp;""""&amp;I47&amp;""""&amp;","</f>
        <v>"SAMPLE_TYPE":"IQC-STD",</v>
      </c>
    </row>
    <row r="48" spans="1:11" ht="16.5" hidden="1">
      <c r="A48" s="15" t="s">
        <v>32</v>
      </c>
      <c r="B48" s="58" t="s">
        <v>96</v>
      </c>
      <c r="C48" s="58" t="s">
        <v>37</v>
      </c>
      <c r="D48" s="58" t="str">
        <f t="shared" si="0"/>
        <v>nvarchar</v>
      </c>
      <c r="E48" s="59" t="str">
        <f t="shared" si="1"/>
        <v>(30)</v>
      </c>
      <c r="F48" s="60"/>
      <c r="G48" s="60"/>
      <c r="H48" s="60" t="s">
        <v>38</v>
      </c>
      <c r="I48"/>
      <c r="J48" s="60"/>
      <c r="K48" s="1" t="str">
        <f t="shared" si="2"/>
        <v>"SAMPLE_NAME":""</v>
      </c>
    </row>
    <row r="49" spans="1:11" ht="16.5">
      <c r="A49" s="15" t="s">
        <v>32</v>
      </c>
      <c r="B49" s="58" t="s">
        <v>97</v>
      </c>
      <c r="C49" s="58" t="s">
        <v>81</v>
      </c>
      <c r="D49" s="58" t="str">
        <f t="shared" si="0"/>
        <v>nvarchar</v>
      </c>
      <c r="E49" s="59" t="str">
        <f t="shared" si="1"/>
        <v>(234)</v>
      </c>
      <c r="F49" s="60"/>
      <c r="G49" s="86"/>
      <c r="H49" s="60" t="s">
        <v>21</v>
      </c>
      <c r="I49"/>
      <c r="J49" s="60"/>
      <c r="K49" s="1" t="str">
        <f>""""&amp;B49&amp;""""&amp;":"&amp;""""&amp;I49&amp;""""&amp;","</f>
        <v>"DESCRIPTION":"",</v>
      </c>
    </row>
    <row r="50" spans="1:11" ht="16.5" hidden="1">
      <c r="A50" s="15" t="s">
        <v>32</v>
      </c>
      <c r="B50" s="58" t="s">
        <v>98</v>
      </c>
      <c r="C50" s="58" t="s">
        <v>64</v>
      </c>
      <c r="D50" s="58" t="str">
        <f t="shared" si="0"/>
        <v>nvarchar</v>
      </c>
      <c r="E50" s="59" t="str">
        <f t="shared" si="1"/>
        <v>(10)</v>
      </c>
      <c r="F50" s="60"/>
      <c r="G50" s="60"/>
      <c r="H50" s="60" t="s">
        <v>38</v>
      </c>
      <c r="I50"/>
      <c r="J50" s="60"/>
      <c r="K50" s="1" t="str">
        <f t="shared" si="2"/>
        <v>"PREPARATION":""</v>
      </c>
    </row>
    <row r="51" spans="1:11" ht="16.5" hidden="1">
      <c r="A51" s="15" t="s">
        <v>32</v>
      </c>
      <c r="B51" s="58" t="s">
        <v>99</v>
      </c>
      <c r="C51" s="58" t="s">
        <v>64</v>
      </c>
      <c r="D51" s="58" t="str">
        <f t="shared" si="0"/>
        <v>nvarchar</v>
      </c>
      <c r="E51" s="59" t="str">
        <f t="shared" si="1"/>
        <v>(10)</v>
      </c>
      <c r="F51" s="60"/>
      <c r="G51" s="60"/>
      <c r="H51" s="60" t="s">
        <v>38</v>
      </c>
      <c r="I51"/>
      <c r="J51" s="60"/>
      <c r="K51" s="1" t="str">
        <f t="shared" si="2"/>
        <v>"HAZARD":""</v>
      </c>
    </row>
    <row r="52" spans="1:11" ht="16.5" hidden="1">
      <c r="A52" s="15" t="s">
        <v>32</v>
      </c>
      <c r="B52" s="58" t="s">
        <v>100</v>
      </c>
      <c r="C52" s="58" t="s">
        <v>59</v>
      </c>
      <c r="D52" s="58" t="str">
        <f>C52</f>
        <v>int</v>
      </c>
      <c r="E52" s="59"/>
      <c r="F52" s="60"/>
      <c r="G52" s="60"/>
      <c r="H52" s="60" t="s">
        <v>38</v>
      </c>
      <c r="I52">
        <v>1</v>
      </c>
      <c r="J52" s="60"/>
      <c r="K52" s="1" t="str">
        <f t="shared" si="2"/>
        <v>"PRIORITY":"1"</v>
      </c>
    </row>
    <row r="53" spans="1:11" ht="16.5" hidden="1">
      <c r="A53" s="15" t="s">
        <v>32</v>
      </c>
      <c r="B53" s="58" t="s">
        <v>101</v>
      </c>
      <c r="C53" s="58" t="s">
        <v>102</v>
      </c>
      <c r="D53" s="58" t="str">
        <f t="shared" si="0"/>
        <v>nvarchar</v>
      </c>
      <c r="E53" s="59" t="str">
        <f t="shared" si="1"/>
        <v>(50)</v>
      </c>
      <c r="F53" s="60"/>
      <c r="G53" s="60"/>
      <c r="H53" s="60" t="s">
        <v>38</v>
      </c>
      <c r="I53"/>
      <c r="J53" s="60"/>
      <c r="K53" s="1" t="str">
        <f t="shared" si="2"/>
        <v>"LOCATION_ID":""</v>
      </c>
    </row>
    <row r="54" spans="1:11" ht="16.5" hidden="1">
      <c r="A54" s="15" t="s">
        <v>32</v>
      </c>
      <c r="B54" s="58" t="s">
        <v>103</v>
      </c>
      <c r="C54" s="58" t="s">
        <v>64</v>
      </c>
      <c r="D54" s="58" t="str">
        <f t="shared" si="0"/>
        <v>nvarchar</v>
      </c>
      <c r="E54" s="59" t="str">
        <f t="shared" si="1"/>
        <v>(10)</v>
      </c>
      <c r="F54" s="60"/>
      <c r="G54" s="60"/>
      <c r="H54" s="60" t="s">
        <v>38</v>
      </c>
      <c r="I54"/>
      <c r="J54" s="60"/>
      <c r="K54" s="1" t="str">
        <f t="shared" si="2"/>
        <v>"CUSTOMER_ID":""</v>
      </c>
    </row>
    <row r="55" spans="1:11" ht="16.5" hidden="1">
      <c r="A55" s="15" t="s">
        <v>32</v>
      </c>
      <c r="B55" s="58" t="s">
        <v>104</v>
      </c>
      <c r="C55" s="58" t="s">
        <v>41</v>
      </c>
      <c r="D55" s="58" t="str">
        <f t="shared" si="0"/>
        <v>nvarchar</v>
      </c>
      <c r="E55" s="59" t="str">
        <f t="shared" si="1"/>
        <v>(20)</v>
      </c>
      <c r="F55" s="60"/>
      <c r="G55" s="60"/>
      <c r="H55" s="60" t="s">
        <v>38</v>
      </c>
      <c r="I55"/>
      <c r="J55" s="60"/>
      <c r="K55" s="1" t="str">
        <f t="shared" si="2"/>
        <v>"INVOICE_NUMBER":""</v>
      </c>
    </row>
    <row r="56" spans="1:11" ht="16.5" hidden="1">
      <c r="A56" s="15" t="s">
        <v>32</v>
      </c>
      <c r="B56" s="58" t="s">
        <v>105</v>
      </c>
      <c r="C56" s="58" t="s">
        <v>64</v>
      </c>
      <c r="D56" s="58" t="str">
        <f t="shared" si="0"/>
        <v>nvarchar</v>
      </c>
      <c r="E56" s="59" t="str">
        <f t="shared" si="1"/>
        <v>(10)</v>
      </c>
      <c r="F56" s="60"/>
      <c r="G56" s="60"/>
      <c r="H56" s="60" t="s">
        <v>38</v>
      </c>
      <c r="I56" t="s">
        <v>85</v>
      </c>
      <c r="J56" s="60"/>
      <c r="K56" s="1" t="str">
        <f t="shared" si="2"/>
        <v>"TEST_SCHEDULE":"TEST001"</v>
      </c>
    </row>
    <row r="57" spans="1:11" ht="16.5" hidden="1">
      <c r="A57" s="15" t="s">
        <v>32</v>
      </c>
      <c r="B57" s="58" t="s">
        <v>106</v>
      </c>
      <c r="C57" s="58" t="s">
        <v>64</v>
      </c>
      <c r="D57" s="58" t="str">
        <f t="shared" si="0"/>
        <v>nvarchar</v>
      </c>
      <c r="E57" s="59" t="str">
        <f t="shared" si="1"/>
        <v>(10)</v>
      </c>
      <c r="F57" s="60"/>
      <c r="G57" s="60"/>
      <c r="H57" s="60" t="s">
        <v>38</v>
      </c>
      <c r="I57"/>
      <c r="J57" s="60"/>
      <c r="K57" s="1" t="str">
        <f t="shared" si="2"/>
        <v>"TEMPLATE_ID":""</v>
      </c>
    </row>
    <row r="58" spans="1:11" ht="16.5" hidden="1">
      <c r="A58" s="15" t="s">
        <v>32</v>
      </c>
      <c r="B58" s="58" t="s">
        <v>107</v>
      </c>
      <c r="C58" s="58" t="s">
        <v>64</v>
      </c>
      <c r="D58" s="58" t="str">
        <f t="shared" si="0"/>
        <v>nvarchar</v>
      </c>
      <c r="E58" s="59" t="str">
        <f t="shared" si="1"/>
        <v>(10)</v>
      </c>
      <c r="F58" s="60"/>
      <c r="G58" s="60"/>
      <c r="H58" s="60" t="s">
        <v>38</v>
      </c>
      <c r="I58"/>
      <c r="J58" s="60"/>
      <c r="K58" s="1" t="str">
        <f t="shared" si="2"/>
        <v>"COMP_PROD_NAME":""</v>
      </c>
    </row>
    <row r="59" spans="1:11" ht="16.5" hidden="1">
      <c r="A59" s="15" t="s">
        <v>32</v>
      </c>
      <c r="B59" s="58" t="s">
        <v>108</v>
      </c>
      <c r="C59" s="58" t="s">
        <v>34</v>
      </c>
      <c r="D59" s="58" t="str">
        <f t="shared" si="0"/>
        <v>varchar</v>
      </c>
      <c r="E59" s="59" t="str">
        <f t="shared" si="1"/>
        <v>(10)</v>
      </c>
      <c r="F59" s="60"/>
      <c r="G59" s="60"/>
      <c r="H59" s="60" t="s">
        <v>38</v>
      </c>
      <c r="I59">
        <v>0</v>
      </c>
      <c r="J59" s="60"/>
      <c r="K59" s="1" t="str">
        <f t="shared" si="2"/>
        <v>"COMP_PROD_VER":"0"</v>
      </c>
    </row>
    <row r="60" spans="1:11" ht="16.5" hidden="1">
      <c r="A60" s="15" t="s">
        <v>32</v>
      </c>
      <c r="B60" s="58" t="s">
        <v>109</v>
      </c>
      <c r="C60" s="58" t="s">
        <v>64</v>
      </c>
      <c r="D60" s="58" t="str">
        <f t="shared" si="0"/>
        <v>nvarchar</v>
      </c>
      <c r="E60" s="59" t="str">
        <f t="shared" si="1"/>
        <v>(10)</v>
      </c>
      <c r="F60" s="60"/>
      <c r="G60" s="60"/>
      <c r="H60" s="60" t="s">
        <v>38</v>
      </c>
      <c r="I60"/>
      <c r="J60" s="60"/>
      <c r="K60" s="1" t="str">
        <f t="shared" si="2"/>
        <v>"COMP_PROD_GRADE":""</v>
      </c>
    </row>
    <row r="61" spans="1:11" ht="16.5" hidden="1">
      <c r="A61" s="15" t="s">
        <v>32</v>
      </c>
      <c r="B61" s="58" t="s">
        <v>110</v>
      </c>
      <c r="C61" s="58" t="s">
        <v>49</v>
      </c>
      <c r="D61" s="58" t="s">
        <v>50</v>
      </c>
      <c r="E61" s="59" t="str">
        <f t="shared" si="1"/>
        <v>(1)</v>
      </c>
      <c r="F61" s="60"/>
      <c r="G61" s="60"/>
      <c r="H61" s="60" t="s">
        <v>38</v>
      </c>
      <c r="I61" t="s">
        <v>51</v>
      </c>
      <c r="J61" s="60"/>
      <c r="K61" s="1" t="str">
        <f t="shared" si="2"/>
        <v>"STANDARD":"F"</v>
      </c>
    </row>
    <row r="62" spans="1:11" ht="16.5" hidden="1">
      <c r="A62" s="15" t="s">
        <v>32</v>
      </c>
      <c r="B62" s="58" t="s">
        <v>111</v>
      </c>
      <c r="C62" s="58" t="s">
        <v>64</v>
      </c>
      <c r="D62" s="58" t="str">
        <f t="shared" si="0"/>
        <v>nvarchar</v>
      </c>
      <c r="E62" s="59" t="str">
        <f t="shared" si="1"/>
        <v>(10)</v>
      </c>
      <c r="F62" s="60"/>
      <c r="G62" s="60"/>
      <c r="H62" s="60" t="s">
        <v>38</v>
      </c>
      <c r="I62"/>
      <c r="J62" s="60"/>
      <c r="K62" s="1" t="str">
        <f t="shared" si="2"/>
        <v>"STANDARD_ID":""</v>
      </c>
    </row>
    <row r="63" spans="1:11" ht="16.5" hidden="1">
      <c r="A63" s="15" t="s">
        <v>32</v>
      </c>
      <c r="B63" s="58" t="s">
        <v>112</v>
      </c>
      <c r="C63" s="58" t="s">
        <v>34</v>
      </c>
      <c r="D63" s="58" t="str">
        <f t="shared" si="0"/>
        <v>varchar</v>
      </c>
      <c r="E63" s="59" t="str">
        <f t="shared" si="1"/>
        <v>(10)</v>
      </c>
      <c r="F63" s="60"/>
      <c r="G63" s="60"/>
      <c r="H63" s="60" t="s">
        <v>38</v>
      </c>
      <c r="I63">
        <v>0</v>
      </c>
      <c r="J63" s="60"/>
      <c r="K63" s="1" t="str">
        <f t="shared" si="2"/>
        <v>"STANDARD_VERSION":"0"</v>
      </c>
    </row>
    <row r="64" spans="1:11" ht="16.5" hidden="1">
      <c r="A64" s="15" t="s">
        <v>32</v>
      </c>
      <c r="B64" s="58" t="s">
        <v>113</v>
      </c>
      <c r="C64" s="58" t="s">
        <v>64</v>
      </c>
      <c r="D64" s="58" t="str">
        <f t="shared" si="0"/>
        <v>nvarchar</v>
      </c>
      <c r="E64" s="59" t="str">
        <f t="shared" si="1"/>
        <v>(10)</v>
      </c>
      <c r="F64" s="60"/>
      <c r="G64" s="60"/>
      <c r="H64" s="60" t="s">
        <v>38</v>
      </c>
      <c r="I64"/>
      <c r="J64" s="60"/>
      <c r="K64" s="1" t="str">
        <f t="shared" si="2"/>
        <v>"INSPECTION_HEADER":""</v>
      </c>
    </row>
    <row r="65" spans="1:11" ht="16.5" hidden="1">
      <c r="A65" s="15" t="s">
        <v>32</v>
      </c>
      <c r="B65" s="58" t="s">
        <v>114</v>
      </c>
      <c r="C65" s="58" t="s">
        <v>64</v>
      </c>
      <c r="D65" s="58" t="str">
        <f t="shared" si="0"/>
        <v>nvarchar</v>
      </c>
      <c r="E65" s="59" t="str">
        <f t="shared" si="1"/>
        <v>(10)</v>
      </c>
      <c r="F65" s="60"/>
      <c r="G65" s="60"/>
      <c r="H65" s="60" t="s">
        <v>38</v>
      </c>
      <c r="I65"/>
      <c r="J65" s="60"/>
      <c r="K65" s="1" t="str">
        <f t="shared" si="2"/>
        <v>"STANDARD_TYPE":""</v>
      </c>
    </row>
    <row r="66" spans="1:11" ht="16.5" hidden="1">
      <c r="A66" s="15" t="s">
        <v>32</v>
      </c>
      <c r="B66" s="58" t="s">
        <v>115</v>
      </c>
      <c r="C66" s="58" t="s">
        <v>37</v>
      </c>
      <c r="D66" s="58" t="str">
        <f t="shared" si="0"/>
        <v>nvarchar</v>
      </c>
      <c r="E66" s="59" t="str">
        <f t="shared" si="1"/>
        <v>(30)</v>
      </c>
      <c r="F66" s="60"/>
      <c r="G66" s="60"/>
      <c r="H66" s="60" t="s">
        <v>38</v>
      </c>
      <c r="I66"/>
      <c r="J66" s="60"/>
      <c r="K66" s="1" t="str">
        <f t="shared" si="2"/>
        <v>"BATCH_ID":""</v>
      </c>
    </row>
    <row r="67" spans="1:11" ht="16.5" hidden="1">
      <c r="A67" s="15" t="s">
        <v>32</v>
      </c>
      <c r="B67" s="58" t="s">
        <v>116</v>
      </c>
      <c r="C67" s="58" t="s">
        <v>64</v>
      </c>
      <c r="D67" s="58" t="str">
        <f t="shared" si="0"/>
        <v>nvarchar</v>
      </c>
      <c r="E67" s="59" t="str">
        <f t="shared" si="1"/>
        <v>(10)</v>
      </c>
      <c r="F67" s="60"/>
      <c r="G67" s="60"/>
      <c r="H67" s="60" t="s">
        <v>38</v>
      </c>
      <c r="I67" t="s">
        <v>75</v>
      </c>
      <c r="J67" s="60"/>
      <c r="K67" s="1" t="str">
        <f t="shared" si="2"/>
        <v>"DYNAMIC_PRODUCT":"NULL"</v>
      </c>
    </row>
    <row r="68" spans="1:11" ht="16.5" hidden="1">
      <c r="A68" s="15" t="s">
        <v>32</v>
      </c>
      <c r="B68" s="58" t="s">
        <v>117</v>
      </c>
      <c r="C68" s="58" t="s">
        <v>59</v>
      </c>
      <c r="D68" s="58" t="str">
        <f>C68</f>
        <v>int</v>
      </c>
      <c r="E68" s="59"/>
      <c r="F68" s="60"/>
      <c r="G68" s="60"/>
      <c r="H68" s="60" t="s">
        <v>38</v>
      </c>
      <c r="I68">
        <v>1</v>
      </c>
      <c r="J68" s="60"/>
      <c r="K68" s="1" t="str">
        <f t="shared" si="2"/>
        <v>"TOTAL_ELEMENTS":"1"</v>
      </c>
    </row>
    <row r="69" spans="1:11" ht="16.5" hidden="1">
      <c r="A69" s="15" t="s">
        <v>32</v>
      </c>
      <c r="B69" s="58" t="s">
        <v>118</v>
      </c>
      <c r="C69" s="58" t="s">
        <v>64</v>
      </c>
      <c r="D69" s="58" t="str">
        <f t="shared" si="0"/>
        <v>nvarchar</v>
      </c>
      <c r="E69" s="59" t="str">
        <f t="shared" si="1"/>
        <v>(10)</v>
      </c>
      <c r="F69" s="60"/>
      <c r="G69" s="60"/>
      <c r="H69" s="60" t="s">
        <v>38</v>
      </c>
      <c r="I69"/>
      <c r="J69" s="60"/>
      <c r="K69" s="1" t="str">
        <f t="shared" si="2"/>
        <v>"SAMPLING_PROCEDURE":""</v>
      </c>
    </row>
    <row r="70" spans="1:11" ht="16.5" hidden="1">
      <c r="A70" s="15" t="s">
        <v>32</v>
      </c>
      <c r="B70" s="58" t="s">
        <v>119</v>
      </c>
      <c r="C70" s="58" t="s">
        <v>59</v>
      </c>
      <c r="D70" s="58" t="str">
        <f>C70</f>
        <v>int</v>
      </c>
      <c r="E70" s="59"/>
      <c r="F70" s="60"/>
      <c r="G70" s="60"/>
      <c r="H70" s="60" t="s">
        <v>38</v>
      </c>
      <c r="I70">
        <v>0</v>
      </c>
      <c r="J70" s="60"/>
      <c r="K70" s="1" t="str">
        <f t="shared" si="2"/>
        <v>"REPLICATE_LINK_NO":"0"</v>
      </c>
    </row>
    <row r="71" spans="1:11" ht="16.5" hidden="1">
      <c r="A71" s="15" t="s">
        <v>32</v>
      </c>
      <c r="B71" s="58" t="s">
        <v>120</v>
      </c>
      <c r="C71" s="58" t="s">
        <v>49</v>
      </c>
      <c r="D71" s="58" t="s">
        <v>50</v>
      </c>
      <c r="E71" s="59" t="str">
        <f t="shared" si="1"/>
        <v>(1)</v>
      </c>
      <c r="F71" s="60"/>
      <c r="G71" s="60"/>
      <c r="H71" s="60" t="s">
        <v>38</v>
      </c>
      <c r="I71" t="s">
        <v>121</v>
      </c>
      <c r="J71" s="60"/>
      <c r="K71" s="1" t="str">
        <f t="shared" si="2"/>
        <v>"AUTO_VALIDATE":"T"</v>
      </c>
    </row>
    <row r="72" spans="1:11" ht="16.5" hidden="1">
      <c r="A72" s="15" t="s">
        <v>32</v>
      </c>
      <c r="B72" s="58" t="s">
        <v>122</v>
      </c>
      <c r="C72" s="58" t="s">
        <v>49</v>
      </c>
      <c r="D72" s="58" t="s">
        <v>50</v>
      </c>
      <c r="E72" s="59" t="str">
        <f t="shared" si="1"/>
        <v>(1)</v>
      </c>
      <c r="F72" s="60"/>
      <c r="G72" s="60"/>
      <c r="H72" s="60" t="s">
        <v>38</v>
      </c>
      <c r="I72" t="s">
        <v>51</v>
      </c>
      <c r="J72" s="60"/>
      <c r="K72" s="1" t="str">
        <f t="shared" si="2"/>
        <v>"HAS_INCIDENTS":"F"</v>
      </c>
    </row>
    <row r="73" spans="1:11" ht="16.5" hidden="1">
      <c r="A73" s="15" t="s">
        <v>32</v>
      </c>
      <c r="B73" s="58" t="s">
        <v>123</v>
      </c>
      <c r="C73" s="58" t="s">
        <v>34</v>
      </c>
      <c r="D73" s="58" t="str">
        <f t="shared" si="0"/>
        <v>varchar</v>
      </c>
      <c r="E73" s="59" t="str">
        <f t="shared" si="1"/>
        <v>(10)</v>
      </c>
      <c r="F73" s="60"/>
      <c r="G73" s="60"/>
      <c r="H73" s="60" t="s">
        <v>38</v>
      </c>
      <c r="I73">
        <v>0</v>
      </c>
      <c r="J73" s="60"/>
      <c r="K73" s="1" t="str">
        <f t="shared" si="2"/>
        <v>"CERTIFICATE":"0"</v>
      </c>
    </row>
    <row r="74" spans="1:11" ht="16.5">
      <c r="A74" s="15" t="s">
        <v>32</v>
      </c>
      <c r="B74" s="58" t="s">
        <v>124</v>
      </c>
      <c r="C74" s="58" t="s">
        <v>64</v>
      </c>
      <c r="D74" s="58" t="str">
        <f t="shared" si="0"/>
        <v>nvarchar</v>
      </c>
      <c r="E74" s="59" t="str">
        <f t="shared" si="1"/>
        <v>(10)</v>
      </c>
      <c r="F74" s="60"/>
      <c r="G74" s="86" t="s">
        <v>125</v>
      </c>
      <c r="H74" s="60" t="s">
        <v>21</v>
      </c>
      <c r="I74"/>
      <c r="J74" s="60"/>
      <c r="K74" s="1" t="str">
        <f>""""&amp;B74&amp;""""&amp;":"&amp;""""&amp;I74&amp;""""&amp;","</f>
        <v>"SUBSTANCE":"",</v>
      </c>
    </row>
    <row r="75" spans="1:11" ht="16.5" hidden="1">
      <c r="A75" s="15" t="s">
        <v>32</v>
      </c>
      <c r="B75" s="58" t="s">
        <v>126</v>
      </c>
      <c r="C75" s="58" t="s">
        <v>127</v>
      </c>
      <c r="D75" s="58" t="str">
        <f t="shared" si="0"/>
        <v>nvarchar</v>
      </c>
      <c r="E75" s="59" t="str">
        <f t="shared" si="1"/>
        <v>(36)</v>
      </c>
      <c r="F75" s="60"/>
      <c r="G75" s="60"/>
      <c r="H75" s="60" t="s">
        <v>38</v>
      </c>
      <c r="I75" t="s">
        <v>128</v>
      </c>
      <c r="J75" s="60"/>
      <c r="K75" s="1" t="str">
        <f t="shared" si="2"/>
        <v>"WORKFLOW_NODE":"D658C55C-FC51-42A1-83BC-106833F87DAE"</v>
      </c>
    </row>
    <row r="76" spans="1:11" ht="16.5" hidden="1">
      <c r="A76" s="15" t="s">
        <v>32</v>
      </c>
      <c r="B76" s="58" t="s">
        <v>129</v>
      </c>
      <c r="C76" s="58" t="s">
        <v>49</v>
      </c>
      <c r="D76" s="58" t="s">
        <v>50</v>
      </c>
      <c r="E76" s="59" t="str">
        <f t="shared" si="1"/>
        <v>(1)</v>
      </c>
      <c r="F76" s="60"/>
      <c r="G76" s="60"/>
      <c r="H76" s="60" t="s">
        <v>38</v>
      </c>
      <c r="I76" t="s">
        <v>51</v>
      </c>
      <c r="J76" s="60"/>
      <c r="K76" s="1" t="str">
        <f t="shared" si="2"/>
        <v>"IS_SPLIT":"F"</v>
      </c>
    </row>
    <row r="77" spans="1:11" ht="16.5" hidden="1">
      <c r="A77" s="15" t="s">
        <v>32</v>
      </c>
      <c r="B77" s="58" t="s">
        <v>130</v>
      </c>
      <c r="C77" s="58" t="s">
        <v>49</v>
      </c>
      <c r="D77" s="58" t="s">
        <v>50</v>
      </c>
      <c r="E77" s="59" t="str">
        <f t="shared" si="1"/>
        <v>(1)</v>
      </c>
      <c r="F77" s="60"/>
      <c r="G77" s="60"/>
      <c r="H77" s="60" t="s">
        <v>38</v>
      </c>
      <c r="I77" t="s">
        <v>51</v>
      </c>
      <c r="J77" s="60"/>
      <c r="K77" s="1" t="str">
        <f t="shared" si="2"/>
        <v>"IS_COMPOSITE":"F"</v>
      </c>
    </row>
    <row r="78" spans="1:11" ht="16.5" hidden="1">
      <c r="A78" s="15" t="s">
        <v>32</v>
      </c>
      <c r="B78" s="58" t="s">
        <v>131</v>
      </c>
      <c r="C78" s="58" t="s">
        <v>49</v>
      </c>
      <c r="D78" s="58" t="s">
        <v>50</v>
      </c>
      <c r="E78" s="59" t="str">
        <f t="shared" si="1"/>
        <v>(1)</v>
      </c>
      <c r="F78" s="60"/>
      <c r="G78" s="60"/>
      <c r="H78" s="60" t="s">
        <v>38</v>
      </c>
      <c r="I78" t="s">
        <v>51</v>
      </c>
      <c r="J78" s="60"/>
      <c r="K78" s="1" t="str">
        <f t="shared" si="2"/>
        <v>"HAS_SPLIT":"F"</v>
      </c>
    </row>
    <row r="79" spans="1:11" ht="16.5" hidden="1">
      <c r="A79" s="15" t="s">
        <v>32</v>
      </c>
      <c r="B79" s="58" t="s">
        <v>132</v>
      </c>
      <c r="C79" s="58" t="s">
        <v>49</v>
      </c>
      <c r="D79" s="58" t="s">
        <v>50</v>
      </c>
      <c r="E79" s="59" t="str">
        <f t="shared" si="1"/>
        <v>(1)</v>
      </c>
      <c r="F79" s="15"/>
      <c r="G79" s="15"/>
      <c r="H79" s="13" t="s">
        <v>38</v>
      </c>
      <c r="I79" t="s">
        <v>51</v>
      </c>
      <c r="J79" s="21"/>
      <c r="K79" s="1" t="str">
        <f t="shared" si="2"/>
        <v>"HAS_COMPOSITE":"F"</v>
      </c>
    </row>
    <row r="80" spans="1:11" ht="16.5" hidden="1">
      <c r="A80" s="15" t="s">
        <v>32</v>
      </c>
      <c r="B80" s="58" t="s">
        <v>133</v>
      </c>
      <c r="C80" s="58" t="s">
        <v>64</v>
      </c>
      <c r="D80" s="58" t="str">
        <f t="shared" si="0"/>
        <v>nvarchar</v>
      </c>
      <c r="E80" s="59" t="str">
        <f t="shared" si="1"/>
        <v>(10)</v>
      </c>
      <c r="F80" s="15"/>
      <c r="G80" s="15"/>
      <c r="H80" s="13" t="s">
        <v>38</v>
      </c>
      <c r="I80" t="s">
        <v>134</v>
      </c>
      <c r="J80" s="21"/>
      <c r="K80" s="1" t="str">
        <f t="shared" si="2"/>
        <v>"COMPOSITE_STATUS":"NONE"</v>
      </c>
    </row>
    <row r="81" spans="1:11" ht="16.5" hidden="1">
      <c r="A81" s="15" t="s">
        <v>32</v>
      </c>
      <c r="B81" s="58" t="s">
        <v>135</v>
      </c>
      <c r="C81" s="58" t="s">
        <v>37</v>
      </c>
      <c r="D81" s="58" t="str">
        <f t="shared" ref="D81:D141" si="9">LEFT(C81,FIND("(",C81)-1)</f>
        <v>nvarchar</v>
      </c>
      <c r="E81" s="59" t="str">
        <f t="shared" ref="E81:E144" si="10">MID(C81,FIND("(",C81),5)</f>
        <v>(30)</v>
      </c>
      <c r="F81" s="15"/>
      <c r="G81" s="15"/>
      <c r="H81" s="13" t="s">
        <v>38</v>
      </c>
      <c r="I81" t="s">
        <v>136</v>
      </c>
      <c r="J81" s="22"/>
      <c r="K81" s="1" t="str">
        <f t="shared" ref="K81:K144" si="11">""""&amp;B81&amp;""""&amp;":"&amp;""""&amp;I81&amp;""""</f>
        <v>"ENTITY_TEMPLATE_ID":"IQC_SAMPLE"</v>
      </c>
    </row>
    <row r="82" spans="1:11" ht="16.5" hidden="1">
      <c r="A82" s="15" t="s">
        <v>32</v>
      </c>
      <c r="B82" s="58" t="s">
        <v>137</v>
      </c>
      <c r="C82" s="58" t="s">
        <v>34</v>
      </c>
      <c r="D82" s="58" t="str">
        <f t="shared" si="9"/>
        <v>varchar</v>
      </c>
      <c r="E82" s="59" t="str">
        <f t="shared" si="10"/>
        <v>(10)</v>
      </c>
      <c r="F82" s="15"/>
      <c r="G82" s="2"/>
      <c r="H82" s="13" t="s">
        <v>38</v>
      </c>
      <c r="I82">
        <v>1</v>
      </c>
      <c r="J82" s="22"/>
      <c r="K82" s="1" t="str">
        <f t="shared" si="11"/>
        <v>"ENTITY_TEMPLATE_VERSION":"1"</v>
      </c>
    </row>
    <row r="83" spans="1:11" ht="16.5" hidden="1">
      <c r="A83" s="15" t="s">
        <v>32</v>
      </c>
      <c r="B83" s="58" t="s">
        <v>138</v>
      </c>
      <c r="C83" s="58" t="s">
        <v>49</v>
      </c>
      <c r="D83" s="58" t="s">
        <v>50</v>
      </c>
      <c r="E83" s="59" t="str">
        <f t="shared" si="10"/>
        <v>(1)</v>
      </c>
      <c r="F83" s="15"/>
      <c r="G83" s="2"/>
      <c r="H83" s="13" t="s">
        <v>38</v>
      </c>
      <c r="I83" t="s">
        <v>51</v>
      </c>
      <c r="J83" s="22"/>
      <c r="K83" s="1" t="str">
        <f t="shared" si="11"/>
        <v>"HAS_ATTACHMENTS":"F"</v>
      </c>
    </row>
    <row r="84" spans="1:11" ht="16.5">
      <c r="A84" s="15" t="s">
        <v>32</v>
      </c>
      <c r="B84" s="58" t="s">
        <v>139</v>
      </c>
      <c r="C84" s="58" t="s">
        <v>81</v>
      </c>
      <c r="D84" s="58" t="str">
        <f t="shared" si="9"/>
        <v>nvarchar</v>
      </c>
      <c r="E84" s="59" t="str">
        <f t="shared" si="10"/>
        <v>(234)</v>
      </c>
      <c r="F84" s="15"/>
      <c r="G84" s="87"/>
      <c r="H84" s="13" t="s">
        <v>21</v>
      </c>
      <c r="I84" t="s">
        <v>75</v>
      </c>
      <c r="J84" s="22"/>
      <c r="K84" s="1" t="str">
        <f>""""&amp;B84&amp;""""&amp;":"&amp;""""&amp;I84&amp;""""&amp;","</f>
        <v>"COMMENTS":"NULL",</v>
      </c>
    </row>
    <row r="85" spans="1:11" ht="16.5" hidden="1">
      <c r="A85" s="15" t="s">
        <v>32</v>
      </c>
      <c r="B85" s="58" t="s">
        <v>140</v>
      </c>
      <c r="C85" s="58" t="s">
        <v>127</v>
      </c>
      <c r="D85" s="58" t="str">
        <f t="shared" si="9"/>
        <v>nvarchar</v>
      </c>
      <c r="E85" s="59" t="str">
        <f t="shared" si="10"/>
        <v>(36)</v>
      </c>
      <c r="F85" s="15"/>
      <c r="G85" s="2"/>
      <c r="H85" s="13" t="s">
        <v>38</v>
      </c>
      <c r="I85" t="s">
        <v>75</v>
      </c>
      <c r="J85" s="22"/>
      <c r="K85" s="1" t="str">
        <f t="shared" si="11"/>
        <v>"LAB_METHOD_ID":"NULL"</v>
      </c>
    </row>
    <row r="86" spans="1:11" ht="16.5" hidden="1">
      <c r="A86" s="15" t="s">
        <v>32</v>
      </c>
      <c r="B86" s="58" t="s">
        <v>141</v>
      </c>
      <c r="C86" s="58" t="s">
        <v>34</v>
      </c>
      <c r="D86" s="58" t="str">
        <f t="shared" si="9"/>
        <v>varchar</v>
      </c>
      <c r="E86" s="59" t="str">
        <f t="shared" si="10"/>
        <v>(10)</v>
      </c>
      <c r="F86" s="15"/>
      <c r="G86" s="2"/>
      <c r="H86" s="13" t="s">
        <v>38</v>
      </c>
      <c r="I86">
        <v>0</v>
      </c>
      <c r="J86" s="22"/>
      <c r="K86" s="1" t="str">
        <f t="shared" si="11"/>
        <v>"LAB_METHOD_VERSION":"0"</v>
      </c>
    </row>
    <row r="87" spans="1:11" ht="16.5" hidden="1">
      <c r="A87" s="15" t="s">
        <v>32</v>
      </c>
      <c r="B87" s="58" t="s">
        <v>142</v>
      </c>
      <c r="C87" s="58" t="s">
        <v>49</v>
      </c>
      <c r="D87" s="58" t="s">
        <v>50</v>
      </c>
      <c r="E87" s="59" t="str">
        <f t="shared" si="10"/>
        <v>(1)</v>
      </c>
      <c r="F87" s="15"/>
      <c r="G87" s="2"/>
      <c r="H87" s="13" t="s">
        <v>38</v>
      </c>
      <c r="I87" t="s">
        <v>51</v>
      </c>
      <c r="J87" s="22"/>
      <c r="K87" s="1" t="str">
        <f t="shared" si="11"/>
        <v>"LAB_METHOD_OUTSTANDING":"F"</v>
      </c>
    </row>
    <row r="88" spans="1:11" ht="16.5" hidden="1">
      <c r="A88" s="15" t="s">
        <v>32</v>
      </c>
      <c r="B88" s="58" t="s">
        <v>143</v>
      </c>
      <c r="C88" s="58" t="s">
        <v>127</v>
      </c>
      <c r="D88" s="58" t="str">
        <f t="shared" si="9"/>
        <v>nvarchar</v>
      </c>
      <c r="E88" s="59" t="str">
        <f t="shared" si="10"/>
        <v>(36)</v>
      </c>
      <c r="F88" s="15"/>
      <c r="G88" s="2"/>
      <c r="H88" s="13" t="s">
        <v>38</v>
      </c>
      <c r="I88" t="s">
        <v>75</v>
      </c>
      <c r="J88" s="22"/>
      <c r="K88" s="1" t="str">
        <f t="shared" si="11"/>
        <v>"LAB_EXECUTION_ID":"NULL"</v>
      </c>
    </row>
    <row r="89" spans="1:11" ht="16.5" hidden="1">
      <c r="A89" s="15" t="s">
        <v>32</v>
      </c>
      <c r="B89" s="58" t="s">
        <v>144</v>
      </c>
      <c r="C89" s="58" t="s">
        <v>34</v>
      </c>
      <c r="D89" s="58" t="str">
        <f t="shared" si="9"/>
        <v>varchar</v>
      </c>
      <c r="E89" s="59" t="str">
        <f t="shared" si="10"/>
        <v>(10)</v>
      </c>
      <c r="F89" s="15"/>
      <c r="G89" s="87"/>
      <c r="H89" s="13" t="s">
        <v>38</v>
      </c>
      <c r="I89">
        <v>0</v>
      </c>
      <c r="J89" s="22"/>
      <c r="K89" s="1" t="str">
        <f>""""&amp;B89&amp;""""&amp;":"&amp;""""&amp;I89&amp;""""&amp;","</f>
        <v>"RETAIN_ASSOCIATED_SAMPLE_ID":"0",</v>
      </c>
    </row>
    <row r="90" spans="1:11" ht="16.5" hidden="1">
      <c r="A90" s="15" t="s">
        <v>32</v>
      </c>
      <c r="B90" s="58" t="s">
        <v>145</v>
      </c>
      <c r="C90" s="58" t="s">
        <v>41</v>
      </c>
      <c r="D90" s="58" t="str">
        <f t="shared" si="9"/>
        <v>nvarchar</v>
      </c>
      <c r="E90" s="59" t="str">
        <f t="shared" si="10"/>
        <v>(20)</v>
      </c>
      <c r="F90" s="15"/>
      <c r="G90" s="2"/>
      <c r="H90" s="13" t="s">
        <v>38</v>
      </c>
      <c r="I90"/>
      <c r="J90" s="22"/>
      <c r="K90" s="1" t="str">
        <f t="shared" si="11"/>
        <v>"RETAIN_ASSOCIATED_JOB_NAME":""</v>
      </c>
    </row>
    <row r="91" spans="1:11" ht="16.5" hidden="1">
      <c r="A91" s="15" t="s">
        <v>32</v>
      </c>
      <c r="B91" s="58" t="s">
        <v>146</v>
      </c>
      <c r="C91" s="58" t="s">
        <v>41</v>
      </c>
      <c r="D91" s="58" t="str">
        <f t="shared" si="9"/>
        <v>nvarchar</v>
      </c>
      <c r="E91" s="59" t="str">
        <f t="shared" si="10"/>
        <v>(20)</v>
      </c>
      <c r="F91" s="15"/>
      <c r="G91" s="2"/>
      <c r="H91" s="13" t="s">
        <v>38</v>
      </c>
      <c r="I91"/>
      <c r="J91" s="22"/>
      <c r="K91" s="1" t="str">
        <f t="shared" si="11"/>
        <v>"RETAIN_TEST_PLAN_ID":""</v>
      </c>
    </row>
    <row r="92" spans="1:11" ht="16.5" hidden="1">
      <c r="A92" s="15" t="s">
        <v>32</v>
      </c>
      <c r="B92" s="58" t="s">
        <v>147</v>
      </c>
      <c r="C92" s="58" t="s">
        <v>34</v>
      </c>
      <c r="D92" s="58" t="str">
        <f t="shared" si="9"/>
        <v>varchar</v>
      </c>
      <c r="E92" s="59" t="str">
        <f t="shared" si="10"/>
        <v>(10)</v>
      </c>
      <c r="F92" s="15"/>
      <c r="G92" s="2"/>
      <c r="H92" s="13" t="s">
        <v>38</v>
      </c>
      <c r="I92">
        <v>0</v>
      </c>
      <c r="J92" s="22"/>
      <c r="K92" s="1" t="str">
        <f t="shared" si="11"/>
        <v>"RETAIN_TEST_PLAN_VERSION":"0"</v>
      </c>
    </row>
    <row r="93" spans="1:11" ht="16.5" hidden="1">
      <c r="A93" s="15" t="s">
        <v>32</v>
      </c>
      <c r="B93" s="58" t="s">
        <v>148</v>
      </c>
      <c r="C93" s="58" t="s">
        <v>61</v>
      </c>
      <c r="D93" s="58" t="str">
        <f t="shared" ref="D93:D96" si="12">C93</f>
        <v>datetime</v>
      </c>
      <c r="E93" s="59"/>
      <c r="F93" s="15"/>
      <c r="G93" s="2"/>
      <c r="H93" s="13" t="s">
        <v>38</v>
      </c>
      <c r="I93" t="s">
        <v>75</v>
      </c>
      <c r="J93" s="22"/>
      <c r="K93" s="1" t="str">
        <f t="shared" si="11"/>
        <v>"RETAIN_NEXT_TEST_DATE":"NULL"</v>
      </c>
    </row>
    <row r="94" spans="1:11" ht="16.5" hidden="1">
      <c r="A94" s="15" t="s">
        <v>32</v>
      </c>
      <c r="B94" s="58" t="s">
        <v>149</v>
      </c>
      <c r="C94" s="58" t="s">
        <v>61</v>
      </c>
      <c r="D94" s="58" t="str">
        <f t="shared" si="12"/>
        <v>datetime</v>
      </c>
      <c r="E94" s="59"/>
      <c r="F94" s="15"/>
      <c r="G94" s="2"/>
      <c r="H94" s="13" t="s">
        <v>38</v>
      </c>
      <c r="I94" t="s">
        <v>75</v>
      </c>
      <c r="J94" s="22"/>
      <c r="K94" s="1" t="str">
        <f t="shared" si="11"/>
        <v>"RETAIN_LAST_TEST_DATE":"NULL"</v>
      </c>
    </row>
    <row r="95" spans="1:11" ht="16.5" hidden="1">
      <c r="A95" s="15" t="s">
        <v>32</v>
      </c>
      <c r="B95" s="58" t="s">
        <v>150</v>
      </c>
      <c r="C95" s="58" t="s">
        <v>61</v>
      </c>
      <c r="D95" s="58" t="str">
        <f t="shared" si="12"/>
        <v>datetime</v>
      </c>
      <c r="E95" s="59"/>
      <c r="F95" s="15"/>
      <c r="G95" s="87"/>
      <c r="H95" s="13" t="s">
        <v>38</v>
      </c>
      <c r="I95" t="s">
        <v>75</v>
      </c>
      <c r="J95" s="22"/>
      <c r="K95" s="1" t="str">
        <f t="shared" ref="K95:K96" si="13">""""&amp;B95&amp;""""&amp;":"&amp;""""&amp;I95&amp;""""&amp;","</f>
        <v>"RETAIN_UNTIL_DATE":"NULL",</v>
      </c>
    </row>
    <row r="96" spans="1:11" ht="16.5" hidden="1">
      <c r="A96" s="15" t="s">
        <v>32</v>
      </c>
      <c r="B96" s="58" t="s">
        <v>151</v>
      </c>
      <c r="C96" s="58" t="s">
        <v>61</v>
      </c>
      <c r="D96" s="58" t="str">
        <f t="shared" si="12"/>
        <v>datetime</v>
      </c>
      <c r="E96" s="59"/>
      <c r="F96" s="15"/>
      <c r="G96" s="87"/>
      <c r="H96" s="13" t="s">
        <v>38</v>
      </c>
      <c r="I96" t="s">
        <v>75</v>
      </c>
      <c r="J96" s="22"/>
      <c r="K96" s="1" t="str">
        <f t="shared" si="13"/>
        <v>"RETAIN_DISPOSAL_DATE":"NULL",</v>
      </c>
    </row>
    <row r="97" spans="1:11" ht="16.5" hidden="1">
      <c r="A97" s="15" t="s">
        <v>32</v>
      </c>
      <c r="B97" s="58" t="s">
        <v>152</v>
      </c>
      <c r="C97" s="58" t="s">
        <v>127</v>
      </c>
      <c r="D97" s="58" t="str">
        <f t="shared" si="9"/>
        <v>nvarchar</v>
      </c>
      <c r="E97" s="59" t="str">
        <f t="shared" si="10"/>
        <v>(36)</v>
      </c>
      <c r="F97" s="15"/>
      <c r="G97" s="2"/>
      <c r="H97" s="13" t="s">
        <v>38</v>
      </c>
      <c r="I97" t="s">
        <v>153</v>
      </c>
      <c r="J97" s="22"/>
      <c r="K97" s="1" t="str">
        <f t="shared" si="11"/>
        <v>"CERT_TEMPLATE_ID":"5EAD14A8-5BC8-423B-A135-82DB63033892"</v>
      </c>
    </row>
    <row r="98" spans="1:11" ht="16.5" hidden="1">
      <c r="A98" s="15" t="s">
        <v>32</v>
      </c>
      <c r="B98" s="58" t="s">
        <v>154</v>
      </c>
      <c r="C98" s="58" t="s">
        <v>34</v>
      </c>
      <c r="D98" s="58" t="str">
        <f t="shared" si="9"/>
        <v>varchar</v>
      </c>
      <c r="E98" s="59" t="str">
        <f t="shared" si="10"/>
        <v>(10)</v>
      </c>
      <c r="F98" s="15"/>
      <c r="G98" s="2"/>
      <c r="H98" s="13" t="s">
        <v>38</v>
      </c>
      <c r="I98">
        <v>1</v>
      </c>
      <c r="J98" s="22"/>
      <c r="K98" s="1" t="str">
        <f t="shared" si="11"/>
        <v>"CERT_TEMPLATE_VERSION":"1"</v>
      </c>
    </row>
    <row r="99" spans="1:11" ht="16.5" hidden="1">
      <c r="A99" s="15" t="s">
        <v>32</v>
      </c>
      <c r="B99" s="58" t="s">
        <v>155</v>
      </c>
      <c r="C99" s="58" t="s">
        <v>127</v>
      </c>
      <c r="D99" s="58" t="str">
        <f t="shared" si="9"/>
        <v>nvarchar</v>
      </c>
      <c r="E99" s="59" t="str">
        <f t="shared" si="10"/>
        <v>(36)</v>
      </c>
      <c r="F99" s="15"/>
      <c r="G99" s="2"/>
      <c r="H99" s="13" t="s">
        <v>38</v>
      </c>
      <c r="I99" t="s">
        <v>156</v>
      </c>
      <c r="J99" s="22"/>
      <c r="K99" s="1" t="str">
        <f t="shared" si="11"/>
        <v>"CERT_ID":"AC5FD5FA-1EF9-4A9C-A6B4-3476BC9D4A1C"</v>
      </c>
    </row>
    <row r="100" spans="1:11" ht="16.5" hidden="1">
      <c r="A100" s="15" t="s">
        <v>32</v>
      </c>
      <c r="B100" s="58" t="s">
        <v>157</v>
      </c>
      <c r="C100" s="58" t="s">
        <v>34</v>
      </c>
      <c r="D100" s="58" t="str">
        <f t="shared" si="9"/>
        <v>varchar</v>
      </c>
      <c r="E100" s="59" t="str">
        <f t="shared" si="10"/>
        <v>(10)</v>
      </c>
      <c r="F100" s="15"/>
      <c r="G100" s="2"/>
      <c r="H100" s="13" t="s">
        <v>38</v>
      </c>
      <c r="I100">
        <v>1</v>
      </c>
      <c r="J100" s="22"/>
      <c r="K100" s="1" t="str">
        <f t="shared" si="11"/>
        <v>"CERT_VERSION":"1"</v>
      </c>
    </row>
    <row r="101" spans="1:11" ht="16.5" hidden="1">
      <c r="A101" s="15" t="s">
        <v>32</v>
      </c>
      <c r="B101" s="58" t="s">
        <v>158</v>
      </c>
      <c r="C101" s="58" t="s">
        <v>64</v>
      </c>
      <c r="D101" s="58" t="str">
        <f t="shared" si="9"/>
        <v>nvarchar</v>
      </c>
      <c r="E101" s="59" t="str">
        <f t="shared" si="10"/>
        <v>(10)</v>
      </c>
      <c r="F101" s="15"/>
      <c r="G101" s="2"/>
      <c r="H101" s="13" t="s">
        <v>38</v>
      </c>
      <c r="I101"/>
      <c r="J101" s="22"/>
      <c r="K101" s="1" t="str">
        <f t="shared" si="11"/>
        <v>"SCHEDULE":""</v>
      </c>
    </row>
    <row r="102" spans="1:11" ht="16.5" hidden="1">
      <c r="A102" s="15" t="s">
        <v>32</v>
      </c>
      <c r="B102" s="58" t="s">
        <v>159</v>
      </c>
      <c r="C102" s="58" t="s">
        <v>127</v>
      </c>
      <c r="D102" s="58" t="str">
        <f t="shared" si="9"/>
        <v>nvarchar</v>
      </c>
      <c r="E102" s="59" t="str">
        <f t="shared" si="10"/>
        <v>(36)</v>
      </c>
      <c r="F102" s="15"/>
      <c r="G102" s="2"/>
      <c r="H102" s="13" t="s">
        <v>38</v>
      </c>
      <c r="I102"/>
      <c r="J102" s="22"/>
      <c r="K102" s="1" t="str">
        <f t="shared" si="11"/>
        <v>"SOW_GUID":""</v>
      </c>
    </row>
    <row r="103" spans="1:11" ht="16.5" hidden="1">
      <c r="A103" s="15" t="s">
        <v>32</v>
      </c>
      <c r="B103" s="58" t="s">
        <v>160</v>
      </c>
      <c r="C103" s="58" t="s">
        <v>34</v>
      </c>
      <c r="D103" s="58" t="str">
        <f t="shared" si="9"/>
        <v>varchar</v>
      </c>
      <c r="E103" s="59" t="str">
        <f t="shared" si="10"/>
        <v>(10)</v>
      </c>
      <c r="F103" s="15"/>
      <c r="G103" s="2"/>
      <c r="H103" s="13" t="s">
        <v>38</v>
      </c>
      <c r="I103">
        <v>0</v>
      </c>
      <c r="J103" s="22"/>
      <c r="K103" s="1" t="str">
        <f t="shared" si="11"/>
        <v>"SOW_VERSION":"0"</v>
      </c>
    </row>
    <row r="104" spans="1:11" ht="16.5" hidden="1">
      <c r="A104" s="15" t="s">
        <v>32</v>
      </c>
      <c r="B104" s="58" t="s">
        <v>161</v>
      </c>
      <c r="C104" s="58" t="s">
        <v>34</v>
      </c>
      <c r="D104" s="58" t="str">
        <f t="shared" si="9"/>
        <v>varchar</v>
      </c>
      <c r="E104" s="59" t="str">
        <f t="shared" si="10"/>
        <v>(10)</v>
      </c>
      <c r="F104" s="15"/>
      <c r="G104" s="2"/>
      <c r="H104" s="13" t="s">
        <v>38</v>
      </c>
      <c r="I104">
        <v>0</v>
      </c>
      <c r="J104" s="22"/>
      <c r="K104" s="1" t="str">
        <f t="shared" si="11"/>
        <v>"SOW_ITEM_ID":"0"</v>
      </c>
    </row>
    <row r="105" spans="1:11" ht="16.5" hidden="1">
      <c r="A105" s="15" t="s">
        <v>32</v>
      </c>
      <c r="B105" s="58" t="s">
        <v>162</v>
      </c>
      <c r="C105" s="58" t="s">
        <v>49</v>
      </c>
      <c r="D105" s="58" t="s">
        <v>50</v>
      </c>
      <c r="E105" s="59" t="str">
        <f t="shared" si="10"/>
        <v>(1)</v>
      </c>
      <c r="F105" s="15"/>
      <c r="G105" s="2"/>
      <c r="H105" s="13" t="s">
        <v>38</v>
      </c>
      <c r="I105" t="s">
        <v>51</v>
      </c>
      <c r="J105" s="22"/>
      <c r="K105" s="1" t="str">
        <f t="shared" si="11"/>
        <v>"INVOICED":"F"</v>
      </c>
    </row>
    <row r="106" spans="1:11" ht="16.5" hidden="1">
      <c r="A106" s="15" t="s">
        <v>32</v>
      </c>
      <c r="B106" s="58" t="s">
        <v>163</v>
      </c>
      <c r="C106" s="58" t="s">
        <v>127</v>
      </c>
      <c r="D106" s="58" t="str">
        <f t="shared" si="9"/>
        <v>nvarchar</v>
      </c>
      <c r="E106" s="59" t="str">
        <f t="shared" si="10"/>
        <v>(36)</v>
      </c>
      <c r="F106" s="15"/>
      <c r="G106" s="2"/>
      <c r="H106" s="13" t="s">
        <v>38</v>
      </c>
      <c r="I106"/>
      <c r="J106" s="22"/>
      <c r="K106" s="1" t="str">
        <f t="shared" si="11"/>
        <v>"CUSTOMER_PROJECT":""</v>
      </c>
    </row>
    <row r="107" spans="1:11" ht="16.5" hidden="1">
      <c r="A107" s="15" t="s">
        <v>32</v>
      </c>
      <c r="B107" s="58" t="s">
        <v>164</v>
      </c>
      <c r="C107" s="58" t="s">
        <v>165</v>
      </c>
      <c r="D107" s="58" t="str">
        <f t="shared" si="9"/>
        <v>nvarchar</v>
      </c>
      <c r="E107" s="59" t="str">
        <f t="shared" si="10"/>
        <v>(100)</v>
      </c>
      <c r="F107" s="15"/>
      <c r="G107" s="2"/>
      <c r="H107" s="13" t="s">
        <v>38</v>
      </c>
      <c r="I107"/>
      <c r="J107" s="22"/>
      <c r="K107" s="1" t="str">
        <f t="shared" si="11"/>
        <v>"EXTERNAL_ID":""</v>
      </c>
    </row>
    <row r="108" spans="1:11" ht="16.5" hidden="1">
      <c r="A108" s="15" t="s">
        <v>32</v>
      </c>
      <c r="B108" s="58" t="s">
        <v>166</v>
      </c>
      <c r="C108" s="58" t="s">
        <v>49</v>
      </c>
      <c r="D108" s="58" t="s">
        <v>50</v>
      </c>
      <c r="E108" s="59" t="str">
        <f t="shared" si="10"/>
        <v>(1)</v>
      </c>
      <c r="F108" s="15"/>
      <c r="G108" s="2"/>
      <c r="H108" s="13" t="s">
        <v>38</v>
      </c>
      <c r="I108" t="s">
        <v>51</v>
      </c>
      <c r="J108" s="22"/>
      <c r="K108" s="1" t="str">
        <f t="shared" si="11"/>
        <v>"EXTERNAL_ID_DUPLICATE":"F"</v>
      </c>
    </row>
    <row r="109" spans="1:11" ht="16.5" hidden="1">
      <c r="A109" s="15" t="s">
        <v>32</v>
      </c>
      <c r="B109" s="58" t="s">
        <v>167</v>
      </c>
      <c r="C109" s="58" t="s">
        <v>49</v>
      </c>
      <c r="D109" s="58" t="s">
        <v>50</v>
      </c>
      <c r="E109" s="59" t="str">
        <f t="shared" si="10"/>
        <v>(1)</v>
      </c>
      <c r="F109" s="15"/>
      <c r="G109" s="2"/>
      <c r="H109" s="13" t="s">
        <v>38</v>
      </c>
      <c r="I109" t="s">
        <v>51</v>
      </c>
      <c r="J109" s="22"/>
      <c r="K109" s="1" t="str">
        <f t="shared" si="11"/>
        <v>"HAS_NOTEBOOK_LINK":"F"</v>
      </c>
    </row>
    <row r="110" spans="1:11" ht="16.5" hidden="1">
      <c r="A110" s="15" t="s">
        <v>32</v>
      </c>
      <c r="B110" s="58" t="s">
        <v>168</v>
      </c>
      <c r="C110" s="58" t="s">
        <v>64</v>
      </c>
      <c r="D110" s="58" t="str">
        <f t="shared" si="9"/>
        <v>nvarchar</v>
      </c>
      <c r="E110" s="59" t="str">
        <f t="shared" si="10"/>
        <v>(10)</v>
      </c>
      <c r="F110" s="15"/>
      <c r="G110" s="2"/>
      <c r="H110" s="13" t="s">
        <v>38</v>
      </c>
      <c r="I110" t="s">
        <v>134</v>
      </c>
      <c r="J110" s="22"/>
      <c r="K110" s="1" t="str">
        <f t="shared" si="11"/>
        <v>"PRICE_OPTION":"NONE"</v>
      </c>
    </row>
    <row r="111" spans="1:11" ht="16.5" hidden="1">
      <c r="A111" s="15" t="s">
        <v>32</v>
      </c>
      <c r="B111" s="58" t="s">
        <v>169</v>
      </c>
      <c r="C111" s="58" t="s">
        <v>49</v>
      </c>
      <c r="D111" s="58" t="s">
        <v>50</v>
      </c>
      <c r="E111" s="59" t="str">
        <f t="shared" si="10"/>
        <v>(1)</v>
      </c>
      <c r="F111" s="15"/>
      <c r="G111" s="2"/>
      <c r="H111" s="13" t="s">
        <v>38</v>
      </c>
      <c r="I111" t="s">
        <v>51</v>
      </c>
      <c r="J111" s="22"/>
      <c r="K111" s="1" t="str">
        <f t="shared" si="11"/>
        <v>"HAS_AQC_ISSUE":"F"</v>
      </c>
    </row>
    <row r="112" spans="1:11" ht="16.5" hidden="1">
      <c r="A112" s="15" t="s">
        <v>32</v>
      </c>
      <c r="B112" s="58" t="s">
        <v>170</v>
      </c>
      <c r="C112" s="58" t="s">
        <v>171</v>
      </c>
      <c r="D112" s="58" t="str">
        <f>C112</f>
        <v>float</v>
      </c>
      <c r="E112" s="59"/>
      <c r="F112" s="15"/>
      <c r="G112" s="2"/>
      <c r="H112" s="13" t="s">
        <v>38</v>
      </c>
      <c r="I112">
        <v>0</v>
      </c>
      <c r="J112" s="22"/>
      <c r="K112" s="1" t="str">
        <f t="shared" si="11"/>
        <v>"AMOUNT":"0"</v>
      </c>
    </row>
    <row r="113" spans="1:11" ht="16.5" hidden="1">
      <c r="A113" s="15" t="s">
        <v>32</v>
      </c>
      <c r="B113" s="58" t="s">
        <v>172</v>
      </c>
      <c r="C113" s="58" t="s">
        <v>173</v>
      </c>
      <c r="D113" s="58" t="str">
        <f t="shared" si="9"/>
        <v>nvarchar</v>
      </c>
      <c r="E113" s="59" t="str">
        <f t="shared" si="10"/>
        <v>(40)</v>
      </c>
      <c r="F113" s="15"/>
      <c r="G113" s="2"/>
      <c r="H113" s="13" t="s">
        <v>38</v>
      </c>
      <c r="I113"/>
      <c r="J113" s="22"/>
      <c r="K113" s="1" t="str">
        <f t="shared" si="11"/>
        <v>"UNIT":""</v>
      </c>
    </row>
    <row r="114" spans="1:11" ht="16.5" hidden="1">
      <c r="A114" s="15" t="s">
        <v>32</v>
      </c>
      <c r="B114" s="58" t="s">
        <v>174</v>
      </c>
      <c r="C114" s="58" t="s">
        <v>37</v>
      </c>
      <c r="D114" s="58" t="str">
        <f t="shared" si="9"/>
        <v>nvarchar</v>
      </c>
      <c r="E114" s="59" t="str">
        <f t="shared" si="10"/>
        <v>(30)</v>
      </c>
      <c r="F114" s="15"/>
      <c r="G114" s="2"/>
      <c r="H114" s="13" t="s">
        <v>38</v>
      </c>
      <c r="I114"/>
      <c r="J114" s="22"/>
      <c r="K114" s="1" t="str">
        <f t="shared" si="11"/>
        <v>"SAMPLE_CONTAINER_TYPE_ID":""</v>
      </c>
    </row>
    <row r="115" spans="1:11" ht="16.5" hidden="1">
      <c r="A115" s="15" t="s">
        <v>32</v>
      </c>
      <c r="B115" s="58" t="s">
        <v>175</v>
      </c>
      <c r="C115" s="58" t="s">
        <v>34</v>
      </c>
      <c r="D115" s="58" t="str">
        <f t="shared" si="9"/>
        <v>varchar</v>
      </c>
      <c r="E115" s="59" t="str">
        <f t="shared" si="10"/>
        <v>(10)</v>
      </c>
      <c r="F115" s="15"/>
      <c r="G115" s="2"/>
      <c r="H115" s="13" t="s">
        <v>38</v>
      </c>
      <c r="I115">
        <v>0</v>
      </c>
      <c r="J115" s="22"/>
      <c r="K115" s="1" t="str">
        <f t="shared" si="11"/>
        <v>"SAMPLE_CONTAINER_TYPE_VERSION":"0"</v>
      </c>
    </row>
    <row r="116" spans="1:11" ht="16.5" hidden="1">
      <c r="A116" s="15" t="s">
        <v>32</v>
      </c>
      <c r="B116" s="58" t="s">
        <v>176</v>
      </c>
      <c r="C116" s="58" t="s">
        <v>81</v>
      </c>
      <c r="D116" s="58" t="str">
        <f t="shared" si="9"/>
        <v>nvarchar</v>
      </c>
      <c r="E116" s="59" t="str">
        <f t="shared" si="10"/>
        <v>(234)</v>
      </c>
      <c r="F116" s="15"/>
      <c r="G116" s="2"/>
      <c r="H116" s="13" t="s">
        <v>38</v>
      </c>
      <c r="I116"/>
      <c r="J116" s="22"/>
      <c r="K116" s="1" t="str">
        <f t="shared" si="11"/>
        <v>"CONTAINER_LABEL_TEXT":""</v>
      </c>
    </row>
    <row r="117" spans="1:11" ht="16.5" hidden="1">
      <c r="A117" s="15" t="s">
        <v>32</v>
      </c>
      <c r="B117" s="58" t="s">
        <v>177</v>
      </c>
      <c r="C117" s="58" t="s">
        <v>61</v>
      </c>
      <c r="D117" s="58" t="str">
        <f>C117</f>
        <v>datetime</v>
      </c>
      <c r="E117" s="59"/>
      <c r="F117" s="15"/>
      <c r="G117" s="2"/>
      <c r="H117" s="13" t="s">
        <v>38</v>
      </c>
      <c r="I117" t="s">
        <v>75</v>
      </c>
      <c r="J117" s="22"/>
      <c r="K117" s="1" t="str">
        <f t="shared" si="11"/>
        <v>"COLLECTED_ON":"NULL"</v>
      </c>
    </row>
    <row r="118" spans="1:11" ht="16.5" hidden="1">
      <c r="A118" s="15" t="s">
        <v>32</v>
      </c>
      <c r="B118" s="58" t="s">
        <v>178</v>
      </c>
      <c r="C118" s="58" t="s">
        <v>64</v>
      </c>
      <c r="D118" s="58" t="str">
        <f t="shared" si="9"/>
        <v>nvarchar</v>
      </c>
      <c r="E118" s="59" t="str">
        <f t="shared" si="10"/>
        <v>(10)</v>
      </c>
      <c r="F118" s="15"/>
      <c r="G118" s="2"/>
      <c r="H118" s="13" t="s">
        <v>38</v>
      </c>
      <c r="I118"/>
      <c r="J118" s="22"/>
      <c r="K118" s="1" t="str">
        <f t="shared" si="11"/>
        <v>"COLLECTED_BY":""</v>
      </c>
    </row>
    <row r="119" spans="1:11" ht="16.5" hidden="1">
      <c r="A119" s="15" t="s">
        <v>32</v>
      </c>
      <c r="B119" s="58" t="s">
        <v>179</v>
      </c>
      <c r="C119" s="58" t="s">
        <v>64</v>
      </c>
      <c r="D119" s="58" t="str">
        <f t="shared" si="9"/>
        <v>nvarchar</v>
      </c>
      <c r="E119" s="59" t="str">
        <f t="shared" si="10"/>
        <v>(10)</v>
      </c>
      <c r="F119" s="15"/>
      <c r="G119" s="2"/>
      <c r="H119" s="13" t="s">
        <v>38</v>
      </c>
      <c r="I119"/>
      <c r="J119" s="22"/>
      <c r="K119" s="1" t="str">
        <f t="shared" si="11"/>
        <v>"DOWNLOADED_BY":""</v>
      </c>
    </row>
    <row r="120" spans="1:11" ht="16.5" hidden="1">
      <c r="A120" s="15" t="s">
        <v>32</v>
      </c>
      <c r="B120" s="58" t="s">
        <v>180</v>
      </c>
      <c r="C120" s="58" t="s">
        <v>81</v>
      </c>
      <c r="D120" s="58" t="str">
        <f t="shared" si="9"/>
        <v>nvarchar</v>
      </c>
      <c r="E120" s="59" t="str">
        <f t="shared" si="10"/>
        <v>(234)</v>
      </c>
      <c r="F120" s="15"/>
      <c r="G120" s="2"/>
      <c r="H120" s="13" t="s">
        <v>38</v>
      </c>
      <c r="I120"/>
      <c r="J120" s="22"/>
      <c r="K120" s="1" t="str">
        <f t="shared" si="11"/>
        <v>"CONTAINER_GROUP":""</v>
      </c>
    </row>
    <row r="121" spans="1:11" ht="16.5" hidden="1">
      <c r="A121" s="15" t="s">
        <v>32</v>
      </c>
      <c r="B121" s="58" t="s">
        <v>181</v>
      </c>
      <c r="C121" s="58" t="s">
        <v>49</v>
      </c>
      <c r="D121" s="58" t="s">
        <v>50</v>
      </c>
      <c r="E121" s="59" t="str">
        <f t="shared" si="10"/>
        <v>(1)</v>
      </c>
      <c r="F121" s="15"/>
      <c r="G121" s="2"/>
      <c r="H121" s="13" t="s">
        <v>38</v>
      </c>
      <c r="I121" t="s">
        <v>51</v>
      </c>
      <c r="J121" s="22"/>
      <c r="K121" s="1" t="str">
        <f t="shared" si="11"/>
        <v>"DEV_BOOLEAN":"F"</v>
      </c>
    </row>
    <row r="122" spans="1:11" ht="16.5" hidden="1">
      <c r="A122" s="15" t="s">
        <v>32</v>
      </c>
      <c r="B122" s="58" t="s">
        <v>182</v>
      </c>
      <c r="C122" s="58" t="s">
        <v>49</v>
      </c>
      <c r="D122" s="58" t="s">
        <v>50</v>
      </c>
      <c r="E122" s="59" t="str">
        <f t="shared" si="10"/>
        <v>(1)</v>
      </c>
      <c r="F122" s="15"/>
      <c r="G122" s="87"/>
      <c r="H122" s="13" t="s">
        <v>38</v>
      </c>
      <c r="I122" t="s">
        <v>121</v>
      </c>
      <c r="J122" s="22"/>
      <c r="K122" s="1" t="str">
        <f t="shared" si="11"/>
        <v>"HEN_SAMPLE_STARTED":"T"</v>
      </c>
    </row>
    <row r="123" spans="1:11" ht="16.5">
      <c r="A123" s="15" t="s">
        <v>32</v>
      </c>
      <c r="B123" s="58" t="s">
        <v>183</v>
      </c>
      <c r="C123" s="58" t="s">
        <v>64</v>
      </c>
      <c r="D123" s="58" t="str">
        <f t="shared" si="9"/>
        <v>nvarchar</v>
      </c>
      <c r="E123" s="59" t="str">
        <f t="shared" si="10"/>
        <v>(10)</v>
      </c>
      <c r="F123" s="15"/>
      <c r="G123" s="87"/>
      <c r="H123" s="13" t="s">
        <v>21</v>
      </c>
      <c r="I123" t="s">
        <v>184</v>
      </c>
      <c r="J123" s="22"/>
      <c r="K123" s="1" t="str">
        <f>""""&amp;B123&amp;""""&amp;":"&amp;""""&amp;I123&amp;""""&amp;","</f>
        <v>"HEN_GROUP_ID":" ",</v>
      </c>
    </row>
    <row r="124" spans="1:11" ht="16.5" hidden="1">
      <c r="A124" s="15" t="s">
        <v>32</v>
      </c>
      <c r="B124" s="58" t="s">
        <v>185</v>
      </c>
      <c r="C124" s="58" t="s">
        <v>81</v>
      </c>
      <c r="D124" s="58" t="str">
        <f t="shared" si="9"/>
        <v>nvarchar</v>
      </c>
      <c r="E124" s="59" t="str">
        <f t="shared" si="10"/>
        <v>(234)</v>
      </c>
      <c r="F124" s="15"/>
      <c r="G124" s="2"/>
      <c r="H124" s="13" t="s">
        <v>38</v>
      </c>
      <c r="I124"/>
      <c r="J124" s="22"/>
      <c r="K124" s="1" t="str">
        <f t="shared" si="11"/>
        <v>"HEN_IDH":""</v>
      </c>
    </row>
    <row r="125" spans="1:11" ht="16.5">
      <c r="A125" s="15" t="s">
        <v>32</v>
      </c>
      <c r="B125" s="58" t="s">
        <v>186</v>
      </c>
      <c r="C125" s="58" t="s">
        <v>37</v>
      </c>
      <c r="D125" s="58" t="str">
        <f t="shared" si="9"/>
        <v>nvarchar</v>
      </c>
      <c r="E125" s="59" t="str">
        <f t="shared" si="10"/>
        <v>(30)</v>
      </c>
      <c r="F125" s="15"/>
      <c r="G125" s="87" t="s">
        <v>187</v>
      </c>
      <c r="H125" s="13" t="s">
        <v>21</v>
      </c>
      <c r="I125"/>
      <c r="J125" s="22"/>
      <c r="K125" s="1" t="str">
        <f t="shared" ref="K125:K126" si="14">""""&amp;B125&amp;""""&amp;":"&amp;""""&amp;I125&amp;""""&amp;","</f>
        <v>"HEN_PLANT":"",</v>
      </c>
    </row>
    <row r="126" spans="1:11" ht="16.5">
      <c r="A126" s="15" t="s">
        <v>32</v>
      </c>
      <c r="B126" s="58" t="s">
        <v>188</v>
      </c>
      <c r="C126" s="58" t="s">
        <v>81</v>
      </c>
      <c r="D126" s="58" t="str">
        <f t="shared" si="9"/>
        <v>nvarchar</v>
      </c>
      <c r="E126" s="59" t="str">
        <f t="shared" si="10"/>
        <v>(234)</v>
      </c>
      <c r="F126" s="15"/>
      <c r="G126" s="87"/>
      <c r="H126" s="13" t="s">
        <v>21</v>
      </c>
      <c r="I126"/>
      <c r="J126" s="22"/>
      <c r="K126" s="1" t="str">
        <f t="shared" si="14"/>
        <v>"HEN_STORAGE_CONDITION":"",</v>
      </c>
    </row>
    <row r="127" spans="1:11" ht="16.5" hidden="1">
      <c r="A127" s="15" t="s">
        <v>32</v>
      </c>
      <c r="B127" s="58" t="s">
        <v>189</v>
      </c>
      <c r="C127" s="58" t="s">
        <v>171</v>
      </c>
      <c r="D127" s="58" t="str">
        <f>C127</f>
        <v>float</v>
      </c>
      <c r="E127" s="59"/>
      <c r="F127" s="15"/>
      <c r="G127" s="2"/>
      <c r="H127" s="13" t="s">
        <v>38</v>
      </c>
      <c r="I127">
        <v>0</v>
      </c>
      <c r="J127" s="22"/>
      <c r="K127" s="1" t="str">
        <f t="shared" si="11"/>
        <v>"HEN_ACTIVITY_NO":"0"</v>
      </c>
    </row>
    <row r="128" spans="1:11" ht="16.5">
      <c r="A128" s="15" t="s">
        <v>32</v>
      </c>
      <c r="B128" s="58" t="s">
        <v>190</v>
      </c>
      <c r="C128" s="58" t="s">
        <v>37</v>
      </c>
      <c r="D128" s="58" t="str">
        <f t="shared" si="9"/>
        <v>nvarchar</v>
      </c>
      <c r="E128" s="59" t="str">
        <f t="shared" si="10"/>
        <v>(30)</v>
      </c>
      <c r="F128" s="15"/>
      <c r="G128" s="87"/>
      <c r="H128" s="13" t="s">
        <v>21</v>
      </c>
      <c r="I128"/>
      <c r="J128" s="22"/>
      <c r="K128" s="1" t="str">
        <f t="shared" ref="K128:K132" si="15">""""&amp;B128&amp;""""&amp;":"&amp;""""&amp;I128&amp;""""&amp;","</f>
        <v>"HEN_WORK_CENTER":"",</v>
      </c>
    </row>
    <row r="129" spans="1:11" ht="16.5">
      <c r="A129" s="15" t="s">
        <v>32</v>
      </c>
      <c r="B129" s="58" t="s">
        <v>191</v>
      </c>
      <c r="C129" s="58" t="s">
        <v>61</v>
      </c>
      <c r="D129" s="58" t="str">
        <f t="shared" ref="D129:D131" si="16">C129</f>
        <v>datetime</v>
      </c>
      <c r="E129" s="59"/>
      <c r="F129" s="15"/>
      <c r="G129" s="87" t="s">
        <v>192</v>
      </c>
      <c r="H129" s="13" t="s">
        <v>21</v>
      </c>
      <c r="I129" t="s">
        <v>75</v>
      </c>
      <c r="J129" s="22"/>
      <c r="K129" s="1" t="str">
        <f t="shared" si="15"/>
        <v>"HEN_DATE_MFG":"NULL",</v>
      </c>
    </row>
    <row r="130" spans="1:11" ht="16.5">
      <c r="A130" s="15" t="s">
        <v>32</v>
      </c>
      <c r="B130" s="58" t="s">
        <v>193</v>
      </c>
      <c r="C130" s="58" t="s">
        <v>61</v>
      </c>
      <c r="D130" s="58" t="str">
        <f t="shared" si="16"/>
        <v>datetime</v>
      </c>
      <c r="E130" s="59"/>
      <c r="F130" s="15"/>
      <c r="G130" s="87" t="s">
        <v>194</v>
      </c>
      <c r="H130" s="13" t="s">
        <v>21</v>
      </c>
      <c r="I130" t="s">
        <v>75</v>
      </c>
      <c r="J130" s="22"/>
      <c r="K130" s="1" t="str">
        <f t="shared" si="15"/>
        <v>"HEN_DATE_EXPIRED":"NULL",</v>
      </c>
    </row>
    <row r="131" spans="1:11" ht="16.5">
      <c r="A131" s="15" t="s">
        <v>32</v>
      </c>
      <c r="B131" s="74" t="s">
        <v>195</v>
      </c>
      <c r="C131" s="58" t="s">
        <v>61</v>
      </c>
      <c r="D131" s="58" t="str">
        <f t="shared" si="16"/>
        <v>datetime</v>
      </c>
      <c r="E131" s="59"/>
      <c r="F131" s="15"/>
      <c r="G131" s="86" t="s">
        <v>62</v>
      </c>
      <c r="H131" s="13" t="s">
        <v>21</v>
      </c>
      <c r="I131" s="73">
        <v>45532.176900034719</v>
      </c>
      <c r="J131" s="22"/>
      <c r="K131" s="1" t="str">
        <f t="shared" si="15"/>
        <v>"HEN_DATE_LOGIN":"45532.1769000347",</v>
      </c>
    </row>
    <row r="132" spans="1:11" ht="16.5">
      <c r="A132" s="15" t="s">
        <v>32</v>
      </c>
      <c r="B132" s="58" t="s">
        <v>196</v>
      </c>
      <c r="C132" s="58" t="s">
        <v>81</v>
      </c>
      <c r="D132" s="58" t="str">
        <f t="shared" si="9"/>
        <v>nvarchar</v>
      </c>
      <c r="E132" s="59" t="str">
        <f t="shared" si="10"/>
        <v>(234)</v>
      </c>
      <c r="F132" s="15"/>
      <c r="G132" s="87"/>
      <c r="H132" s="13" t="s">
        <v>21</v>
      </c>
      <c r="I132" t="s">
        <v>184</v>
      </c>
      <c r="J132" s="22"/>
      <c r="K132" s="1" t="str">
        <f t="shared" si="15"/>
        <v>"HEN_PHASE_NUMBER":" ",</v>
      </c>
    </row>
    <row r="133" spans="1:11" ht="16.5" hidden="1">
      <c r="A133" s="15" t="s">
        <v>32</v>
      </c>
      <c r="B133" s="58" t="s">
        <v>197</v>
      </c>
      <c r="C133" s="58" t="s">
        <v>81</v>
      </c>
      <c r="D133" s="58" t="str">
        <f t="shared" si="9"/>
        <v>nvarchar</v>
      </c>
      <c r="E133" s="59" t="str">
        <f t="shared" si="10"/>
        <v>(234)</v>
      </c>
      <c r="F133" s="15"/>
      <c r="G133" s="2"/>
      <c r="H133" s="13" t="s">
        <v>38</v>
      </c>
      <c r="I133"/>
      <c r="J133" s="22"/>
      <c r="K133" s="1" t="str">
        <f t="shared" si="11"/>
        <v>"HEN_NS_DEPARTMENT":""</v>
      </c>
    </row>
    <row r="134" spans="1:11" ht="16.5" hidden="1">
      <c r="A134" s="15" t="s">
        <v>32</v>
      </c>
      <c r="B134" s="58" t="s">
        <v>198</v>
      </c>
      <c r="C134" s="58" t="s">
        <v>81</v>
      </c>
      <c r="D134" s="58" t="str">
        <f t="shared" si="9"/>
        <v>nvarchar</v>
      </c>
      <c r="E134" s="59" t="str">
        <f t="shared" si="10"/>
        <v>(234)</v>
      </c>
      <c r="F134" s="15"/>
      <c r="G134" s="2"/>
      <c r="H134" s="13" t="s">
        <v>38</v>
      </c>
      <c r="I134"/>
      <c r="J134" s="22"/>
      <c r="K134" s="1" t="str">
        <f t="shared" si="11"/>
        <v>"HEN_NS_NAME":""</v>
      </c>
    </row>
    <row r="135" spans="1:11" ht="16.5" hidden="1">
      <c r="A135" s="15" t="s">
        <v>32</v>
      </c>
      <c r="B135" s="58" t="s">
        <v>199</v>
      </c>
      <c r="C135" s="58" t="s">
        <v>81</v>
      </c>
      <c r="D135" s="58" t="str">
        <f t="shared" si="9"/>
        <v>nvarchar</v>
      </c>
      <c r="E135" s="59" t="str">
        <f t="shared" si="10"/>
        <v>(234)</v>
      </c>
      <c r="F135" s="15"/>
      <c r="G135" s="2"/>
      <c r="H135" s="13" t="s">
        <v>38</v>
      </c>
      <c r="I135"/>
      <c r="J135" s="22"/>
      <c r="K135" s="1" t="str">
        <f t="shared" si="11"/>
        <v>"HEN_NS_EMAIL":""</v>
      </c>
    </row>
    <row r="136" spans="1:11" ht="16.5" hidden="1">
      <c r="A136" s="15" t="s">
        <v>32</v>
      </c>
      <c r="B136" s="58" t="s">
        <v>200</v>
      </c>
      <c r="C136" s="58" t="s">
        <v>81</v>
      </c>
      <c r="D136" s="58" t="str">
        <f t="shared" si="9"/>
        <v>nvarchar</v>
      </c>
      <c r="E136" s="59" t="str">
        <f t="shared" si="10"/>
        <v>(234)</v>
      </c>
      <c r="F136" s="15"/>
      <c r="G136" s="2"/>
      <c r="H136" s="13" t="s">
        <v>38</v>
      </c>
      <c r="I136"/>
      <c r="J136" s="22"/>
      <c r="K136" s="1" t="str">
        <f t="shared" si="11"/>
        <v>"HEN_NS_REGION":""</v>
      </c>
    </row>
    <row r="137" spans="1:11" ht="16.5" hidden="1">
      <c r="A137" s="15" t="s">
        <v>32</v>
      </c>
      <c r="B137" s="58" t="s">
        <v>201</v>
      </c>
      <c r="C137" s="58" t="s">
        <v>81</v>
      </c>
      <c r="D137" s="58" t="str">
        <f t="shared" si="9"/>
        <v>nvarchar</v>
      </c>
      <c r="E137" s="59" t="str">
        <f t="shared" si="10"/>
        <v>(234)</v>
      </c>
      <c r="F137" s="15"/>
      <c r="G137" s="2"/>
      <c r="H137" s="13" t="s">
        <v>38</v>
      </c>
      <c r="I137"/>
      <c r="J137" s="22"/>
      <c r="K137" s="1" t="str">
        <f t="shared" si="11"/>
        <v>"HEN_NS_COUNTRY":""</v>
      </c>
    </row>
    <row r="138" spans="1:11" ht="16.5" hidden="1">
      <c r="A138" s="15" t="s">
        <v>32</v>
      </c>
      <c r="B138" s="58" t="s">
        <v>202</v>
      </c>
      <c r="C138" s="58" t="s">
        <v>81</v>
      </c>
      <c r="D138" s="58" t="str">
        <f t="shared" si="9"/>
        <v>nvarchar</v>
      </c>
      <c r="E138" s="59" t="str">
        <f t="shared" si="10"/>
        <v>(234)</v>
      </c>
      <c r="F138" s="15"/>
      <c r="G138" s="2"/>
      <c r="H138" s="13" t="s">
        <v>38</v>
      </c>
      <c r="I138"/>
      <c r="J138" s="22"/>
      <c r="K138" s="1" t="str">
        <f t="shared" si="11"/>
        <v>"HEN_PLANT_NAME":""</v>
      </c>
    </row>
    <row r="139" spans="1:11" ht="16.5" hidden="1">
      <c r="A139" s="15" t="s">
        <v>32</v>
      </c>
      <c r="B139" s="58" t="s">
        <v>203</v>
      </c>
      <c r="C139" s="58" t="s">
        <v>81</v>
      </c>
      <c r="D139" s="58" t="str">
        <f t="shared" si="9"/>
        <v>nvarchar</v>
      </c>
      <c r="E139" s="59" t="str">
        <f t="shared" si="10"/>
        <v>(234)</v>
      </c>
      <c r="F139" s="15"/>
      <c r="G139" s="2"/>
      <c r="H139" s="13" t="s">
        <v>38</v>
      </c>
      <c r="I139"/>
      <c r="J139" s="22"/>
      <c r="K139" s="1" t="str">
        <f t="shared" si="11"/>
        <v>"HEN_NS_MATERIAL":""</v>
      </c>
    </row>
    <row r="140" spans="1:11" ht="16.5" hidden="1">
      <c r="A140" s="15" t="s">
        <v>32</v>
      </c>
      <c r="B140" s="58" t="s">
        <v>204</v>
      </c>
      <c r="C140" s="58" t="s">
        <v>81</v>
      </c>
      <c r="D140" s="58" t="str">
        <f t="shared" si="9"/>
        <v>nvarchar</v>
      </c>
      <c r="E140" s="59" t="str">
        <f t="shared" si="10"/>
        <v>(234)</v>
      </c>
      <c r="F140" s="15"/>
      <c r="G140" s="87" t="s">
        <v>205</v>
      </c>
      <c r="H140" s="13" t="s">
        <v>38</v>
      </c>
      <c r="I140"/>
      <c r="J140" s="22"/>
      <c r="K140" s="1" t="str">
        <f t="shared" ref="K140:K143" si="17">""""&amp;B140&amp;""""&amp;":"&amp;""""&amp;I140&amp;""""&amp;","</f>
        <v>"HEN_NS_TEST":"",</v>
      </c>
    </row>
    <row r="141" spans="1:11" ht="16.5" hidden="1">
      <c r="A141" s="15" t="s">
        <v>32</v>
      </c>
      <c r="B141" s="58" t="s">
        <v>206</v>
      </c>
      <c r="C141" s="58" t="s">
        <v>81</v>
      </c>
      <c r="D141" s="58" t="str">
        <f t="shared" si="9"/>
        <v>nvarchar</v>
      </c>
      <c r="E141" s="59" t="str">
        <f t="shared" si="10"/>
        <v>(234)</v>
      </c>
      <c r="F141" s="15"/>
      <c r="G141" s="87" t="s">
        <v>205</v>
      </c>
      <c r="H141" s="13" t="s">
        <v>38</v>
      </c>
      <c r="I141"/>
      <c r="J141" s="22"/>
      <c r="K141" s="1" t="str">
        <f t="shared" si="17"/>
        <v>"HEN_NS_NUMBER":"",</v>
      </c>
    </row>
    <row r="142" spans="1:11" ht="16.5" hidden="1">
      <c r="A142" s="15" t="s">
        <v>32</v>
      </c>
      <c r="B142" s="58" t="s">
        <v>207</v>
      </c>
      <c r="C142" s="58" t="s">
        <v>61</v>
      </c>
      <c r="D142" s="58" t="str">
        <f>C142</f>
        <v>datetime</v>
      </c>
      <c r="E142" s="59"/>
      <c r="F142" s="15"/>
      <c r="G142" s="87" t="s">
        <v>205</v>
      </c>
      <c r="H142" s="13" t="s">
        <v>38</v>
      </c>
      <c r="I142" t="s">
        <v>75</v>
      </c>
      <c r="J142" s="22"/>
      <c r="K142" s="1" t="str">
        <f t="shared" si="17"/>
        <v>"HEN_NS_EXPECTDATE":"NULL",</v>
      </c>
    </row>
    <row r="143" spans="1:11" ht="16.5" hidden="1">
      <c r="A143" s="15" t="s">
        <v>32</v>
      </c>
      <c r="B143" s="58" t="s">
        <v>208</v>
      </c>
      <c r="C143" s="58" t="s">
        <v>49</v>
      </c>
      <c r="D143" s="58" t="s">
        <v>50</v>
      </c>
      <c r="E143" s="59" t="str">
        <f t="shared" si="10"/>
        <v>(1)</v>
      </c>
      <c r="F143" s="15"/>
      <c r="G143" s="87" t="s">
        <v>205</v>
      </c>
      <c r="H143" s="13" t="s">
        <v>38</v>
      </c>
      <c r="I143" t="s">
        <v>51</v>
      </c>
      <c r="J143" s="22"/>
      <c r="K143" s="1" t="str">
        <f t="shared" si="17"/>
        <v>"HEN_NS_USERETAIN":"F",</v>
      </c>
    </row>
    <row r="144" spans="1:11" ht="16.5" hidden="1">
      <c r="A144" s="15" t="s">
        <v>32</v>
      </c>
      <c r="B144" s="58" t="s">
        <v>209</v>
      </c>
      <c r="C144" s="58" t="s">
        <v>49</v>
      </c>
      <c r="D144" s="58" t="s">
        <v>50</v>
      </c>
      <c r="E144" s="59" t="str">
        <f t="shared" si="10"/>
        <v>(1)</v>
      </c>
      <c r="F144" s="15"/>
      <c r="G144" s="2"/>
      <c r="H144" s="13" t="s">
        <v>38</v>
      </c>
      <c r="I144" t="s">
        <v>51</v>
      </c>
      <c r="J144" s="22"/>
      <c r="K144" s="1" t="str">
        <f t="shared" si="11"/>
        <v>"HEN_ALLOW_COPY":"F"</v>
      </c>
    </row>
    <row r="145" spans="1:11" ht="16.5">
      <c r="A145" s="15" t="s">
        <v>32</v>
      </c>
      <c r="B145" s="58" t="s">
        <v>210</v>
      </c>
      <c r="C145" s="58" t="s">
        <v>81</v>
      </c>
      <c r="D145" s="58" t="str">
        <f t="shared" ref="D145:D152" si="18">LEFT(C145,FIND("(",C145)-1)</f>
        <v>nvarchar</v>
      </c>
      <c r="E145" s="59" t="str">
        <f t="shared" ref="E145:E152" si="19">MID(C145,FIND("(",C145),5)</f>
        <v>(234)</v>
      </c>
      <c r="F145" s="15"/>
      <c r="G145" s="87" t="s">
        <v>211</v>
      </c>
      <c r="H145" s="13" t="s">
        <v>21</v>
      </c>
      <c r="I145" t="s">
        <v>184</v>
      </c>
      <c r="J145" s="22"/>
      <c r="K145" s="1" t="str">
        <f t="shared" ref="K145:K149" si="20">""""&amp;B145&amp;""""&amp;":"&amp;""""&amp;I145&amp;""""&amp;","</f>
        <v>"HEN_MES_ID":" ",</v>
      </c>
    </row>
    <row r="146" spans="1:11" ht="16.5" hidden="1">
      <c r="A146" s="15" t="s">
        <v>32</v>
      </c>
      <c r="B146" s="75" t="s">
        <v>212</v>
      </c>
      <c r="C146" s="58" t="s">
        <v>61</v>
      </c>
      <c r="D146" s="58" t="str">
        <f>C146</f>
        <v>datetime</v>
      </c>
      <c r="E146" s="59"/>
      <c r="F146" s="15"/>
      <c r="G146" s="87" t="s">
        <v>213</v>
      </c>
      <c r="H146" s="13" t="s">
        <v>38</v>
      </c>
      <c r="I146" t="s">
        <v>75</v>
      </c>
      <c r="J146" s="22"/>
      <c r="K146" s="1" t="str">
        <f t="shared" si="20"/>
        <v>"HEN_RECEIVED_DATE":"NULL",</v>
      </c>
    </row>
    <row r="147" spans="1:11" ht="16.5" hidden="1">
      <c r="A147" s="15" t="s">
        <v>32</v>
      </c>
      <c r="B147" s="75" t="s">
        <v>214</v>
      </c>
      <c r="C147" s="58" t="s">
        <v>64</v>
      </c>
      <c r="D147" s="58" t="str">
        <f t="shared" si="18"/>
        <v>nvarchar</v>
      </c>
      <c r="E147" s="59" t="str">
        <f t="shared" si="19"/>
        <v>(10)</v>
      </c>
      <c r="F147" s="15"/>
      <c r="G147" s="87" t="s">
        <v>215</v>
      </c>
      <c r="H147" s="13" t="s">
        <v>38</v>
      </c>
      <c r="I147" t="s">
        <v>184</v>
      </c>
      <c r="J147" s="22"/>
      <c r="K147" s="1" t="str">
        <f t="shared" si="20"/>
        <v>"HEN_RECEIVED_BY":" ",</v>
      </c>
    </row>
    <row r="148" spans="1:11" ht="16.5">
      <c r="A148" s="15" t="s">
        <v>32</v>
      </c>
      <c r="B148" s="58" t="s">
        <v>216</v>
      </c>
      <c r="C148" s="58" t="s">
        <v>64</v>
      </c>
      <c r="D148" s="58" t="str">
        <f t="shared" si="18"/>
        <v>nvarchar</v>
      </c>
      <c r="E148" s="59" t="str">
        <f t="shared" si="19"/>
        <v>(10)</v>
      </c>
      <c r="F148" s="15"/>
      <c r="G148" s="87" t="s">
        <v>217</v>
      </c>
      <c r="H148" s="13" t="s">
        <v>21</v>
      </c>
      <c r="I148" t="s">
        <v>184</v>
      </c>
      <c r="J148" s="22"/>
      <c r="K148" s="1" t="str">
        <f t="shared" si="20"/>
        <v>"HEN_INSPECTION_CATEGORY":" ",</v>
      </c>
    </row>
    <row r="149" spans="1:11" ht="16.5">
      <c r="A149" s="15" t="s">
        <v>32</v>
      </c>
      <c r="B149" s="58" t="s">
        <v>218</v>
      </c>
      <c r="C149" s="58" t="s">
        <v>37</v>
      </c>
      <c r="D149" s="58" t="str">
        <f t="shared" si="18"/>
        <v>nvarchar</v>
      </c>
      <c r="E149" s="59" t="str">
        <f t="shared" si="19"/>
        <v>(30)</v>
      </c>
      <c r="F149" s="15"/>
      <c r="G149" s="87" t="s">
        <v>219</v>
      </c>
      <c r="H149" s="13" t="s">
        <v>21</v>
      </c>
      <c r="I149" t="s">
        <v>184</v>
      </c>
      <c r="J149" s="22"/>
      <c r="K149" s="1" t="str">
        <f t="shared" si="20"/>
        <v>"HEN_PROD_LINE":" ",</v>
      </c>
    </row>
    <row r="150" spans="1:11" ht="16.5" hidden="1">
      <c r="A150" s="15" t="s">
        <v>32</v>
      </c>
      <c r="B150" s="58" t="s">
        <v>220</v>
      </c>
      <c r="C150" s="58" t="s">
        <v>37</v>
      </c>
      <c r="D150" s="58" t="str">
        <f t="shared" si="18"/>
        <v>nvarchar</v>
      </c>
      <c r="E150" s="59" t="str">
        <f t="shared" si="19"/>
        <v>(30)</v>
      </c>
      <c r="F150" s="15"/>
      <c r="G150" s="87"/>
      <c r="H150" s="13" t="s">
        <v>38</v>
      </c>
      <c r="I150" t="s">
        <v>184</v>
      </c>
      <c r="J150" s="22"/>
      <c r="K150" s="1" t="str">
        <f t="shared" ref="K150:K208" si="21">""""&amp;B150&amp;""""&amp;":"&amp;""""&amp;I150&amp;""""</f>
        <v>"HEN_PROD_LINE_PLANT":" "</v>
      </c>
    </row>
    <row r="151" spans="1:11" ht="16.5" hidden="1">
      <c r="A151" s="15" t="s">
        <v>32</v>
      </c>
      <c r="B151" s="58" t="s">
        <v>221</v>
      </c>
      <c r="C151" s="58" t="s">
        <v>34</v>
      </c>
      <c r="D151" s="58" t="str">
        <f t="shared" si="18"/>
        <v>varchar</v>
      </c>
      <c r="E151" s="59" t="str">
        <f t="shared" si="19"/>
        <v>(10)</v>
      </c>
      <c r="F151" s="15"/>
      <c r="G151" s="87" t="s">
        <v>222</v>
      </c>
      <c r="H151" s="13" t="s">
        <v>38</v>
      </c>
      <c r="I151">
        <v>0</v>
      </c>
      <c r="J151" s="22"/>
      <c r="K151" s="1" t="str">
        <f t="shared" ref="K151:K156" si="22">""""&amp;B151&amp;""""&amp;":"&amp;""""&amp;I151&amp;""""&amp;","</f>
        <v>"HEN_RESULT_FROM":"0",</v>
      </c>
    </row>
    <row r="152" spans="1:11" ht="16.5">
      <c r="A152" s="15" t="s">
        <v>32</v>
      </c>
      <c r="B152" s="58" t="s">
        <v>223</v>
      </c>
      <c r="C152" s="58" t="s">
        <v>81</v>
      </c>
      <c r="D152" s="58" t="str">
        <f t="shared" si="18"/>
        <v>nvarchar</v>
      </c>
      <c r="E152" s="59" t="str">
        <f t="shared" si="19"/>
        <v>(234)</v>
      </c>
      <c r="F152" s="15"/>
      <c r="G152" s="87" t="s">
        <v>224</v>
      </c>
      <c r="H152" s="13" t="s">
        <v>21</v>
      </c>
      <c r="I152" t="s">
        <v>184</v>
      </c>
      <c r="J152" s="22"/>
      <c r="K152" s="1" t="str">
        <f t="shared" si="22"/>
        <v>"HEN_INSPECTION_LOT":" ",</v>
      </c>
    </row>
    <row r="153" spans="1:11" ht="22.15" customHeight="1">
      <c r="A153" s="16" t="s">
        <v>225</v>
      </c>
      <c r="B153" s="80" t="s">
        <v>226</v>
      </c>
      <c r="C153" s="79"/>
      <c r="D153" s="79"/>
      <c r="E153" s="79"/>
      <c r="F153" s="79"/>
      <c r="G153" s="88"/>
      <c r="H153" s="35" t="s">
        <v>21</v>
      </c>
      <c r="I153" s="35"/>
      <c r="J153" s="61"/>
      <c r="K153" s="1" t="str">
        <f t="shared" si="22"/>
        <v>"Sub Node: TEST":"",</v>
      </c>
    </row>
    <row r="154" spans="1:11" ht="22.15" customHeight="1">
      <c r="A154" s="15" t="s">
        <v>227</v>
      </c>
      <c r="B154" s="58" t="s">
        <v>228</v>
      </c>
      <c r="C154" s="58" t="s">
        <v>34</v>
      </c>
      <c r="D154" s="58" t="str">
        <f t="shared" ref="D154:D217" si="23">LEFT(C154,FIND("(",C154)-1)</f>
        <v>varchar</v>
      </c>
      <c r="E154" s="71" t="str">
        <f t="shared" ref="E154" si="24">MID(C154,FIND("(",C154),5)</f>
        <v>(10)</v>
      </c>
      <c r="F154" s="49" t="s">
        <v>21</v>
      </c>
      <c r="G154" s="86" t="s">
        <v>229</v>
      </c>
      <c r="H154" s="49" t="s">
        <v>21</v>
      </c>
      <c r="I154">
        <v>47</v>
      </c>
      <c r="J154" s="50"/>
      <c r="K154" s="1" t="str">
        <f t="shared" si="22"/>
        <v>"TEST_NUMBER":"47",</v>
      </c>
    </row>
    <row r="155" spans="1:11" ht="22.15" customHeight="1">
      <c r="A155" s="15" t="s">
        <v>227</v>
      </c>
      <c r="B155" s="58" t="s">
        <v>230</v>
      </c>
      <c r="C155" s="58" t="s">
        <v>64</v>
      </c>
      <c r="D155" s="58" t="str">
        <f t="shared" si="23"/>
        <v>nvarchar</v>
      </c>
      <c r="E155" s="71" t="str">
        <f t="shared" ref="E155:E218" si="25">MID(C155,FIND("(",C155),5)</f>
        <v>(10)</v>
      </c>
      <c r="F155" s="49"/>
      <c r="G155" s="22" t="s">
        <v>231</v>
      </c>
      <c r="H155" s="49" t="s">
        <v>21</v>
      </c>
      <c r="I155" t="s">
        <v>227</v>
      </c>
      <c r="J155" s="50"/>
      <c r="K155" s="1" t="str">
        <f t="shared" si="22"/>
        <v>"ANALYSIS":"TEST",</v>
      </c>
    </row>
    <row r="156" spans="1:11" ht="22.15" customHeight="1">
      <c r="A156" s="15" t="s">
        <v>227</v>
      </c>
      <c r="B156" s="58" t="s">
        <v>32</v>
      </c>
      <c r="C156" s="58" t="s">
        <v>34</v>
      </c>
      <c r="D156" s="58" t="str">
        <f t="shared" si="23"/>
        <v>varchar</v>
      </c>
      <c r="E156" s="71" t="str">
        <f t="shared" si="25"/>
        <v>(10)</v>
      </c>
      <c r="F156" s="49"/>
      <c r="G156" s="22" t="s">
        <v>232</v>
      </c>
      <c r="H156" s="49" t="s">
        <v>21</v>
      </c>
      <c r="I156">
        <v>20</v>
      </c>
      <c r="J156" s="50"/>
      <c r="K156" s="1" t="str">
        <f t="shared" si="22"/>
        <v>"SAMPLE":"20",</v>
      </c>
    </row>
    <row r="157" spans="1:11" ht="22.15" hidden="1" customHeight="1">
      <c r="A157" s="15" t="s">
        <v>227</v>
      </c>
      <c r="B157" s="58" t="s">
        <v>98</v>
      </c>
      <c r="C157" s="58" t="s">
        <v>64</v>
      </c>
      <c r="D157" s="58" t="str">
        <f t="shared" si="23"/>
        <v>nvarchar</v>
      </c>
      <c r="E157" s="71" t="str">
        <f t="shared" si="25"/>
        <v>(10)</v>
      </c>
      <c r="F157" s="49"/>
      <c r="G157" s="49"/>
      <c r="H157" s="49" t="s">
        <v>38</v>
      </c>
      <c r="I157" t="s">
        <v>233</v>
      </c>
      <c r="J157" s="50"/>
      <c r="K157" s="1" t="str">
        <f t="shared" si="21"/>
        <v>"PREPARATION":"TEST_PREP"</v>
      </c>
    </row>
    <row r="158" spans="1:11" ht="22.15" hidden="1" customHeight="1">
      <c r="A158" s="15" t="s">
        <v>227</v>
      </c>
      <c r="B158" s="58" t="s">
        <v>234</v>
      </c>
      <c r="C158" s="58" t="s">
        <v>59</v>
      </c>
      <c r="D158" s="58" t="str">
        <f>C158</f>
        <v>int</v>
      </c>
      <c r="E158" s="71"/>
      <c r="F158" s="49"/>
      <c r="G158" s="22"/>
      <c r="H158" s="49" t="s">
        <v>38</v>
      </c>
      <c r="I158">
        <v>1</v>
      </c>
      <c r="J158" s="50"/>
      <c r="K158" s="1" t="str">
        <f t="shared" si="21"/>
        <v>"TEST_COUNT":"1"</v>
      </c>
    </row>
    <row r="159" spans="1:11" ht="22.15" hidden="1" customHeight="1">
      <c r="A159" s="15" t="s">
        <v>227</v>
      </c>
      <c r="B159" s="58" t="s">
        <v>42</v>
      </c>
      <c r="C159" s="58" t="s">
        <v>43</v>
      </c>
      <c r="D159" s="58" t="str">
        <f t="shared" si="23"/>
        <v>nvarchar</v>
      </c>
      <c r="E159" s="71" t="str">
        <f t="shared" si="25"/>
        <v>(1)</v>
      </c>
      <c r="F159" s="49"/>
      <c r="G159" s="86" t="s">
        <v>235</v>
      </c>
      <c r="H159" s="49" t="s">
        <v>38</v>
      </c>
      <c r="I159" t="s">
        <v>45</v>
      </c>
      <c r="J159" s="50"/>
      <c r="K159" s="1" t="str">
        <f>""""&amp;B159&amp;""""&amp;":"&amp;""""&amp;I159&amp;""""&amp;","</f>
        <v>"STATUS":"A",</v>
      </c>
    </row>
    <row r="160" spans="1:11" ht="22.15" hidden="1" customHeight="1">
      <c r="A160" s="15" t="s">
        <v>227</v>
      </c>
      <c r="B160" s="58" t="s">
        <v>46</v>
      </c>
      <c r="C160" s="58" t="s">
        <v>43</v>
      </c>
      <c r="D160" s="58" t="str">
        <f t="shared" si="23"/>
        <v>nvarchar</v>
      </c>
      <c r="E160" s="71" t="str">
        <f t="shared" si="25"/>
        <v>(1)</v>
      </c>
      <c r="F160" s="49"/>
      <c r="G160" s="49"/>
      <c r="H160" s="49" t="s">
        <v>38</v>
      </c>
      <c r="I160" t="s">
        <v>47</v>
      </c>
      <c r="J160" s="50"/>
      <c r="K160" s="1" t="str">
        <f t="shared" si="21"/>
        <v>"OLD_STATUS":"C"</v>
      </c>
    </row>
    <row r="161" spans="1:11" ht="22.15" hidden="1" customHeight="1">
      <c r="A161" s="15" t="s">
        <v>227</v>
      </c>
      <c r="B161" s="58" t="s">
        <v>69</v>
      </c>
      <c r="C161" s="58" t="s">
        <v>61</v>
      </c>
      <c r="D161" s="58" t="str">
        <f>C161</f>
        <v>datetime</v>
      </c>
      <c r="E161" s="71"/>
      <c r="F161" s="49"/>
      <c r="G161" s="86" t="s">
        <v>236</v>
      </c>
      <c r="H161" s="49" t="s">
        <v>38</v>
      </c>
      <c r="I161" s="73">
        <v>45532.236450266202</v>
      </c>
      <c r="J161" s="50"/>
      <c r="K161" s="1" t="str">
        <f t="shared" ref="K161:K162" si="26">""""&amp;B161&amp;""""&amp;":"&amp;""""&amp;I161&amp;""""&amp;","</f>
        <v>"DATE_STARTED":"45532.2364502662",</v>
      </c>
    </row>
    <row r="162" spans="1:11" ht="22.15" hidden="1" customHeight="1">
      <c r="A162" s="15" t="s">
        <v>227</v>
      </c>
      <c r="B162" s="58" t="s">
        <v>70</v>
      </c>
      <c r="C162" s="58" t="s">
        <v>64</v>
      </c>
      <c r="D162" s="58" t="str">
        <f t="shared" si="23"/>
        <v>nvarchar</v>
      </c>
      <c r="E162" s="71" t="str">
        <f t="shared" si="25"/>
        <v>(10)</v>
      </c>
      <c r="F162" s="49"/>
      <c r="G162" s="86" t="s">
        <v>237</v>
      </c>
      <c r="H162" s="49" t="s">
        <v>38</v>
      </c>
      <c r="I162" t="s">
        <v>66</v>
      </c>
      <c r="J162" s="50"/>
      <c r="K162" s="1" t="str">
        <f t="shared" si="26"/>
        <v>"STARTER":"SYSTEM",</v>
      </c>
    </row>
    <row r="163" spans="1:11" ht="22.15" hidden="1" customHeight="1">
      <c r="A163" s="15" t="s">
        <v>227</v>
      </c>
      <c r="B163" s="58" t="s">
        <v>72</v>
      </c>
      <c r="C163" s="58" t="s">
        <v>61</v>
      </c>
      <c r="D163" s="58" t="str">
        <f>C163</f>
        <v>datetime</v>
      </c>
      <c r="E163" s="71"/>
      <c r="F163" s="49"/>
      <c r="G163" s="22"/>
      <c r="H163" s="49" t="s">
        <v>38</v>
      </c>
      <c r="I163" s="73">
        <v>45532.236450266202</v>
      </c>
      <c r="J163" s="50"/>
      <c r="K163" s="1" t="str">
        <f t="shared" si="21"/>
        <v>"DATE_COMPLETED":"45532.2364502662"</v>
      </c>
    </row>
    <row r="164" spans="1:11" ht="22.15" hidden="1" customHeight="1">
      <c r="A164" s="15" t="s">
        <v>227</v>
      </c>
      <c r="B164" s="58" t="s">
        <v>73</v>
      </c>
      <c r="C164" s="58" t="s">
        <v>64</v>
      </c>
      <c r="D164" s="58" t="str">
        <f t="shared" si="23"/>
        <v>nvarchar</v>
      </c>
      <c r="E164" s="71" t="str">
        <f t="shared" si="25"/>
        <v>(10)</v>
      </c>
      <c r="F164" s="49"/>
      <c r="G164" s="22"/>
      <c r="H164" s="49" t="s">
        <v>38</v>
      </c>
      <c r="I164" t="s">
        <v>66</v>
      </c>
      <c r="J164" s="50"/>
      <c r="K164" s="1" t="str">
        <f t="shared" si="21"/>
        <v>"COMPLETER":"SYSTEM"</v>
      </c>
    </row>
    <row r="165" spans="1:11" ht="22.15" hidden="1" customHeight="1">
      <c r="A165" s="15" t="s">
        <v>227</v>
      </c>
      <c r="B165" s="58" t="s">
        <v>76</v>
      </c>
      <c r="C165" s="58" t="s">
        <v>61</v>
      </c>
      <c r="D165" s="58" t="str">
        <f>C165</f>
        <v>datetime</v>
      </c>
      <c r="E165" s="71"/>
      <c r="F165" s="49"/>
      <c r="G165" s="86" t="s">
        <v>238</v>
      </c>
      <c r="H165" s="49" t="s">
        <v>38</v>
      </c>
      <c r="I165" s="73">
        <v>45532.240039317127</v>
      </c>
      <c r="J165" s="50"/>
      <c r="K165" s="1" t="str">
        <f t="shared" ref="K165:K166" si="27">""""&amp;B165&amp;""""&amp;":"&amp;""""&amp;I165&amp;""""&amp;","</f>
        <v>"DATE_AUTHORISED":"45532.2400393171",</v>
      </c>
    </row>
    <row r="166" spans="1:11" ht="22.15" hidden="1" customHeight="1">
      <c r="A166" s="15" t="s">
        <v>227</v>
      </c>
      <c r="B166" s="58" t="s">
        <v>78</v>
      </c>
      <c r="C166" s="58" t="s">
        <v>64</v>
      </c>
      <c r="D166" s="58" t="str">
        <f t="shared" si="23"/>
        <v>nvarchar</v>
      </c>
      <c r="E166" s="71" t="str">
        <f t="shared" si="25"/>
        <v>(10)</v>
      </c>
      <c r="F166" s="49"/>
      <c r="G166" s="86" t="s">
        <v>239</v>
      </c>
      <c r="H166" s="49" t="s">
        <v>38</v>
      </c>
      <c r="I166" t="s">
        <v>66</v>
      </c>
      <c r="J166" s="50"/>
      <c r="K166" s="1" t="str">
        <f t="shared" si="27"/>
        <v>"AUTHORISER":"SYSTEM",</v>
      </c>
    </row>
    <row r="167" spans="1:11" ht="22.15" hidden="1" customHeight="1">
      <c r="A167" s="15" t="s">
        <v>227</v>
      </c>
      <c r="B167" s="58" t="s">
        <v>240</v>
      </c>
      <c r="C167" s="58" t="s">
        <v>59</v>
      </c>
      <c r="D167" s="58" t="str">
        <f>C167</f>
        <v>int</v>
      </c>
      <c r="E167" s="71"/>
      <c r="F167" s="49"/>
      <c r="G167" s="49"/>
      <c r="H167" s="49" t="s">
        <v>38</v>
      </c>
      <c r="I167">
        <v>0</v>
      </c>
      <c r="J167" s="50"/>
      <c r="K167" s="1" t="str">
        <f t="shared" si="21"/>
        <v>"COMPONENT_REPLICATES":"0"</v>
      </c>
    </row>
    <row r="168" spans="1:11" ht="22.15" hidden="1" customHeight="1">
      <c r="A168" s="15" t="s">
        <v>227</v>
      </c>
      <c r="B168" s="58" t="s">
        <v>241</v>
      </c>
      <c r="C168" s="58" t="s">
        <v>34</v>
      </c>
      <c r="D168" s="58" t="str">
        <f t="shared" si="23"/>
        <v>varchar</v>
      </c>
      <c r="E168" s="71" t="str">
        <f t="shared" si="25"/>
        <v>(10)</v>
      </c>
      <c r="F168" s="49"/>
      <c r="G168" s="49"/>
      <c r="H168" s="49" t="s">
        <v>38</v>
      </c>
      <c r="I168">
        <v>0</v>
      </c>
      <c r="J168" s="50"/>
      <c r="K168" s="1" t="str">
        <f t="shared" si="21"/>
        <v>"WORKSHEET":"0"</v>
      </c>
    </row>
    <row r="169" spans="1:11" ht="22.15" hidden="1" customHeight="1">
      <c r="A169" s="15" t="s">
        <v>227</v>
      </c>
      <c r="B169" s="58" t="s">
        <v>242</v>
      </c>
      <c r="C169" s="58" t="s">
        <v>59</v>
      </c>
      <c r="D169" s="58" t="str">
        <f>C169</f>
        <v>int</v>
      </c>
      <c r="E169" s="71"/>
      <c r="F169" s="49"/>
      <c r="G169" s="49"/>
      <c r="H169" s="49" t="s">
        <v>38</v>
      </c>
      <c r="I169">
        <v>0</v>
      </c>
      <c r="J169" s="50"/>
      <c r="K169" s="1" t="str">
        <f t="shared" si="21"/>
        <v>"WORKSHEET_POSITION":"0"</v>
      </c>
    </row>
    <row r="170" spans="1:11" ht="22.15" hidden="1" customHeight="1">
      <c r="A170" s="15" t="s">
        <v>227</v>
      </c>
      <c r="B170" s="58" t="s">
        <v>243</v>
      </c>
      <c r="C170" s="58" t="s">
        <v>49</v>
      </c>
      <c r="D170" s="58" t="s">
        <v>50</v>
      </c>
      <c r="E170" s="71" t="str">
        <f t="shared" si="25"/>
        <v>(1)</v>
      </c>
      <c r="F170" s="49"/>
      <c r="G170" s="49"/>
      <c r="H170" s="49" t="s">
        <v>38</v>
      </c>
      <c r="I170" t="s">
        <v>51</v>
      </c>
      <c r="J170" s="50"/>
      <c r="K170" s="1" t="str">
        <f t="shared" si="21"/>
        <v>"REPLICATE_TEST":"F"</v>
      </c>
    </row>
    <row r="171" spans="1:11" ht="22.15" hidden="1" customHeight="1">
      <c r="A171" s="15" t="s">
        <v>227</v>
      </c>
      <c r="B171" s="58" t="s">
        <v>244</v>
      </c>
      <c r="C171" s="58" t="s">
        <v>64</v>
      </c>
      <c r="D171" s="58" t="str">
        <f t="shared" si="23"/>
        <v>nvarchar</v>
      </c>
      <c r="E171" s="71" t="str">
        <f t="shared" si="25"/>
        <v>(10)</v>
      </c>
      <c r="F171" s="49"/>
      <c r="G171" s="49"/>
      <c r="H171" s="49" t="s">
        <v>38</v>
      </c>
      <c r="I171"/>
      <c r="J171" s="50"/>
      <c r="K171" s="1" t="str">
        <f t="shared" si="21"/>
        <v>"INSTRUMENT":""</v>
      </c>
    </row>
    <row r="172" spans="1:11" ht="22.15" hidden="1" customHeight="1">
      <c r="A172" s="15" t="s">
        <v>227</v>
      </c>
      <c r="B172" s="58" t="s">
        <v>245</v>
      </c>
      <c r="C172" s="58" t="s">
        <v>59</v>
      </c>
      <c r="D172" s="58" t="str">
        <f>C172</f>
        <v>int</v>
      </c>
      <c r="E172" s="71"/>
      <c r="F172" s="49"/>
      <c r="G172" s="49"/>
      <c r="H172" s="49" t="s">
        <v>38</v>
      </c>
      <c r="I172">
        <v>1</v>
      </c>
      <c r="J172" s="50"/>
      <c r="K172" s="1" t="str">
        <f t="shared" si="21"/>
        <v>"TEST_PRIORITY":"1"</v>
      </c>
    </row>
    <row r="173" spans="1:11" ht="22.15" customHeight="1">
      <c r="A173" s="15" t="s">
        <v>227</v>
      </c>
      <c r="B173" s="58" t="s">
        <v>52</v>
      </c>
      <c r="C173" s="58" t="s">
        <v>49</v>
      </c>
      <c r="D173" s="58" t="s">
        <v>50</v>
      </c>
      <c r="E173" s="71" t="str">
        <f t="shared" si="25"/>
        <v>(1)</v>
      </c>
      <c r="F173" s="49"/>
      <c r="G173" s="86" t="s">
        <v>53</v>
      </c>
      <c r="H173" s="49" t="s">
        <v>21</v>
      </c>
      <c r="I173" t="b">
        <v>0</v>
      </c>
      <c r="J173" s="50"/>
      <c r="K173" s="1" t="str">
        <f>""""&amp;B173&amp;""""&amp;":"&amp;""""&amp;I173&amp;""""&amp;","</f>
        <v>"ON_SPEC":"FALSE",</v>
      </c>
    </row>
    <row r="174" spans="1:11" ht="22.15" hidden="1" customHeight="1">
      <c r="A174" s="15" t="s">
        <v>227</v>
      </c>
      <c r="B174" s="58" t="s">
        <v>105</v>
      </c>
      <c r="C174" s="58" t="s">
        <v>64</v>
      </c>
      <c r="D174" s="58" t="str">
        <f t="shared" si="23"/>
        <v>nvarchar</v>
      </c>
      <c r="E174" s="71" t="str">
        <f t="shared" si="25"/>
        <v>(10)</v>
      </c>
      <c r="F174" s="49"/>
      <c r="G174" s="49"/>
      <c r="H174" s="49" t="s">
        <v>38</v>
      </c>
      <c r="I174" t="s">
        <v>85</v>
      </c>
      <c r="J174" s="50"/>
      <c r="K174" s="1" t="str">
        <f t="shared" si="21"/>
        <v>"TEST_SCHEDULE":"TEST001"</v>
      </c>
    </row>
    <row r="175" spans="1:11" ht="22.15" hidden="1" customHeight="1">
      <c r="A175" s="15" t="s">
        <v>227</v>
      </c>
      <c r="B175" s="58" t="s">
        <v>246</v>
      </c>
      <c r="C175" s="58" t="s">
        <v>34</v>
      </c>
      <c r="D175" s="58" t="str">
        <f t="shared" si="23"/>
        <v>varchar</v>
      </c>
      <c r="E175" s="71" t="str">
        <f t="shared" si="25"/>
        <v>(10)</v>
      </c>
      <c r="F175" s="49"/>
      <c r="G175" s="49"/>
      <c r="H175" s="49" t="s">
        <v>38</v>
      </c>
      <c r="I175">
        <v>1</v>
      </c>
      <c r="J175" s="50"/>
      <c r="K175" s="1" t="str">
        <f t="shared" si="21"/>
        <v>"ORDER_NUM":"1"</v>
      </c>
    </row>
    <row r="176" spans="1:11" ht="22.15" hidden="1" customHeight="1">
      <c r="A176" s="15" t="s">
        <v>227</v>
      </c>
      <c r="B176" s="58" t="s">
        <v>247</v>
      </c>
      <c r="C176" s="58" t="s">
        <v>49</v>
      </c>
      <c r="D176" s="58" t="s">
        <v>50</v>
      </c>
      <c r="E176" s="71" t="str">
        <f t="shared" si="25"/>
        <v>(1)</v>
      </c>
      <c r="F176" s="49"/>
      <c r="G176" s="49"/>
      <c r="H176" s="49" t="s">
        <v>38</v>
      </c>
      <c r="I176" t="s">
        <v>51</v>
      </c>
      <c r="J176" s="50"/>
      <c r="K176" s="1" t="str">
        <f t="shared" si="21"/>
        <v>"HAS_RESULT_LIST":"F"</v>
      </c>
    </row>
    <row r="177" spans="1:11" ht="22.15" hidden="1" customHeight="1">
      <c r="A177" s="15" t="s">
        <v>227</v>
      </c>
      <c r="B177" s="58" t="s">
        <v>248</v>
      </c>
      <c r="C177" s="58" t="s">
        <v>64</v>
      </c>
      <c r="D177" s="58" t="str">
        <f t="shared" si="23"/>
        <v>nvarchar</v>
      </c>
      <c r="E177" s="71" t="str">
        <f t="shared" si="25"/>
        <v>(10)</v>
      </c>
      <c r="F177" s="49"/>
      <c r="G177" s="49"/>
      <c r="H177" s="49" t="s">
        <v>38</v>
      </c>
      <c r="I177"/>
      <c r="J177" s="50"/>
      <c r="K177" s="1" t="str">
        <f t="shared" si="21"/>
        <v>"COMPONENT_LIST":""</v>
      </c>
    </row>
    <row r="178" spans="1:11" ht="22.15" customHeight="1">
      <c r="A178" s="15" t="s">
        <v>227</v>
      </c>
      <c r="B178" s="58" t="s">
        <v>249</v>
      </c>
      <c r="C178" s="58" t="s">
        <v>34</v>
      </c>
      <c r="D178" s="58" t="str">
        <f t="shared" si="23"/>
        <v>varchar</v>
      </c>
      <c r="E178" s="71" t="str">
        <f t="shared" si="25"/>
        <v>(10)</v>
      </c>
      <c r="F178" s="49"/>
      <c r="G178" s="22" t="s">
        <v>250</v>
      </c>
      <c r="H178" s="49" t="s">
        <v>21</v>
      </c>
      <c r="I178">
        <v>1</v>
      </c>
      <c r="J178" s="50"/>
      <c r="K178" s="1" t="str">
        <f>""""&amp;B178&amp;""""&amp;":"&amp;""""&amp;I178&amp;""""&amp;","</f>
        <v>"ANALYSIS_VERSION":"1",</v>
      </c>
    </row>
    <row r="179" spans="1:11" ht="22.15" hidden="1" customHeight="1">
      <c r="A179" s="15" t="s">
        <v>227</v>
      </c>
      <c r="B179" s="58" t="s">
        <v>251</v>
      </c>
      <c r="C179" s="58" t="s">
        <v>37</v>
      </c>
      <c r="D179" s="58" t="str">
        <f t="shared" si="23"/>
        <v>nvarchar</v>
      </c>
      <c r="E179" s="71" t="str">
        <f t="shared" si="25"/>
        <v>(30)</v>
      </c>
      <c r="F179" s="49"/>
      <c r="G179" s="49"/>
      <c r="H179" s="49" t="s">
        <v>38</v>
      </c>
      <c r="I179"/>
      <c r="J179" s="50"/>
      <c r="K179" s="1" t="str">
        <f t="shared" si="21"/>
        <v>"PREPARATION_BATCH":""</v>
      </c>
    </row>
    <row r="180" spans="1:11" ht="22.15" hidden="1" customHeight="1">
      <c r="A180" s="15" t="s">
        <v>227</v>
      </c>
      <c r="B180" s="58" t="s">
        <v>252</v>
      </c>
      <c r="C180" s="58" t="s">
        <v>37</v>
      </c>
      <c r="D180" s="58" t="str">
        <f t="shared" si="23"/>
        <v>nvarchar</v>
      </c>
      <c r="E180" s="71" t="str">
        <f t="shared" si="25"/>
        <v>(30)</v>
      </c>
      <c r="F180" s="49"/>
      <c r="G180" s="49"/>
      <c r="H180" s="49" t="s">
        <v>38</v>
      </c>
      <c r="I180"/>
      <c r="J180" s="50"/>
      <c r="K180" s="1" t="str">
        <f t="shared" si="21"/>
        <v>"INSTRUMENT_BATCH":""</v>
      </c>
    </row>
    <row r="181" spans="1:11" ht="22.15" customHeight="1">
      <c r="A181" s="15" t="s">
        <v>227</v>
      </c>
      <c r="B181" s="58" t="s">
        <v>253</v>
      </c>
      <c r="C181" s="58" t="s">
        <v>34</v>
      </c>
      <c r="D181" s="58" t="str">
        <f t="shared" si="23"/>
        <v>varchar</v>
      </c>
      <c r="E181" s="71" t="str">
        <f t="shared" si="25"/>
        <v>(10)</v>
      </c>
      <c r="F181" s="49"/>
      <c r="G181" s="86" t="s">
        <v>254</v>
      </c>
      <c r="H181" s="49" t="s">
        <v>21</v>
      </c>
      <c r="I181" t="s">
        <v>75</v>
      </c>
      <c r="J181" s="50"/>
      <c r="K181" s="1" t="str">
        <f>""""&amp;B181&amp;""""&amp;":"&amp;""""&amp;I181&amp;""""&amp;","</f>
        <v>"PARENT_TEST":"NULL",</v>
      </c>
    </row>
    <row r="182" spans="1:11" ht="22.15" hidden="1" customHeight="1">
      <c r="A182" s="15" t="s">
        <v>227</v>
      </c>
      <c r="B182" s="58" t="s">
        <v>113</v>
      </c>
      <c r="C182" s="58" t="s">
        <v>64</v>
      </c>
      <c r="D182" s="58" t="str">
        <f t="shared" si="23"/>
        <v>nvarchar</v>
      </c>
      <c r="E182" s="71" t="str">
        <f t="shared" si="25"/>
        <v>(10)</v>
      </c>
      <c r="F182" s="49"/>
      <c r="G182" s="49"/>
      <c r="H182" s="49" t="s">
        <v>38</v>
      </c>
      <c r="I182"/>
      <c r="J182" s="50"/>
      <c r="K182" s="1" t="str">
        <f t="shared" si="21"/>
        <v>"INSPECTION_HEADER":""</v>
      </c>
    </row>
    <row r="183" spans="1:11" ht="22.15" hidden="1" customHeight="1">
      <c r="A183" s="15" t="s">
        <v>227</v>
      </c>
      <c r="B183" s="58" t="s">
        <v>255</v>
      </c>
      <c r="C183" s="58" t="s">
        <v>41</v>
      </c>
      <c r="D183" s="58" t="str">
        <f t="shared" si="23"/>
        <v>nvarchar</v>
      </c>
      <c r="E183" s="71" t="str">
        <f t="shared" si="25"/>
        <v>(20)</v>
      </c>
      <c r="F183" s="49"/>
      <c r="G183" s="49"/>
      <c r="H183" s="49" t="s">
        <v>38</v>
      </c>
      <c r="I183" t="s">
        <v>75</v>
      </c>
      <c r="J183" s="50"/>
      <c r="K183" s="1" t="str">
        <f t="shared" si="21"/>
        <v>"TRIGGER_RULE":"NULL"</v>
      </c>
    </row>
    <row r="184" spans="1:11" ht="22.15" hidden="1" customHeight="1">
      <c r="A184" s="15" t="s">
        <v>227</v>
      </c>
      <c r="B184" s="58" t="s">
        <v>256</v>
      </c>
      <c r="C184" s="58" t="s">
        <v>173</v>
      </c>
      <c r="D184" s="58" t="str">
        <f t="shared" si="23"/>
        <v>nvarchar</v>
      </c>
      <c r="E184" s="71" t="str">
        <f t="shared" si="25"/>
        <v>(40)</v>
      </c>
      <c r="F184" s="49"/>
      <c r="G184" s="49"/>
      <c r="H184" s="49" t="s">
        <v>38</v>
      </c>
      <c r="I184" t="s">
        <v>75</v>
      </c>
      <c r="J184" s="50"/>
      <c r="K184" s="1" t="str">
        <f t="shared" si="21"/>
        <v>"TRIGGER_ANALYSIS":"NULL"</v>
      </c>
    </row>
    <row r="185" spans="1:11" ht="22.15" hidden="1" customHeight="1">
      <c r="A185" s="15" t="s">
        <v>227</v>
      </c>
      <c r="B185" s="58" t="s">
        <v>257</v>
      </c>
      <c r="C185" s="58" t="s">
        <v>49</v>
      </c>
      <c r="D185" s="58" t="s">
        <v>50</v>
      </c>
      <c r="E185" s="71" t="str">
        <f t="shared" si="25"/>
        <v>(1)</v>
      </c>
      <c r="F185" s="49"/>
      <c r="G185" s="49"/>
      <c r="H185" s="49" t="s">
        <v>38</v>
      </c>
      <c r="I185" t="s">
        <v>51</v>
      </c>
      <c r="J185" s="50"/>
      <c r="K185" s="1" t="str">
        <f t="shared" si="21"/>
        <v>"STAT_DOUBLE_ATT_FAIL":"F"</v>
      </c>
    </row>
    <row r="186" spans="1:11" ht="22.15" hidden="1" customHeight="1">
      <c r="A186" s="15" t="s">
        <v>227</v>
      </c>
      <c r="B186" s="58" t="s">
        <v>258</v>
      </c>
      <c r="C186" s="58" t="s">
        <v>43</v>
      </c>
      <c r="D186" s="58" t="s">
        <v>50</v>
      </c>
      <c r="E186" s="71" t="str">
        <f t="shared" si="25"/>
        <v>(1)</v>
      </c>
      <c r="F186" s="49"/>
      <c r="G186" s="49"/>
      <c r="H186" s="49" t="s">
        <v>38</v>
      </c>
      <c r="I186" t="s">
        <v>259</v>
      </c>
      <c r="J186" s="50"/>
      <c r="K186" s="1" t="str">
        <f t="shared" si="21"/>
        <v>"VALIDATION_STATUS":"V"</v>
      </c>
    </row>
    <row r="187" spans="1:11" ht="22.15" customHeight="1">
      <c r="A187" s="15" t="s">
        <v>227</v>
      </c>
      <c r="B187" s="58" t="s">
        <v>260</v>
      </c>
      <c r="C187" s="58" t="s">
        <v>81</v>
      </c>
      <c r="D187" s="58" t="str">
        <f t="shared" si="23"/>
        <v>nvarchar</v>
      </c>
      <c r="E187" s="71" t="str">
        <f t="shared" si="25"/>
        <v>(234)</v>
      </c>
      <c r="F187" s="49"/>
      <c r="G187" s="22" t="s">
        <v>261</v>
      </c>
      <c r="H187" s="49" t="s">
        <v>21</v>
      </c>
      <c r="I187"/>
      <c r="J187" s="50"/>
      <c r="K187" s="1" t="str">
        <f>""""&amp;B187&amp;""""&amp;":"&amp;""""&amp;I187&amp;""""&amp;","</f>
        <v>"AUTHORISATION_COMMENT":"",</v>
      </c>
    </row>
    <row r="188" spans="1:11" ht="22.15" hidden="1" customHeight="1">
      <c r="A188" s="15" t="s">
        <v>227</v>
      </c>
      <c r="B188" s="58" t="s">
        <v>120</v>
      </c>
      <c r="C188" s="58" t="s">
        <v>49</v>
      </c>
      <c r="D188" s="58" t="s">
        <v>50</v>
      </c>
      <c r="E188" s="71" t="str">
        <f t="shared" si="25"/>
        <v>(1)</v>
      </c>
      <c r="F188" s="49"/>
      <c r="G188" s="49"/>
      <c r="H188" s="49" t="s">
        <v>38</v>
      </c>
      <c r="I188" t="s">
        <v>51</v>
      </c>
      <c r="J188" s="50"/>
      <c r="K188" s="1" t="str">
        <f t="shared" si="21"/>
        <v>"AUTO_VALIDATE":"F"</v>
      </c>
    </row>
    <row r="189" spans="1:11" ht="22.15" hidden="1" customHeight="1">
      <c r="A189" s="15" t="s">
        <v>227</v>
      </c>
      <c r="B189" s="58" t="s">
        <v>122</v>
      </c>
      <c r="C189" s="58" t="s">
        <v>49</v>
      </c>
      <c r="D189" s="58" t="s">
        <v>50</v>
      </c>
      <c r="E189" s="71" t="str">
        <f t="shared" si="25"/>
        <v>(1)</v>
      </c>
      <c r="F189" s="49"/>
      <c r="G189" s="49"/>
      <c r="H189" s="49" t="s">
        <v>38</v>
      </c>
      <c r="I189" t="s">
        <v>51</v>
      </c>
      <c r="J189" s="50"/>
      <c r="K189" s="1" t="str">
        <f t="shared" si="21"/>
        <v>"HAS_INCIDENTS":"F"</v>
      </c>
    </row>
    <row r="190" spans="1:11" ht="22.15" hidden="1" customHeight="1">
      <c r="A190" s="15" t="s">
        <v>227</v>
      </c>
      <c r="B190" s="58" t="s">
        <v>262</v>
      </c>
      <c r="C190" s="58" t="s">
        <v>64</v>
      </c>
      <c r="D190" s="58" t="str">
        <f t="shared" si="23"/>
        <v>nvarchar</v>
      </c>
      <c r="E190" s="71" t="str">
        <f t="shared" si="25"/>
        <v>(10)</v>
      </c>
      <c r="F190" s="49"/>
      <c r="G190" s="49"/>
      <c r="H190" s="49" t="s">
        <v>38</v>
      </c>
      <c r="I190"/>
      <c r="J190" s="50"/>
      <c r="K190" s="1" t="str">
        <f t="shared" si="21"/>
        <v>"INSTRUMENT_TYPE":""</v>
      </c>
    </row>
    <row r="191" spans="1:11" ht="22.15" hidden="1" customHeight="1">
      <c r="A191" s="15" t="s">
        <v>227</v>
      </c>
      <c r="B191" s="58" t="s">
        <v>263</v>
      </c>
      <c r="C191" s="58" t="s">
        <v>37</v>
      </c>
      <c r="D191" s="58" t="str">
        <f t="shared" si="23"/>
        <v>nvarchar</v>
      </c>
      <c r="E191" s="71" t="str">
        <f t="shared" si="25"/>
        <v>(30)</v>
      </c>
      <c r="F191" s="49"/>
      <c r="G191" s="49"/>
      <c r="H191" s="49" t="s">
        <v>38</v>
      </c>
      <c r="I191"/>
      <c r="J191" s="50"/>
      <c r="K191" s="1" t="str">
        <f t="shared" si="21"/>
        <v>"INSTRUMENT_CATEGORY":""</v>
      </c>
    </row>
    <row r="192" spans="1:11" ht="22.15" hidden="1" customHeight="1">
      <c r="A192" s="15" t="s">
        <v>227</v>
      </c>
      <c r="B192" s="58" t="s">
        <v>264</v>
      </c>
      <c r="C192" s="58" t="s">
        <v>49</v>
      </c>
      <c r="D192" s="58" t="s">
        <v>50</v>
      </c>
      <c r="E192" s="71" t="str">
        <f t="shared" si="25"/>
        <v>(1)</v>
      </c>
      <c r="F192" s="49"/>
      <c r="G192" s="49"/>
      <c r="H192" s="49" t="s">
        <v>38</v>
      </c>
      <c r="I192" t="s">
        <v>51</v>
      </c>
      <c r="J192" s="50"/>
      <c r="K192" s="1" t="str">
        <f t="shared" si="21"/>
        <v>"INSTRUMENT_REQUIRED":"F"</v>
      </c>
    </row>
    <row r="193" spans="1:11" ht="22.15" hidden="1" customHeight="1">
      <c r="A193" s="15" t="s">
        <v>227</v>
      </c>
      <c r="B193" s="58" t="s">
        <v>126</v>
      </c>
      <c r="C193" s="58" t="s">
        <v>127</v>
      </c>
      <c r="D193" s="58" t="str">
        <f t="shared" si="23"/>
        <v>nvarchar</v>
      </c>
      <c r="E193" s="71" t="str">
        <f t="shared" si="25"/>
        <v>(36)</v>
      </c>
      <c r="F193" s="49"/>
      <c r="G193" s="49"/>
      <c r="H193" s="49" t="s">
        <v>38</v>
      </c>
      <c r="I193" t="s">
        <v>265</v>
      </c>
      <c r="J193" s="50"/>
      <c r="K193" s="1" t="str">
        <f t="shared" si="21"/>
        <v>"WORKFLOW_NODE":"F23187C8-AF14-44DB-B480-B64E99C9F6D5"</v>
      </c>
    </row>
    <row r="194" spans="1:11" ht="22.15" hidden="1" customHeight="1">
      <c r="A194" s="15" t="s">
        <v>227</v>
      </c>
      <c r="B194" s="58" t="s">
        <v>135</v>
      </c>
      <c r="C194" s="58" t="s">
        <v>37</v>
      </c>
      <c r="D194" s="58" t="str">
        <f t="shared" si="23"/>
        <v>nvarchar</v>
      </c>
      <c r="E194" s="71" t="str">
        <f t="shared" si="25"/>
        <v>(30)</v>
      </c>
      <c r="F194" s="49"/>
      <c r="G194" s="49"/>
      <c r="H194" s="49" t="s">
        <v>38</v>
      </c>
      <c r="I194" t="s">
        <v>266</v>
      </c>
      <c r="J194" s="50"/>
      <c r="K194" s="1" t="str">
        <f t="shared" si="21"/>
        <v>"ENTITY_TEMPLATE_ID":"DEFAULT_TEST"</v>
      </c>
    </row>
    <row r="195" spans="1:11" ht="22.15" hidden="1" customHeight="1">
      <c r="A195" s="15" t="s">
        <v>227</v>
      </c>
      <c r="B195" s="58" t="s">
        <v>137</v>
      </c>
      <c r="C195" s="58" t="s">
        <v>34</v>
      </c>
      <c r="D195" s="58" t="str">
        <f t="shared" si="23"/>
        <v>varchar</v>
      </c>
      <c r="E195" s="71" t="str">
        <f t="shared" si="25"/>
        <v>(10)</v>
      </c>
      <c r="F195" s="49"/>
      <c r="G195" s="49"/>
      <c r="H195" s="49" t="s">
        <v>38</v>
      </c>
      <c r="I195">
        <v>1</v>
      </c>
      <c r="J195" s="50"/>
      <c r="K195" s="1" t="str">
        <f t="shared" si="21"/>
        <v>"ENTITY_TEMPLATE_VERSION":"1"</v>
      </c>
    </row>
    <row r="196" spans="1:11" ht="22.15" hidden="1" customHeight="1">
      <c r="A196" s="15" t="s">
        <v>227</v>
      </c>
      <c r="B196" s="58" t="s">
        <v>138</v>
      </c>
      <c r="C196" s="58" t="s">
        <v>49</v>
      </c>
      <c r="D196" s="58" t="s">
        <v>50</v>
      </c>
      <c r="E196" s="71" t="str">
        <f t="shared" si="25"/>
        <v>(1)</v>
      </c>
      <c r="F196" s="49"/>
      <c r="G196" s="49"/>
      <c r="H196" s="49" t="s">
        <v>38</v>
      </c>
      <c r="I196" t="s">
        <v>51</v>
      </c>
      <c r="J196" s="50"/>
      <c r="K196" s="1" t="str">
        <f t="shared" si="21"/>
        <v>"HAS_ATTACHMENTS":"F"</v>
      </c>
    </row>
    <row r="197" spans="1:11" ht="22.15" customHeight="1">
      <c r="A197" s="15" t="s">
        <v>227</v>
      </c>
      <c r="B197" s="58" t="s">
        <v>139</v>
      </c>
      <c r="C197" s="58" t="s">
        <v>81</v>
      </c>
      <c r="D197" s="58" t="str">
        <f t="shared" si="23"/>
        <v>nvarchar</v>
      </c>
      <c r="E197" s="71" t="str">
        <f t="shared" si="25"/>
        <v>(234)</v>
      </c>
      <c r="F197" s="49"/>
      <c r="G197" s="22"/>
      <c r="H197" s="49" t="s">
        <v>21</v>
      </c>
      <c r="I197" t="s">
        <v>75</v>
      </c>
      <c r="J197" s="50"/>
      <c r="K197" s="1" t="str">
        <f>""""&amp;B197&amp;""""&amp;":"&amp;""""&amp;I197&amp;""""&amp;","</f>
        <v>"COMMENTS":"NULL",</v>
      </c>
    </row>
    <row r="198" spans="1:11" ht="22.15" hidden="1" customHeight="1">
      <c r="A198" s="15" t="s">
        <v>227</v>
      </c>
      <c r="B198" s="58" t="s">
        <v>140</v>
      </c>
      <c r="C198" s="58" t="s">
        <v>127</v>
      </c>
      <c r="D198" s="58" t="str">
        <f t="shared" si="23"/>
        <v>nvarchar</v>
      </c>
      <c r="E198" s="71" t="str">
        <f t="shared" si="25"/>
        <v>(36)</v>
      </c>
      <c r="F198" s="49"/>
      <c r="G198" s="49"/>
      <c r="H198" s="49" t="s">
        <v>38</v>
      </c>
      <c r="I198"/>
      <c r="J198" s="50"/>
      <c r="K198" s="1" t="str">
        <f t="shared" si="21"/>
        <v>"LAB_METHOD_ID":""</v>
      </c>
    </row>
    <row r="199" spans="1:11" ht="22.15" hidden="1" customHeight="1">
      <c r="A199" s="15" t="s">
        <v>227</v>
      </c>
      <c r="B199" s="58" t="s">
        <v>141</v>
      </c>
      <c r="C199" s="58" t="s">
        <v>34</v>
      </c>
      <c r="D199" s="58" t="str">
        <f t="shared" si="23"/>
        <v>varchar</v>
      </c>
      <c r="E199" s="71" t="str">
        <f t="shared" si="25"/>
        <v>(10)</v>
      </c>
      <c r="F199" s="49"/>
      <c r="G199" s="49"/>
      <c r="H199" s="49" t="s">
        <v>38</v>
      </c>
      <c r="I199">
        <v>0</v>
      </c>
      <c r="J199" s="50"/>
      <c r="K199" s="1" t="str">
        <f t="shared" si="21"/>
        <v>"LAB_METHOD_VERSION":"0"</v>
      </c>
    </row>
    <row r="200" spans="1:11" ht="22.15" hidden="1" customHeight="1">
      <c r="A200" s="15" t="s">
        <v>227</v>
      </c>
      <c r="B200" s="58" t="s">
        <v>142</v>
      </c>
      <c r="C200" s="58" t="s">
        <v>49</v>
      </c>
      <c r="D200" s="58" t="s">
        <v>50</v>
      </c>
      <c r="E200" s="71" t="str">
        <f t="shared" si="25"/>
        <v>(1)</v>
      </c>
      <c r="F200" s="49"/>
      <c r="G200" s="49"/>
      <c r="H200" s="49" t="s">
        <v>38</v>
      </c>
      <c r="I200" t="s">
        <v>51</v>
      </c>
      <c r="J200" s="50"/>
      <c r="K200" s="1" t="str">
        <f t="shared" si="21"/>
        <v>"LAB_METHOD_OUTSTANDING":"F"</v>
      </c>
    </row>
    <row r="201" spans="1:11" ht="22.15" hidden="1" customHeight="1">
      <c r="A201" s="15" t="s">
        <v>227</v>
      </c>
      <c r="B201" s="58" t="s">
        <v>143</v>
      </c>
      <c r="C201" s="58" t="s">
        <v>127</v>
      </c>
      <c r="D201" s="58" t="str">
        <f t="shared" si="23"/>
        <v>nvarchar</v>
      </c>
      <c r="E201" s="71" t="str">
        <f t="shared" si="25"/>
        <v>(36)</v>
      </c>
      <c r="F201" s="49"/>
      <c r="G201" s="49"/>
      <c r="H201" s="49" t="s">
        <v>38</v>
      </c>
      <c r="I201" t="s">
        <v>75</v>
      </c>
      <c r="J201" s="50"/>
      <c r="K201" s="1" t="str">
        <f t="shared" si="21"/>
        <v>"LAB_EXECUTION_ID":"NULL"</v>
      </c>
    </row>
    <row r="202" spans="1:11" ht="22.15" hidden="1" customHeight="1">
      <c r="A202" s="15" t="s">
        <v>227</v>
      </c>
      <c r="B202" s="58" t="s">
        <v>159</v>
      </c>
      <c r="C202" s="58" t="s">
        <v>127</v>
      </c>
      <c r="D202" s="58" t="str">
        <f t="shared" si="23"/>
        <v>nvarchar</v>
      </c>
      <c r="E202" s="71" t="str">
        <f t="shared" si="25"/>
        <v>(36)</v>
      </c>
      <c r="F202" s="49"/>
      <c r="G202" s="49"/>
      <c r="H202" s="49" t="s">
        <v>38</v>
      </c>
      <c r="I202"/>
      <c r="J202" s="50"/>
      <c r="K202" s="1" t="str">
        <f t="shared" si="21"/>
        <v>"SOW_GUID":""</v>
      </c>
    </row>
    <row r="203" spans="1:11" ht="22.15" hidden="1" customHeight="1">
      <c r="A203" s="15" t="s">
        <v>227</v>
      </c>
      <c r="B203" s="58" t="s">
        <v>160</v>
      </c>
      <c r="C203" s="58" t="s">
        <v>34</v>
      </c>
      <c r="D203" s="58" t="str">
        <f t="shared" si="23"/>
        <v>varchar</v>
      </c>
      <c r="E203" s="71" t="str">
        <f t="shared" si="25"/>
        <v>(10)</v>
      </c>
      <c r="F203" s="49"/>
      <c r="G203" s="49"/>
      <c r="H203" s="49" t="s">
        <v>38</v>
      </c>
      <c r="I203">
        <v>0</v>
      </c>
      <c r="J203" s="50"/>
      <c r="K203" s="1" t="str">
        <f t="shared" si="21"/>
        <v>"SOW_VERSION":"0"</v>
      </c>
    </row>
    <row r="204" spans="1:11" ht="22.15" hidden="1" customHeight="1">
      <c r="A204" s="15" t="s">
        <v>227</v>
      </c>
      <c r="B204" s="58" t="s">
        <v>267</v>
      </c>
      <c r="C204" s="58" t="s">
        <v>34</v>
      </c>
      <c r="D204" s="58" t="str">
        <f t="shared" si="23"/>
        <v>varchar</v>
      </c>
      <c r="E204" s="71" t="str">
        <f t="shared" si="25"/>
        <v>(10)</v>
      </c>
      <c r="F204" s="49"/>
      <c r="G204" s="49"/>
      <c r="H204" s="49" t="s">
        <v>38</v>
      </c>
      <c r="I204">
        <v>0</v>
      </c>
      <c r="J204" s="50"/>
      <c r="K204" s="1" t="str">
        <f t="shared" si="21"/>
        <v>"SOW_ITEM_ORDER":"0"</v>
      </c>
    </row>
    <row r="205" spans="1:11" ht="22.15" hidden="1" customHeight="1">
      <c r="A205" s="15" t="s">
        <v>227</v>
      </c>
      <c r="B205" s="58" t="s">
        <v>268</v>
      </c>
      <c r="C205" s="58" t="s">
        <v>34</v>
      </c>
      <c r="D205" s="58" t="str">
        <f t="shared" si="23"/>
        <v>varchar</v>
      </c>
      <c r="E205" s="71" t="str">
        <f t="shared" si="25"/>
        <v>(10)</v>
      </c>
      <c r="F205" s="49"/>
      <c r="G205" s="49"/>
      <c r="H205" s="49" t="s">
        <v>38</v>
      </c>
      <c r="I205">
        <v>0</v>
      </c>
      <c r="J205" s="50"/>
      <c r="K205" s="1" t="str">
        <f t="shared" si="21"/>
        <v>"SOW_ITEM_CHARGE_ORDER_NUMBER":"0"</v>
      </c>
    </row>
    <row r="206" spans="1:11" ht="22.15" hidden="1" customHeight="1">
      <c r="A206" s="15" t="s">
        <v>227</v>
      </c>
      <c r="B206" s="58" t="s">
        <v>269</v>
      </c>
      <c r="C206" s="58" t="s">
        <v>59</v>
      </c>
      <c r="D206" s="58" t="str">
        <f>C206</f>
        <v>int</v>
      </c>
      <c r="E206" s="71"/>
      <c r="F206" s="49"/>
      <c r="G206" s="49"/>
      <c r="H206" s="49" t="s">
        <v>38</v>
      </c>
      <c r="I206">
        <v>0</v>
      </c>
      <c r="J206" s="50"/>
      <c r="K206" s="1" t="str">
        <f t="shared" si="21"/>
        <v>"SOW_ITEM_CHARGE_COUNT":"0"</v>
      </c>
    </row>
    <row r="207" spans="1:11" ht="22.15" hidden="1" customHeight="1">
      <c r="A207" s="15" t="s">
        <v>227</v>
      </c>
      <c r="B207" s="58" t="s">
        <v>168</v>
      </c>
      <c r="C207" s="58" t="s">
        <v>64</v>
      </c>
      <c r="D207" s="58" t="str">
        <f t="shared" si="23"/>
        <v>nvarchar</v>
      </c>
      <c r="E207" s="71" t="str">
        <f t="shared" si="25"/>
        <v>(10)</v>
      </c>
      <c r="F207" s="49"/>
      <c r="G207" s="49"/>
      <c r="H207" s="49" t="s">
        <v>38</v>
      </c>
      <c r="I207" t="s">
        <v>134</v>
      </c>
      <c r="J207" s="50"/>
      <c r="K207" s="1" t="str">
        <f t="shared" si="21"/>
        <v>"PRICE_OPTION":"NONE"</v>
      </c>
    </row>
    <row r="208" spans="1:11" ht="22.15" hidden="1" customHeight="1">
      <c r="A208" s="15" t="s">
        <v>227</v>
      </c>
      <c r="B208" s="58" t="s">
        <v>270</v>
      </c>
      <c r="C208" s="58" t="s">
        <v>127</v>
      </c>
      <c r="D208" s="58" t="str">
        <f t="shared" si="23"/>
        <v>nvarchar</v>
      </c>
      <c r="E208" s="71" t="str">
        <f t="shared" si="25"/>
        <v>(36)</v>
      </c>
      <c r="F208" s="49"/>
      <c r="G208" s="49"/>
      <c r="H208" s="49" t="s">
        <v>38</v>
      </c>
      <c r="I208"/>
      <c r="J208" s="50"/>
      <c r="K208" s="1" t="str">
        <f t="shared" si="21"/>
        <v>"AQC_CHART_ID":""</v>
      </c>
    </row>
    <row r="209" spans="1:11" ht="22.15" hidden="1" customHeight="1">
      <c r="A209" s="15" t="s">
        <v>227</v>
      </c>
      <c r="B209" s="58" t="s">
        <v>271</v>
      </c>
      <c r="C209" s="58" t="s">
        <v>34</v>
      </c>
      <c r="D209" s="58" t="str">
        <f t="shared" si="23"/>
        <v>varchar</v>
      </c>
      <c r="E209" s="71" t="str">
        <f t="shared" si="25"/>
        <v>(10)</v>
      </c>
      <c r="F209" s="49"/>
      <c r="G209" s="49"/>
      <c r="H209" s="49" t="s">
        <v>38</v>
      </c>
      <c r="I209">
        <v>0</v>
      </c>
      <c r="J209" s="50"/>
      <c r="K209" s="1" t="str">
        <f t="shared" ref="K209:K272" si="28">""""&amp;B209&amp;""""&amp;":"&amp;""""&amp;I209&amp;""""</f>
        <v>"AQC_CHART_VERSION":"0"</v>
      </c>
    </row>
    <row r="210" spans="1:11" ht="22.15" hidden="1" customHeight="1">
      <c r="A210" s="15" t="s">
        <v>227</v>
      </c>
      <c r="B210" s="58" t="s">
        <v>272</v>
      </c>
      <c r="C210" s="58" t="s">
        <v>34</v>
      </c>
      <c r="D210" s="58" t="str">
        <f t="shared" si="23"/>
        <v>varchar</v>
      </c>
      <c r="E210" s="71" t="str">
        <f t="shared" si="25"/>
        <v>(10)</v>
      </c>
      <c r="F210" s="49"/>
      <c r="G210" s="49"/>
      <c r="H210" s="49" t="s">
        <v>38</v>
      </c>
      <c r="I210">
        <v>0</v>
      </c>
      <c r="J210" s="50"/>
      <c r="K210" s="1" t="str">
        <f t="shared" si="28"/>
        <v>"AQC_CHART_POINT_NUMBER":"0"</v>
      </c>
    </row>
    <row r="211" spans="1:11" ht="22.15" hidden="1" customHeight="1">
      <c r="A211" s="15" t="s">
        <v>227</v>
      </c>
      <c r="B211" s="58" t="s">
        <v>273</v>
      </c>
      <c r="C211" s="58" t="s">
        <v>81</v>
      </c>
      <c r="D211" s="58" t="str">
        <f t="shared" si="23"/>
        <v>nvarchar</v>
      </c>
      <c r="E211" s="71" t="str">
        <f t="shared" si="25"/>
        <v>(234)</v>
      </c>
      <c r="F211" s="49"/>
      <c r="G211" s="49"/>
      <c r="H211" s="49" t="s">
        <v>38</v>
      </c>
      <c r="I211"/>
      <c r="J211" s="50"/>
      <c r="K211" s="1" t="str">
        <f t="shared" si="28"/>
        <v>"AQC_CHART_POINT_NAME":""</v>
      </c>
    </row>
    <row r="212" spans="1:11" ht="22.15" hidden="1" customHeight="1">
      <c r="A212" s="15" t="s">
        <v>227</v>
      </c>
      <c r="B212" s="58" t="s">
        <v>274</v>
      </c>
      <c r="C212" s="58" t="s">
        <v>49</v>
      </c>
      <c r="D212" s="58" t="s">
        <v>50</v>
      </c>
      <c r="E212" s="71" t="str">
        <f t="shared" si="25"/>
        <v>(1)</v>
      </c>
      <c r="F212" s="49"/>
      <c r="G212" s="49"/>
      <c r="H212" s="49" t="s">
        <v>38</v>
      </c>
      <c r="I212" t="s">
        <v>51</v>
      </c>
      <c r="J212" s="50"/>
      <c r="K212" s="1" t="str">
        <f t="shared" si="28"/>
        <v>"INCLUDE_ON_INVOICE":"F"</v>
      </c>
    </row>
    <row r="213" spans="1:11" ht="22.15" hidden="1" customHeight="1">
      <c r="A213" s="15" t="s">
        <v>227</v>
      </c>
      <c r="B213" s="58" t="s">
        <v>275</v>
      </c>
      <c r="C213" s="58" t="s">
        <v>102</v>
      </c>
      <c r="D213" s="58" t="str">
        <f t="shared" si="23"/>
        <v>nvarchar</v>
      </c>
      <c r="E213" s="71" t="str">
        <f t="shared" si="25"/>
        <v>(50)</v>
      </c>
      <c r="F213" s="49"/>
      <c r="G213" s="49"/>
      <c r="H213" s="49" t="s">
        <v>38</v>
      </c>
      <c r="I213"/>
      <c r="J213" s="50"/>
      <c r="K213" s="1" t="str">
        <f t="shared" si="28"/>
        <v>"MAPPING_ID":""</v>
      </c>
    </row>
    <row r="214" spans="1:11" ht="22.15" hidden="1" customHeight="1">
      <c r="A214" s="15" t="s">
        <v>227</v>
      </c>
      <c r="B214" s="58" t="s">
        <v>276</v>
      </c>
      <c r="C214" s="58" t="s">
        <v>64</v>
      </c>
      <c r="D214" s="58" t="str">
        <f t="shared" si="23"/>
        <v>nvarchar</v>
      </c>
      <c r="E214" s="71" t="str">
        <f t="shared" si="25"/>
        <v>(10)</v>
      </c>
      <c r="F214" s="49"/>
      <c r="G214" s="49"/>
      <c r="H214" s="49" t="s">
        <v>38</v>
      </c>
      <c r="I214"/>
      <c r="J214" s="50"/>
      <c r="K214" s="1" t="str">
        <f t="shared" si="28"/>
        <v>"SMC_INSTRUMENT":""</v>
      </c>
    </row>
    <row r="215" spans="1:11" ht="22.15" hidden="1" customHeight="1">
      <c r="A215" s="15" t="s">
        <v>227</v>
      </c>
      <c r="B215" s="58" t="s">
        <v>277</v>
      </c>
      <c r="C215" s="58" t="s">
        <v>61</v>
      </c>
      <c r="D215" s="58" t="str">
        <f t="shared" ref="D215:D216" si="29">C215</f>
        <v>datetime</v>
      </c>
      <c r="E215" s="71"/>
      <c r="F215" s="49"/>
      <c r="G215" s="49"/>
      <c r="H215" s="49" t="s">
        <v>38</v>
      </c>
      <c r="I215" s="73">
        <v>45532.226276504633</v>
      </c>
      <c r="J215" s="50"/>
      <c r="K215" s="1" t="str">
        <f t="shared" si="28"/>
        <v>"HEN_PREP_DATESTART":"45532.2262765046"</v>
      </c>
    </row>
    <row r="216" spans="1:11" ht="22.15" hidden="1" customHeight="1">
      <c r="A216" s="15" t="s">
        <v>227</v>
      </c>
      <c r="B216" s="58" t="s">
        <v>278</v>
      </c>
      <c r="C216" s="58" t="s">
        <v>61</v>
      </c>
      <c r="D216" s="58" t="str">
        <f t="shared" si="29"/>
        <v>datetime</v>
      </c>
      <c r="E216" s="71"/>
      <c r="F216" s="49"/>
      <c r="G216" s="49"/>
      <c r="H216" s="49" t="s">
        <v>38</v>
      </c>
      <c r="I216" s="73">
        <v>45531.895027002312</v>
      </c>
      <c r="J216" s="50"/>
      <c r="K216" s="1" t="str">
        <f t="shared" si="28"/>
        <v>"HEN_PREP_DATETARGET":"45531.8950270023"</v>
      </c>
    </row>
    <row r="217" spans="1:11" ht="22.15" hidden="1" customHeight="1">
      <c r="A217" s="15" t="s">
        <v>227</v>
      </c>
      <c r="B217" s="58" t="s">
        <v>279</v>
      </c>
      <c r="C217" s="58" t="s">
        <v>64</v>
      </c>
      <c r="D217" s="58" t="str">
        <f t="shared" si="23"/>
        <v>nvarchar</v>
      </c>
      <c r="E217" s="71" t="str">
        <f t="shared" si="25"/>
        <v>(10)</v>
      </c>
      <c r="F217" s="49"/>
      <c r="G217" s="49"/>
      <c r="H217" s="49" t="s">
        <v>38</v>
      </c>
      <c r="I217" t="s">
        <v>66</v>
      </c>
      <c r="J217" s="50"/>
      <c r="K217" s="1" t="str">
        <f t="shared" si="28"/>
        <v>"HEN_PREPARED_BY":"SYSTEM"</v>
      </c>
    </row>
    <row r="218" spans="1:11" ht="22.15" hidden="1" customHeight="1">
      <c r="A218" s="15" t="s">
        <v>227</v>
      </c>
      <c r="B218" s="58" t="s">
        <v>280</v>
      </c>
      <c r="C218" s="58" t="s">
        <v>81</v>
      </c>
      <c r="D218" s="58" t="str">
        <f t="shared" ref="D218:D226" si="30">LEFT(C218,FIND("(",C218)-1)</f>
        <v>nvarchar</v>
      </c>
      <c r="E218" s="71" t="str">
        <f t="shared" si="25"/>
        <v>(234)</v>
      </c>
      <c r="F218" s="49"/>
      <c r="G218" s="49"/>
      <c r="H218" s="49" t="s">
        <v>38</v>
      </c>
      <c r="I218">
        <v>11</v>
      </c>
      <c r="J218" s="50"/>
      <c r="K218" s="1" t="str">
        <f t="shared" si="28"/>
        <v>"HEN_PREP_COMMENT":"11"</v>
      </c>
    </row>
    <row r="219" spans="1:11" ht="22.15" hidden="1" customHeight="1">
      <c r="A219" s="15" t="s">
        <v>227</v>
      </c>
      <c r="B219" s="58" t="s">
        <v>281</v>
      </c>
      <c r="C219" s="58" t="s">
        <v>61</v>
      </c>
      <c r="D219" s="58" t="str">
        <f>C219</f>
        <v>datetime</v>
      </c>
      <c r="E219" s="71"/>
      <c r="F219" s="49"/>
      <c r="G219" s="49"/>
      <c r="H219" s="49" t="s">
        <v>38</v>
      </c>
      <c r="I219" t="s">
        <v>75</v>
      </c>
      <c r="J219" s="50"/>
      <c r="K219" s="1" t="str">
        <f t="shared" si="28"/>
        <v>"HEN_PREP_DATECOMPLETE":"NULL"</v>
      </c>
    </row>
    <row r="220" spans="1:11" ht="22.15" hidden="1" customHeight="1">
      <c r="A220" s="15" t="s">
        <v>227</v>
      </c>
      <c r="B220" s="58" t="s">
        <v>282</v>
      </c>
      <c r="C220" s="58" t="s">
        <v>64</v>
      </c>
      <c r="D220" s="58" t="str">
        <f t="shared" si="30"/>
        <v>nvarchar</v>
      </c>
      <c r="E220" s="71" t="str">
        <f t="shared" ref="E220:E226" si="31">MID(C220,FIND("(",C220),5)</f>
        <v>(10)</v>
      </c>
      <c r="F220" s="49"/>
      <c r="G220" s="49"/>
      <c r="H220" s="49" t="s">
        <v>38</v>
      </c>
      <c r="I220"/>
      <c r="J220" s="50"/>
      <c r="K220" s="1" t="str">
        <f t="shared" si="28"/>
        <v>"HEN_PREP_COMPLETER":""</v>
      </c>
    </row>
    <row r="221" spans="1:11" ht="22.15" hidden="1" customHeight="1">
      <c r="A221" s="15" t="s">
        <v>227</v>
      </c>
      <c r="B221" s="58" t="s">
        <v>283</v>
      </c>
      <c r="C221" s="58" t="s">
        <v>49</v>
      </c>
      <c r="D221" s="58" t="s">
        <v>50</v>
      </c>
      <c r="E221" s="71" t="str">
        <f t="shared" si="31"/>
        <v>(1)</v>
      </c>
      <c r="F221" s="49"/>
      <c r="G221" s="22"/>
      <c r="H221" s="49" t="s">
        <v>38</v>
      </c>
      <c r="I221" t="s">
        <v>51</v>
      </c>
      <c r="J221" s="50"/>
      <c r="K221" s="1" t="str">
        <f t="shared" si="28"/>
        <v>"HEN_RESAMPLED":"F"</v>
      </c>
    </row>
    <row r="222" spans="1:11" ht="22.15" hidden="1" customHeight="1">
      <c r="A222" s="15" t="s">
        <v>227</v>
      </c>
      <c r="B222" s="58" t="s">
        <v>183</v>
      </c>
      <c r="C222" s="58" t="s">
        <v>64</v>
      </c>
      <c r="D222" s="58" t="str">
        <f t="shared" si="30"/>
        <v>nvarchar</v>
      </c>
      <c r="E222" s="71" t="str">
        <f t="shared" si="31"/>
        <v>(10)</v>
      </c>
      <c r="F222" s="49"/>
      <c r="G222" s="22"/>
      <c r="H222" s="49" t="s">
        <v>38</v>
      </c>
      <c r="I222" t="s">
        <v>184</v>
      </c>
      <c r="J222" s="50"/>
      <c r="K222" s="1" t="str">
        <f t="shared" si="28"/>
        <v>"HEN_GROUP_ID":" "</v>
      </c>
    </row>
    <row r="223" spans="1:11" ht="22.15" hidden="1" customHeight="1">
      <c r="A223" s="15" t="s">
        <v>227</v>
      </c>
      <c r="B223" s="58" t="s">
        <v>284</v>
      </c>
      <c r="C223" s="58" t="s">
        <v>64</v>
      </c>
      <c r="D223" s="58" t="str">
        <f t="shared" si="30"/>
        <v>nvarchar</v>
      </c>
      <c r="E223" s="71" t="str">
        <f t="shared" si="31"/>
        <v>(10)</v>
      </c>
      <c r="F223" s="49"/>
      <c r="G223" s="49"/>
      <c r="H223" s="49" t="s">
        <v>38</v>
      </c>
      <c r="I223" t="s">
        <v>184</v>
      </c>
      <c r="J223" s="50"/>
      <c r="K223" s="1" t="str">
        <f t="shared" si="28"/>
        <v>"HEN_PREP_ASSIGN":" "</v>
      </c>
    </row>
    <row r="224" spans="1:11" ht="22.15" hidden="1" customHeight="1">
      <c r="A224" s="15" t="s">
        <v>227</v>
      </c>
      <c r="B224" s="58" t="s">
        <v>285</v>
      </c>
      <c r="C224" s="58" t="s">
        <v>49</v>
      </c>
      <c r="D224" s="58" t="s">
        <v>50</v>
      </c>
      <c r="E224" s="71" t="str">
        <f t="shared" si="31"/>
        <v>(1)</v>
      </c>
      <c r="F224" s="49"/>
      <c r="G224" s="49"/>
      <c r="H224" s="49" t="s">
        <v>38</v>
      </c>
      <c r="I224" t="s">
        <v>51</v>
      </c>
      <c r="J224" s="50"/>
      <c r="K224" s="1" t="str">
        <f t="shared" si="28"/>
        <v>"HEN_IS_RETURNED":"F"</v>
      </c>
    </row>
    <row r="225" spans="1:16" ht="22.15" hidden="1" customHeight="1">
      <c r="A225" s="15" t="s">
        <v>227</v>
      </c>
      <c r="B225" s="58" t="s">
        <v>286</v>
      </c>
      <c r="C225" s="58" t="s">
        <v>81</v>
      </c>
      <c r="D225" s="58" t="str">
        <f t="shared" si="30"/>
        <v>nvarchar</v>
      </c>
      <c r="E225" s="71" t="str">
        <f t="shared" si="31"/>
        <v>(234)</v>
      </c>
      <c r="F225" s="49"/>
      <c r="G225" s="49"/>
      <c r="H225" s="49" t="s">
        <v>38</v>
      </c>
      <c r="I225" t="s">
        <v>184</v>
      </c>
      <c r="J225" s="50"/>
      <c r="K225" s="1" t="str">
        <f t="shared" si="28"/>
        <v>"HEN_RETURN_COMMENT":" "</v>
      </c>
    </row>
    <row r="226" spans="1:16" ht="22.15" hidden="1" customHeight="1">
      <c r="A226" s="15" t="s">
        <v>227</v>
      </c>
      <c r="B226" s="58" t="s">
        <v>287</v>
      </c>
      <c r="C226" s="58" t="s">
        <v>64</v>
      </c>
      <c r="D226" s="58" t="str">
        <f t="shared" si="30"/>
        <v>nvarchar</v>
      </c>
      <c r="E226" s="71" t="str">
        <f t="shared" si="31"/>
        <v>(10)</v>
      </c>
      <c r="F226" s="49"/>
      <c r="G226" s="49"/>
      <c r="H226" s="49" t="s">
        <v>38</v>
      </c>
      <c r="I226" t="s">
        <v>184</v>
      </c>
      <c r="J226" s="50"/>
      <c r="K226" s="1" t="str">
        <f t="shared" si="28"/>
        <v>"HEN_RETURN_BY":" "</v>
      </c>
    </row>
    <row r="227" spans="1:16" s="24" customFormat="1" ht="25.9" customHeight="1">
      <c r="A227" s="16" t="s">
        <v>288</v>
      </c>
      <c r="B227" s="78" t="s">
        <v>289</v>
      </c>
      <c r="C227" s="63"/>
      <c r="D227" s="63"/>
      <c r="E227" s="72"/>
      <c r="F227" s="63"/>
      <c r="G227" s="88"/>
      <c r="H227" s="17" t="s">
        <v>21</v>
      </c>
      <c r="I227" s="17"/>
      <c r="J227" s="64"/>
      <c r="K227" s="1" t="str">
        <f t="shared" ref="K227:K229" si="32">""""&amp;B227&amp;""""&amp;":"&amp;""""&amp;I227&amp;""""&amp;","</f>
        <v>"Sub Node: RESULT":"",</v>
      </c>
    </row>
    <row r="228" spans="1:16" ht="22.15" customHeight="1">
      <c r="A228" s="58" t="s">
        <v>290</v>
      </c>
      <c r="B228" s="58" t="s">
        <v>228</v>
      </c>
      <c r="C228" s="58" t="s">
        <v>34</v>
      </c>
      <c r="D228" s="58" t="str">
        <f t="shared" ref="D228:D278" si="33">LEFT(C228,FIND("(",C228)-1)</f>
        <v>varchar</v>
      </c>
      <c r="E228" s="71" t="str">
        <f t="shared" ref="E228" si="34">MID(C228,FIND("(",C228),5)</f>
        <v>(10)</v>
      </c>
      <c r="F228" s="23" t="s">
        <v>21</v>
      </c>
      <c r="G228" s="62" t="s">
        <v>291</v>
      </c>
      <c r="H228" s="76" t="s">
        <v>21</v>
      </c>
      <c r="I228">
        <v>48</v>
      </c>
      <c r="J228" s="23"/>
      <c r="K228" s="1" t="str">
        <f t="shared" si="32"/>
        <v>"TEST_NUMBER":"48",</v>
      </c>
      <c r="P228"/>
    </row>
    <row r="229" spans="1:16" ht="25.15" customHeight="1">
      <c r="A229" s="58" t="s">
        <v>290</v>
      </c>
      <c r="B229" s="58" t="s">
        <v>292</v>
      </c>
      <c r="C229" s="58" t="s">
        <v>173</v>
      </c>
      <c r="D229" s="58" t="str">
        <f t="shared" si="33"/>
        <v>nvarchar</v>
      </c>
      <c r="E229" s="71" t="str">
        <f t="shared" ref="E229:E280" si="35">MID(C229,FIND("(",C229),5)</f>
        <v>(40)</v>
      </c>
      <c r="F229" s="23" t="s">
        <v>21</v>
      </c>
      <c r="G229" s="62" t="s">
        <v>293</v>
      </c>
      <c r="H229" s="76" t="s">
        <v>21</v>
      </c>
      <c r="I229" t="s">
        <v>294</v>
      </c>
      <c r="J229" s="23"/>
      <c r="K229" s="1" t="str">
        <f t="shared" si="32"/>
        <v>"NAME":"Weight",</v>
      </c>
      <c r="P229"/>
    </row>
    <row r="230" spans="1:16" ht="13.5" hidden="1" customHeight="1">
      <c r="A230" s="58" t="s">
        <v>290</v>
      </c>
      <c r="B230" s="58" t="s">
        <v>295</v>
      </c>
      <c r="C230" s="58" t="s">
        <v>34</v>
      </c>
      <c r="D230" s="58" t="str">
        <f t="shared" si="33"/>
        <v>varchar</v>
      </c>
      <c r="E230" s="71" t="str">
        <f t="shared" si="35"/>
        <v>(10)</v>
      </c>
      <c r="F230" s="14"/>
      <c r="G230" s="14"/>
      <c r="H230" s="50" t="s">
        <v>38</v>
      </c>
      <c r="I230" t="s">
        <v>38</v>
      </c>
      <c r="J230" s="14"/>
      <c r="K230" s="1" t="str">
        <f t="shared" si="28"/>
        <v>"ORDER_NUMBER":"N"</v>
      </c>
      <c r="P230">
        <v>1</v>
      </c>
    </row>
    <row r="231" spans="1:16" ht="13.5" customHeight="1">
      <c r="A231" s="58" t="s">
        <v>290</v>
      </c>
      <c r="B231" s="58" t="s">
        <v>296</v>
      </c>
      <c r="C231" s="58" t="s">
        <v>43</v>
      </c>
      <c r="D231" s="58" t="str">
        <f t="shared" si="33"/>
        <v>nvarchar</v>
      </c>
      <c r="E231" s="71" t="str">
        <f t="shared" si="35"/>
        <v>(1)</v>
      </c>
      <c r="F231" s="14"/>
      <c r="G231" s="22" t="s">
        <v>297</v>
      </c>
      <c r="H231" s="50" t="s">
        <v>21</v>
      </c>
      <c r="I231"/>
      <c r="J231" s="14"/>
      <c r="K231" s="1" t="str">
        <f t="shared" ref="K231:K232" si="36">""""&amp;B231&amp;""""&amp;":"&amp;""""&amp;I231&amp;""""&amp;","</f>
        <v>"RESULT_TYPE":"",</v>
      </c>
      <c r="P231"/>
    </row>
    <row r="232" spans="1:16" ht="13.5" customHeight="1">
      <c r="A232" s="58" t="s">
        <v>290</v>
      </c>
      <c r="B232" s="58" t="s">
        <v>298</v>
      </c>
      <c r="C232" s="58" t="s">
        <v>173</v>
      </c>
      <c r="D232" s="58" t="str">
        <f t="shared" si="33"/>
        <v>nvarchar</v>
      </c>
      <c r="E232" s="71" t="str">
        <f t="shared" si="35"/>
        <v>(40)</v>
      </c>
      <c r="F232" s="14"/>
      <c r="G232" s="22" t="s">
        <v>299</v>
      </c>
      <c r="H232" s="50" t="s">
        <v>21</v>
      </c>
      <c r="I232">
        <v>10</v>
      </c>
      <c r="J232" s="14"/>
      <c r="K232" s="1" t="str">
        <f t="shared" si="36"/>
        <v>"UNITS":"10",</v>
      </c>
      <c r="P232"/>
    </row>
    <row r="233" spans="1:16" ht="13.5" hidden="1" customHeight="1">
      <c r="A233" s="58" t="s">
        <v>290</v>
      </c>
      <c r="B233" s="58" t="s">
        <v>300</v>
      </c>
      <c r="C233" s="58" t="s">
        <v>171</v>
      </c>
      <c r="D233" s="58" t="str">
        <f>C233</f>
        <v>float</v>
      </c>
      <c r="E233" s="71"/>
      <c r="F233" s="14"/>
      <c r="G233" s="14"/>
      <c r="H233" s="50" t="s">
        <v>38</v>
      </c>
      <c r="I233">
        <v>10</v>
      </c>
      <c r="J233" s="14"/>
      <c r="K233" s="1" t="str">
        <f t="shared" si="28"/>
        <v>"MINIMUM":"10"</v>
      </c>
      <c r="P233">
        <v>0</v>
      </c>
    </row>
    <row r="234" spans="1:16" ht="13.5" hidden="1" customHeight="1">
      <c r="A234" s="58" t="s">
        <v>290</v>
      </c>
      <c r="B234" s="58" t="s">
        <v>301</v>
      </c>
      <c r="C234" s="58" t="s">
        <v>171</v>
      </c>
      <c r="D234" s="58" t="str">
        <f t="shared" ref="D234:D235" si="37">C234</f>
        <v>float</v>
      </c>
      <c r="E234" s="71"/>
      <c r="F234" s="65"/>
      <c r="G234" s="65"/>
      <c r="H234" s="50" t="s">
        <v>38</v>
      </c>
      <c r="I234">
        <v>-1</v>
      </c>
      <c r="J234" s="14"/>
      <c r="K234" s="1" t="str">
        <f t="shared" si="28"/>
        <v>"MAXIMUM":"-1"</v>
      </c>
      <c r="P234">
        <v>0</v>
      </c>
    </row>
    <row r="235" spans="1:16" ht="13.5" hidden="1" customHeight="1">
      <c r="A235" s="58" t="s">
        <v>290</v>
      </c>
      <c r="B235" s="58" t="s">
        <v>302</v>
      </c>
      <c r="C235" s="58" t="s">
        <v>171</v>
      </c>
      <c r="D235" s="58" t="str">
        <f t="shared" si="37"/>
        <v>float</v>
      </c>
      <c r="E235" s="71"/>
      <c r="F235" s="66"/>
      <c r="G235" s="65"/>
      <c r="H235" s="50" t="s">
        <v>38</v>
      </c>
      <c r="I235" t="s">
        <v>51</v>
      </c>
      <c r="J235" s="14"/>
      <c r="K235" s="1" t="str">
        <f t="shared" si="28"/>
        <v>"TYPICAL":"F"</v>
      </c>
      <c r="P235">
        <v>0</v>
      </c>
    </row>
    <row r="236" spans="1:16" ht="13.5" hidden="1" customHeight="1">
      <c r="A236" s="58" t="s">
        <v>290</v>
      </c>
      <c r="B236" s="58" t="s">
        <v>303</v>
      </c>
      <c r="C236" s="58" t="s">
        <v>64</v>
      </c>
      <c r="D236" s="58" t="str">
        <f t="shared" si="33"/>
        <v>nvarchar</v>
      </c>
      <c r="E236" s="71" t="str">
        <f t="shared" si="35"/>
        <v>(10)</v>
      </c>
      <c r="F236" s="66"/>
      <c r="G236" s="65"/>
      <c r="H236" s="50" t="s">
        <v>38</v>
      </c>
      <c r="I236" t="s">
        <v>45</v>
      </c>
      <c r="J236" s="14"/>
      <c r="K236" s="1" t="str">
        <f t="shared" si="28"/>
        <v>"TRUE_WORD":"A"</v>
      </c>
      <c r="P236"/>
    </row>
    <row r="237" spans="1:16" ht="13.5" hidden="1" customHeight="1">
      <c r="A237" s="58" t="s">
        <v>290</v>
      </c>
      <c r="B237" s="58" t="s">
        <v>304</v>
      </c>
      <c r="C237" s="58" t="s">
        <v>64</v>
      </c>
      <c r="D237" s="58" t="str">
        <f t="shared" si="33"/>
        <v>nvarchar</v>
      </c>
      <c r="E237" s="71" t="str">
        <f t="shared" si="35"/>
        <v>(10)</v>
      </c>
      <c r="F237" s="66"/>
      <c r="G237" s="65"/>
      <c r="H237" s="50" t="s">
        <v>38</v>
      </c>
      <c r="I237" s="73">
        <v>45532.236454513892</v>
      </c>
      <c r="J237" s="14"/>
      <c r="K237" s="1" t="str">
        <f t="shared" si="28"/>
        <v>"FALSE_WORD":"45532.2364545139"</v>
      </c>
      <c r="P237"/>
    </row>
    <row r="238" spans="1:16" ht="13.5" hidden="1" customHeight="1">
      <c r="A238" s="58" t="s">
        <v>290</v>
      </c>
      <c r="B238" s="58" t="s">
        <v>305</v>
      </c>
      <c r="C238" s="58" t="s">
        <v>306</v>
      </c>
      <c r="D238" s="58" t="str">
        <f t="shared" si="33"/>
        <v>nvarchar</v>
      </c>
      <c r="E238" s="71" t="str">
        <f t="shared" si="35"/>
        <v>(26)</v>
      </c>
      <c r="F238" s="66"/>
      <c r="G238" s="65"/>
      <c r="H238" s="50" t="s">
        <v>38</v>
      </c>
      <c r="I238" t="s">
        <v>66</v>
      </c>
      <c r="J238" s="14"/>
      <c r="K238" s="1" t="str">
        <f t="shared" si="28"/>
        <v>"ALLOWED_CHARACTERS":"SYSTEM"</v>
      </c>
      <c r="L238" s="90"/>
      <c r="M238" s="90"/>
      <c r="N238" s="90"/>
      <c r="P238"/>
    </row>
    <row r="239" spans="1:16" ht="13.5" hidden="1" customHeight="1">
      <c r="A239" s="58" t="s">
        <v>290</v>
      </c>
      <c r="B239" s="58" t="s">
        <v>307</v>
      </c>
      <c r="C239" s="58" t="s">
        <v>37</v>
      </c>
      <c r="D239" s="58" t="str">
        <f t="shared" si="33"/>
        <v>nvarchar</v>
      </c>
      <c r="E239" s="71" t="str">
        <f t="shared" si="35"/>
        <v>(30)</v>
      </c>
      <c r="F239" s="66"/>
      <c r="G239" s="65"/>
      <c r="H239" s="50" t="s">
        <v>38</v>
      </c>
      <c r="I239" s="73">
        <v>45532.240042094905</v>
      </c>
      <c r="J239" s="14"/>
      <c r="K239" s="1" t="str">
        <f t="shared" si="28"/>
        <v>"CALCULATION":"45532.2400420949"</v>
      </c>
      <c r="P239"/>
    </row>
    <row r="240" spans="1:16" ht="13.5" customHeight="1">
      <c r="A240" s="58" t="s">
        <v>290</v>
      </c>
      <c r="B240" s="58" t="s">
        <v>308</v>
      </c>
      <c r="C240" s="58" t="s">
        <v>171</v>
      </c>
      <c r="D240" s="58" t="str">
        <f>C240</f>
        <v>float</v>
      </c>
      <c r="E240" s="71"/>
      <c r="F240" s="14"/>
      <c r="G240" s="22"/>
      <c r="H240" s="50" t="s">
        <v>21</v>
      </c>
      <c r="I240" t="s">
        <v>66</v>
      </c>
      <c r="J240" s="67"/>
      <c r="K240" s="1" t="str">
        <f t="shared" ref="K240:K244" si="38">""""&amp;B240&amp;""""&amp;":"&amp;""""&amp;I240&amp;""""&amp;","</f>
        <v>"VALUE":"SYSTEM",</v>
      </c>
      <c r="P240"/>
    </row>
    <row r="241" spans="1:16" ht="13.5" customHeight="1">
      <c r="A241" s="58" t="s">
        <v>290</v>
      </c>
      <c r="B241" s="58" t="s">
        <v>309</v>
      </c>
      <c r="C241" s="58" t="s">
        <v>81</v>
      </c>
      <c r="D241" s="58" t="str">
        <f t="shared" si="33"/>
        <v>nvarchar</v>
      </c>
      <c r="E241" s="71" t="str">
        <f t="shared" si="35"/>
        <v>(234)</v>
      </c>
      <c r="F241" s="14"/>
      <c r="G241" s="22"/>
      <c r="H241" s="50" t="s">
        <v>21</v>
      </c>
      <c r="I241">
        <v>10</v>
      </c>
      <c r="J241" s="67"/>
      <c r="K241" s="1" t="str">
        <f t="shared" si="38"/>
        <v>"TEXT":"10",</v>
      </c>
      <c r="P241"/>
    </row>
    <row r="242" spans="1:16" ht="13.5" customHeight="1">
      <c r="A242" s="58" t="s">
        <v>290</v>
      </c>
      <c r="B242" s="58" t="s">
        <v>310</v>
      </c>
      <c r="C242" s="58" t="s">
        <v>59</v>
      </c>
      <c r="D242" s="58" t="str">
        <f>C242</f>
        <v>int</v>
      </c>
      <c r="E242" s="71"/>
      <c r="F242" s="14"/>
      <c r="G242" s="22"/>
      <c r="H242" s="50" t="s">
        <v>21</v>
      </c>
      <c r="I242" t="s">
        <v>75</v>
      </c>
      <c r="J242" s="14"/>
      <c r="K242" s="1" t="str">
        <f t="shared" si="38"/>
        <v>"PLACES":"NULL",</v>
      </c>
      <c r="P242"/>
    </row>
    <row r="243" spans="1:16" ht="13.5" customHeight="1">
      <c r="A243" s="58" t="s">
        <v>290</v>
      </c>
      <c r="B243" s="58" t="s">
        <v>311</v>
      </c>
      <c r="C243" s="58" t="s">
        <v>49</v>
      </c>
      <c r="D243" s="58" t="str">
        <f t="shared" si="33"/>
        <v>varchar</v>
      </c>
      <c r="E243" s="71" t="str">
        <f t="shared" si="35"/>
        <v>(1)</v>
      </c>
      <c r="F243" s="14"/>
      <c r="G243" s="22" t="s">
        <v>312</v>
      </c>
      <c r="H243" s="50" t="s">
        <v>21</v>
      </c>
      <c r="I243" t="s">
        <v>51</v>
      </c>
      <c r="J243" s="14"/>
      <c r="K243" s="1" t="str">
        <f t="shared" si="38"/>
        <v>"OUT_OF_RANGE":"F",</v>
      </c>
      <c r="P243"/>
    </row>
    <row r="244" spans="1:16" ht="13.5" hidden="1" customHeight="1">
      <c r="A244" s="58" t="s">
        <v>290</v>
      </c>
      <c r="B244" s="58" t="s">
        <v>42</v>
      </c>
      <c r="C244" s="58" t="s">
        <v>43</v>
      </c>
      <c r="D244" s="58" t="str">
        <f t="shared" si="33"/>
        <v>nvarchar</v>
      </c>
      <c r="E244" s="71" t="str">
        <f t="shared" si="35"/>
        <v>(1)</v>
      </c>
      <c r="F244" s="14"/>
      <c r="G244" s="22"/>
      <c r="H244" s="50" t="s">
        <v>38</v>
      </c>
      <c r="I244" t="s">
        <v>45</v>
      </c>
      <c r="J244" s="14"/>
      <c r="K244" s="1" t="str">
        <f t="shared" si="38"/>
        <v>"STATUS":"A",</v>
      </c>
      <c r="P244"/>
    </row>
    <row r="245" spans="1:16" ht="13.5" hidden="1" customHeight="1">
      <c r="A245" s="58" t="s">
        <v>290</v>
      </c>
      <c r="B245" s="58" t="s">
        <v>46</v>
      </c>
      <c r="C245" s="58" t="s">
        <v>43</v>
      </c>
      <c r="D245" s="58" t="str">
        <f t="shared" si="33"/>
        <v>nvarchar</v>
      </c>
      <c r="E245" s="71" t="str">
        <f t="shared" si="35"/>
        <v>(1)</v>
      </c>
      <c r="F245" s="14"/>
      <c r="G245" s="14"/>
      <c r="H245" s="50" t="s">
        <v>38</v>
      </c>
      <c r="I245" t="s">
        <v>313</v>
      </c>
      <c r="J245" s="67"/>
      <c r="K245" s="1" t="str">
        <f t="shared" si="28"/>
        <v>"OLD_STATUS":"E"</v>
      </c>
      <c r="P245" t="s">
        <v>313</v>
      </c>
    </row>
    <row r="246" spans="1:16" ht="13.5" hidden="1" customHeight="1">
      <c r="A246" s="58" t="s">
        <v>290</v>
      </c>
      <c r="B246" s="58" t="s">
        <v>314</v>
      </c>
      <c r="C246" s="58" t="s">
        <v>61</v>
      </c>
      <c r="D246" s="58" t="str">
        <f>C246</f>
        <v>datetime</v>
      </c>
      <c r="E246" s="71"/>
      <c r="F246" s="14"/>
      <c r="G246" s="22"/>
      <c r="H246" s="50" t="s">
        <v>38</v>
      </c>
      <c r="I246" s="73">
        <v>45532.236451122684</v>
      </c>
      <c r="J246" s="67"/>
      <c r="K246" s="1" t="str">
        <f t="shared" ref="K246:K249" si="39">""""&amp;B246&amp;""""&amp;":"&amp;""""&amp;I246&amp;""""&amp;","</f>
        <v>"ENTERED_ON":"45532.2364511227",</v>
      </c>
      <c r="P246" s="73"/>
    </row>
    <row r="247" spans="1:16" ht="13.5" hidden="1" customHeight="1">
      <c r="A247" s="58" t="s">
        <v>290</v>
      </c>
      <c r="B247" s="58" t="s">
        <v>315</v>
      </c>
      <c r="C247" s="58" t="s">
        <v>64</v>
      </c>
      <c r="D247" s="58" t="str">
        <f t="shared" si="33"/>
        <v>nvarchar</v>
      </c>
      <c r="E247" s="71" t="str">
        <f t="shared" si="35"/>
        <v>(10)</v>
      </c>
      <c r="F247" s="14"/>
      <c r="G247" s="22"/>
      <c r="H247" s="50" t="s">
        <v>38</v>
      </c>
      <c r="I247" t="s">
        <v>66</v>
      </c>
      <c r="J247" s="14"/>
      <c r="K247" s="1" t="str">
        <f t="shared" si="39"/>
        <v>"ENTERED_BY":"SYSTEM",</v>
      </c>
      <c r="P247"/>
    </row>
    <row r="248" spans="1:16" ht="13.5" hidden="1" customHeight="1">
      <c r="A248" s="58" t="s">
        <v>290</v>
      </c>
      <c r="B248" s="58" t="s">
        <v>76</v>
      </c>
      <c r="C248" s="58" t="s">
        <v>61</v>
      </c>
      <c r="D248" s="58" t="str">
        <f>C248</f>
        <v>datetime</v>
      </c>
      <c r="E248" s="71"/>
      <c r="F248" s="14"/>
      <c r="G248" s="22"/>
      <c r="H248" s="50" t="s">
        <v>38</v>
      </c>
      <c r="I248" s="73">
        <v>45532.240040312499</v>
      </c>
      <c r="J248" s="14"/>
      <c r="K248" s="1" t="str">
        <f t="shared" si="39"/>
        <v>"DATE_AUTHORISED":"45532.2400403125",</v>
      </c>
      <c r="P248" s="73"/>
    </row>
    <row r="249" spans="1:16" ht="13.5" hidden="1" customHeight="1">
      <c r="A249" s="58" t="s">
        <v>290</v>
      </c>
      <c r="B249" s="58" t="s">
        <v>78</v>
      </c>
      <c r="C249" s="58" t="s">
        <v>64</v>
      </c>
      <c r="D249" s="58" t="str">
        <f t="shared" si="33"/>
        <v>nvarchar</v>
      </c>
      <c r="E249" s="71" t="str">
        <f t="shared" si="35"/>
        <v>(10)</v>
      </c>
      <c r="F249" s="14"/>
      <c r="G249" s="22"/>
      <c r="H249" s="50" t="s">
        <v>38</v>
      </c>
      <c r="I249" t="s">
        <v>66</v>
      </c>
      <c r="J249" s="14"/>
      <c r="K249" s="1" t="str">
        <f t="shared" si="39"/>
        <v>"AUTHORISER":"SYSTEM",</v>
      </c>
      <c r="P249"/>
    </row>
    <row r="250" spans="1:16" ht="13.5" hidden="1" customHeight="1">
      <c r="A250" s="58" t="s">
        <v>290</v>
      </c>
      <c r="B250" s="58" t="s">
        <v>316</v>
      </c>
      <c r="C250" s="58" t="s">
        <v>64</v>
      </c>
      <c r="D250" s="58" t="str">
        <f t="shared" si="33"/>
        <v>nvarchar</v>
      </c>
      <c r="E250" s="71" t="str">
        <f t="shared" si="35"/>
        <v>(10)</v>
      </c>
      <c r="F250" s="14"/>
      <c r="G250" s="14"/>
      <c r="H250" s="50" t="s">
        <v>38</v>
      </c>
      <c r="I250"/>
      <c r="J250" s="67"/>
      <c r="K250" s="1" t="str">
        <f t="shared" si="28"/>
        <v>"GROUP_ID":""</v>
      </c>
      <c r="P250"/>
    </row>
    <row r="251" spans="1:16" ht="13.5" hidden="1" customHeight="1">
      <c r="A251" s="58" t="s">
        <v>290</v>
      </c>
      <c r="B251" s="58" t="s">
        <v>317</v>
      </c>
      <c r="C251" s="58" t="s">
        <v>59</v>
      </c>
      <c r="D251" s="58" t="str">
        <f t="shared" ref="D251:D253" si="40">C251</f>
        <v>int</v>
      </c>
      <c r="E251" s="71"/>
      <c r="F251" s="14"/>
      <c r="G251" s="14"/>
      <c r="H251" s="50" t="s">
        <v>38</v>
      </c>
      <c r="I251">
        <v>0</v>
      </c>
      <c r="J251" s="67"/>
      <c r="K251" s="1" t="str">
        <f t="shared" si="28"/>
        <v>"SECURITY_FLAGS":"0"</v>
      </c>
      <c r="P251">
        <v>0</v>
      </c>
    </row>
    <row r="252" spans="1:16" ht="13.5" hidden="1" customHeight="1">
      <c r="A252" s="58" t="s">
        <v>290</v>
      </c>
      <c r="B252" s="58" t="s">
        <v>318</v>
      </c>
      <c r="C252" s="58" t="s">
        <v>59</v>
      </c>
      <c r="D252" s="58" t="str">
        <f t="shared" si="40"/>
        <v>int</v>
      </c>
      <c r="E252" s="71"/>
      <c r="F252" s="14"/>
      <c r="G252" s="14"/>
      <c r="H252" s="50" t="s">
        <v>38</v>
      </c>
      <c r="I252">
        <v>-1</v>
      </c>
      <c r="J252" s="14"/>
      <c r="K252" s="1" t="str">
        <f t="shared" si="28"/>
        <v>"SIG_FIGS_NUMBER":"-1"</v>
      </c>
      <c r="P252">
        <v>-1</v>
      </c>
    </row>
    <row r="253" spans="1:16" ht="13.5" hidden="1" customHeight="1">
      <c r="A253" s="58" t="s">
        <v>290</v>
      </c>
      <c r="B253" s="58" t="s">
        <v>319</v>
      </c>
      <c r="C253" s="58" t="s">
        <v>59</v>
      </c>
      <c r="D253" s="58" t="str">
        <f t="shared" si="40"/>
        <v>int</v>
      </c>
      <c r="E253" s="71"/>
      <c r="F253" s="14"/>
      <c r="G253" s="14"/>
      <c r="H253" s="50" t="s">
        <v>38</v>
      </c>
      <c r="I253">
        <v>-1</v>
      </c>
      <c r="J253" s="14"/>
      <c r="K253" s="1" t="str">
        <f t="shared" si="28"/>
        <v>"SIG_FIGS_ROUNDING":"-1"</v>
      </c>
      <c r="P253">
        <v>-1</v>
      </c>
    </row>
    <row r="254" spans="1:16" ht="13.5" hidden="1" customHeight="1">
      <c r="A254" s="58" t="s">
        <v>290</v>
      </c>
      <c r="B254" s="58" t="s">
        <v>320</v>
      </c>
      <c r="C254" s="58" t="s">
        <v>64</v>
      </c>
      <c r="D254" s="58" t="str">
        <f t="shared" si="33"/>
        <v>nvarchar</v>
      </c>
      <c r="E254" s="71" t="str">
        <f t="shared" si="35"/>
        <v>(10)</v>
      </c>
      <c r="F254" s="14"/>
      <c r="G254" s="14"/>
      <c r="H254" s="50" t="s">
        <v>38</v>
      </c>
      <c r="I254"/>
      <c r="J254" s="14"/>
      <c r="K254" s="1" t="str">
        <f t="shared" si="28"/>
        <v>"SIG_FIGS_FILTER":""</v>
      </c>
      <c r="P254"/>
    </row>
    <row r="255" spans="1:16" ht="13.5" hidden="1" customHeight="1">
      <c r="A255" s="58" t="s">
        <v>290</v>
      </c>
      <c r="B255" s="58" t="s">
        <v>321</v>
      </c>
      <c r="C255" s="58" t="s">
        <v>322</v>
      </c>
      <c r="D255" s="58" t="str">
        <f t="shared" si="33"/>
        <v>nvarchar</v>
      </c>
      <c r="E255" s="71" t="str">
        <f t="shared" si="35"/>
        <v>(3)</v>
      </c>
      <c r="F255" s="14"/>
      <c r="G255" s="14"/>
      <c r="H255" s="50" t="s">
        <v>38</v>
      </c>
      <c r="I255"/>
      <c r="J255" s="14"/>
      <c r="K255" s="1" t="str">
        <f t="shared" si="28"/>
        <v>"REP_CONTROL":""</v>
      </c>
      <c r="P255"/>
    </row>
    <row r="256" spans="1:16" ht="13.5" hidden="1" customHeight="1">
      <c r="A256" s="58" t="s">
        <v>290</v>
      </c>
      <c r="B256" s="58" t="s">
        <v>323</v>
      </c>
      <c r="C256" s="58" t="s">
        <v>171</v>
      </c>
      <c r="D256" s="58" t="str">
        <f t="shared" ref="D256:D257" si="41">C256</f>
        <v>float</v>
      </c>
      <c r="E256" s="71"/>
      <c r="F256" s="14"/>
      <c r="G256" s="14"/>
      <c r="H256" s="50" t="s">
        <v>38</v>
      </c>
      <c r="I256">
        <v>0</v>
      </c>
      <c r="J256" s="14"/>
      <c r="K256" s="1" t="str">
        <f t="shared" si="28"/>
        <v>"MINIMUM_PQL":"0"</v>
      </c>
      <c r="P256">
        <v>0</v>
      </c>
    </row>
    <row r="257" spans="1:16" ht="13.5" hidden="1" customHeight="1">
      <c r="A257" s="58" t="s">
        <v>290</v>
      </c>
      <c r="B257" s="58" t="s">
        <v>324</v>
      </c>
      <c r="C257" s="58" t="s">
        <v>171</v>
      </c>
      <c r="D257" s="58" t="str">
        <f t="shared" si="41"/>
        <v>float</v>
      </c>
      <c r="E257" s="71"/>
      <c r="F257" s="14"/>
      <c r="G257" s="14"/>
      <c r="H257" s="50" t="s">
        <v>38</v>
      </c>
      <c r="I257">
        <v>0</v>
      </c>
      <c r="J257" s="14"/>
      <c r="K257" s="1" t="str">
        <f t="shared" si="28"/>
        <v>"MAXIMUM_PQL":"0"</v>
      </c>
      <c r="P257">
        <v>0</v>
      </c>
    </row>
    <row r="258" spans="1:16" ht="13.5" hidden="1" customHeight="1">
      <c r="A258" s="58" t="s">
        <v>290</v>
      </c>
      <c r="B258" s="58" t="s">
        <v>325</v>
      </c>
      <c r="C258" s="58" t="s">
        <v>49</v>
      </c>
      <c r="D258" s="58" t="s">
        <v>50</v>
      </c>
      <c r="E258" s="71" t="str">
        <f t="shared" si="35"/>
        <v>(1)</v>
      </c>
      <c r="F258" s="14"/>
      <c r="G258" s="14"/>
      <c r="H258" s="50" t="s">
        <v>38</v>
      </c>
      <c r="I258" t="s">
        <v>51</v>
      </c>
      <c r="J258" s="14"/>
      <c r="K258" s="1" t="str">
        <f t="shared" si="28"/>
        <v>"LESS_THAN_PQL":"F"</v>
      </c>
      <c r="P258" t="s">
        <v>51</v>
      </c>
    </row>
    <row r="259" spans="1:16" ht="13.5" hidden="1" customHeight="1">
      <c r="A259" s="58" t="s">
        <v>290</v>
      </c>
      <c r="B259" s="58" t="s">
        <v>326</v>
      </c>
      <c r="C259" s="58" t="s">
        <v>49</v>
      </c>
      <c r="D259" s="58" t="s">
        <v>50</v>
      </c>
      <c r="E259" s="71" t="str">
        <f t="shared" si="35"/>
        <v>(1)</v>
      </c>
      <c r="F259" s="14"/>
      <c r="G259" s="14"/>
      <c r="H259" s="50" t="s">
        <v>38</v>
      </c>
      <c r="I259" t="s">
        <v>51</v>
      </c>
      <c r="J259" s="14"/>
      <c r="K259" s="1" t="str">
        <f t="shared" si="28"/>
        <v>"GREATER_THAN_PQL":"F"</v>
      </c>
      <c r="P259" t="s">
        <v>51</v>
      </c>
    </row>
    <row r="260" spans="1:16" ht="13.5" hidden="1" customHeight="1">
      <c r="A260" s="58" t="s">
        <v>290</v>
      </c>
      <c r="B260" s="58" t="s">
        <v>327</v>
      </c>
      <c r="C260" s="58" t="s">
        <v>64</v>
      </c>
      <c r="D260" s="58" t="str">
        <f t="shared" si="33"/>
        <v>nvarchar</v>
      </c>
      <c r="E260" s="71" t="str">
        <f t="shared" si="35"/>
        <v>(10)</v>
      </c>
      <c r="F260" s="14"/>
      <c r="G260" s="14"/>
      <c r="H260" s="50" t="s">
        <v>38</v>
      </c>
      <c r="I260" t="s">
        <v>75</v>
      </c>
      <c r="J260" s="14"/>
      <c r="K260" s="1" t="str">
        <f t="shared" si="28"/>
        <v>"PQL_CALCULATION":"NULL"</v>
      </c>
      <c r="P260" t="s">
        <v>75</v>
      </c>
    </row>
    <row r="261" spans="1:16" ht="13.5" hidden="1" customHeight="1">
      <c r="A261" s="58" t="s">
        <v>290</v>
      </c>
      <c r="B261" s="58" t="s">
        <v>328</v>
      </c>
      <c r="C261" s="58" t="s">
        <v>329</v>
      </c>
      <c r="D261" s="58" t="str">
        <f t="shared" si="33"/>
        <v>nvarchar</v>
      </c>
      <c r="E261" s="71" t="str">
        <f t="shared" si="35"/>
        <v>(500)</v>
      </c>
      <c r="F261" s="14"/>
      <c r="G261" s="14"/>
      <c r="H261" s="50" t="s">
        <v>38</v>
      </c>
      <c r="I261" t="s">
        <v>75</v>
      </c>
      <c r="J261" s="14"/>
      <c r="K261" s="1" t="str">
        <f t="shared" si="28"/>
        <v>"FORMULA":"NULL"</v>
      </c>
      <c r="P261" t="s">
        <v>75</v>
      </c>
    </row>
    <row r="262" spans="1:16" ht="13.5" hidden="1" customHeight="1">
      <c r="A262" s="58" t="s">
        <v>290</v>
      </c>
      <c r="B262" s="58" t="s">
        <v>330</v>
      </c>
      <c r="C262" s="58" t="s">
        <v>171</v>
      </c>
      <c r="D262" s="58" t="str">
        <f t="shared" ref="D262:D263" si="42">C262</f>
        <v>float</v>
      </c>
      <c r="E262" s="71"/>
      <c r="F262" s="14"/>
      <c r="G262" s="14"/>
      <c r="H262" s="50" t="s">
        <v>38</v>
      </c>
      <c r="I262">
        <v>1</v>
      </c>
      <c r="J262" s="14"/>
      <c r="K262" s="1" t="str">
        <f t="shared" si="28"/>
        <v>"DILUTION_FACTOR":"1"</v>
      </c>
      <c r="P262">
        <v>1</v>
      </c>
    </row>
    <row r="263" spans="1:16" ht="13.5" hidden="1" customHeight="1">
      <c r="A263" s="58" t="s">
        <v>290</v>
      </c>
      <c r="B263" s="58" t="s">
        <v>331</v>
      </c>
      <c r="C263" s="58" t="s">
        <v>171</v>
      </c>
      <c r="D263" s="58" t="str">
        <f t="shared" si="42"/>
        <v>float</v>
      </c>
      <c r="E263" s="71"/>
      <c r="F263" s="14"/>
      <c r="G263" s="14"/>
      <c r="H263" s="50" t="s">
        <v>38</v>
      </c>
      <c r="I263">
        <v>0</v>
      </c>
      <c r="J263" s="14"/>
      <c r="K263" s="1" t="str">
        <f t="shared" si="28"/>
        <v>"SPIKE_VALUE":"0"</v>
      </c>
      <c r="P263">
        <v>0</v>
      </c>
    </row>
    <row r="264" spans="1:16" ht="13.5" hidden="1" customHeight="1">
      <c r="A264" s="58" t="s">
        <v>290</v>
      </c>
      <c r="B264" s="58" t="s">
        <v>332</v>
      </c>
      <c r="C264" s="58" t="s">
        <v>64</v>
      </c>
      <c r="D264" s="58" t="str">
        <f t="shared" si="33"/>
        <v>nvarchar</v>
      </c>
      <c r="E264" s="71" t="str">
        <f t="shared" si="35"/>
        <v>(10)</v>
      </c>
      <c r="F264" s="14"/>
      <c r="G264" s="14"/>
      <c r="H264" s="50" t="s">
        <v>38</v>
      </c>
      <c r="I264" t="s">
        <v>75</v>
      </c>
      <c r="J264" s="14"/>
      <c r="K264" s="1" t="str">
        <f t="shared" si="28"/>
        <v>"SURROGATE_MLP":"NULL"</v>
      </c>
      <c r="P264" t="s">
        <v>75</v>
      </c>
    </row>
    <row r="265" spans="1:16" ht="13.5" hidden="1" customHeight="1">
      <c r="A265" s="58" t="s">
        <v>290</v>
      </c>
      <c r="B265" s="58" t="s">
        <v>333</v>
      </c>
      <c r="C265" s="58" t="s">
        <v>34</v>
      </c>
      <c r="D265" s="58" t="str">
        <f t="shared" si="33"/>
        <v>varchar</v>
      </c>
      <c r="E265" s="71" t="str">
        <f t="shared" si="35"/>
        <v>(10)</v>
      </c>
      <c r="F265" s="14"/>
      <c r="G265" s="14"/>
      <c r="H265" s="50" t="s">
        <v>38</v>
      </c>
      <c r="I265" t="s">
        <v>75</v>
      </c>
      <c r="J265" s="14"/>
      <c r="K265" s="1" t="str">
        <f t="shared" si="28"/>
        <v>"SURROGATE_MLP_VERSION":"NULL"</v>
      </c>
      <c r="P265" t="s">
        <v>75</v>
      </c>
    </row>
    <row r="266" spans="1:16" ht="13.5" hidden="1" customHeight="1">
      <c r="A266" s="58" t="s">
        <v>290</v>
      </c>
      <c r="B266" s="58" t="s">
        <v>334</v>
      </c>
      <c r="C266" s="58" t="s">
        <v>59</v>
      </c>
      <c r="D266" s="58" t="str">
        <f>C266</f>
        <v>int</v>
      </c>
      <c r="E266" s="71"/>
      <c r="F266" s="14"/>
      <c r="G266" s="14"/>
      <c r="H266" s="50" t="s">
        <v>38</v>
      </c>
      <c r="I266">
        <v>0</v>
      </c>
      <c r="J266" s="14"/>
      <c r="K266" s="1" t="str">
        <f t="shared" si="28"/>
        <v>"MATRIX_NO":"0"</v>
      </c>
      <c r="P266">
        <v>0</v>
      </c>
    </row>
    <row r="267" spans="1:16" ht="13.5" hidden="1" customHeight="1">
      <c r="A267" s="58" t="s">
        <v>290</v>
      </c>
      <c r="B267" s="58" t="s">
        <v>335</v>
      </c>
      <c r="C267" s="58" t="s">
        <v>64</v>
      </c>
      <c r="D267" s="58" t="str">
        <f t="shared" si="33"/>
        <v>nvarchar</v>
      </c>
      <c r="E267" s="71" t="str">
        <f t="shared" si="35"/>
        <v>(10)</v>
      </c>
      <c r="F267" s="14"/>
      <c r="G267" s="14"/>
      <c r="H267" s="50" t="s">
        <v>38</v>
      </c>
      <c r="I267"/>
      <c r="J267" s="14"/>
      <c r="K267" s="1" t="str">
        <f t="shared" si="28"/>
        <v>"MATRIX_NAME":""</v>
      </c>
      <c r="P267"/>
    </row>
    <row r="268" spans="1:16" ht="13.5" hidden="1" customHeight="1">
      <c r="A268" s="58" t="s">
        <v>290</v>
      </c>
      <c r="B268" s="58" t="s">
        <v>336</v>
      </c>
      <c r="C268" s="58" t="s">
        <v>59</v>
      </c>
      <c r="D268" s="58" t="str">
        <f>C268</f>
        <v>int</v>
      </c>
      <c r="E268" s="71"/>
      <c r="F268" s="14"/>
      <c r="G268" s="14"/>
      <c r="H268" s="50" t="s">
        <v>38</v>
      </c>
      <c r="I268">
        <v>0</v>
      </c>
      <c r="J268" s="14"/>
      <c r="K268" s="1" t="str">
        <f t="shared" si="28"/>
        <v>"COLUMN_NO":"0"</v>
      </c>
      <c r="P268">
        <v>0</v>
      </c>
    </row>
    <row r="269" spans="1:16" ht="13.5" hidden="1" customHeight="1">
      <c r="A269" s="58" t="s">
        <v>290</v>
      </c>
      <c r="B269" s="58" t="s">
        <v>337</v>
      </c>
      <c r="C269" s="58" t="s">
        <v>41</v>
      </c>
      <c r="D269" s="58" t="str">
        <f t="shared" si="33"/>
        <v>nvarchar</v>
      </c>
      <c r="E269" s="71" t="str">
        <f t="shared" si="35"/>
        <v>(20)</v>
      </c>
      <c r="F269" s="14"/>
      <c r="G269" s="14"/>
      <c r="H269" s="50" t="s">
        <v>38</v>
      </c>
      <c r="I269" t="s">
        <v>75</v>
      </c>
      <c r="J269" s="14"/>
      <c r="K269" s="1" t="str">
        <f t="shared" si="28"/>
        <v>"COLUMN_NAME":"NULL"</v>
      </c>
      <c r="P269" t="s">
        <v>75</v>
      </c>
    </row>
    <row r="270" spans="1:16" ht="13.5" hidden="1" customHeight="1">
      <c r="A270" s="58" t="s">
        <v>290</v>
      </c>
      <c r="B270" s="58" t="s">
        <v>338</v>
      </c>
      <c r="C270" s="58" t="s">
        <v>59</v>
      </c>
      <c r="D270" s="58" t="str">
        <f>C270</f>
        <v>int</v>
      </c>
      <c r="E270" s="71"/>
      <c r="F270" s="14"/>
      <c r="G270" s="14"/>
      <c r="H270" s="50" t="s">
        <v>38</v>
      </c>
      <c r="I270">
        <v>0</v>
      </c>
      <c r="J270" s="14"/>
      <c r="K270" s="1" t="str">
        <f t="shared" si="28"/>
        <v>"ROW_NO":"0"</v>
      </c>
      <c r="P270">
        <v>0</v>
      </c>
    </row>
    <row r="271" spans="1:16" ht="13.5" hidden="1" customHeight="1">
      <c r="A271" s="58" t="s">
        <v>290</v>
      </c>
      <c r="B271" s="58" t="s">
        <v>339</v>
      </c>
      <c r="C271" s="58" t="s">
        <v>41</v>
      </c>
      <c r="D271" s="58" t="str">
        <f t="shared" si="33"/>
        <v>nvarchar</v>
      </c>
      <c r="E271" s="71" t="str">
        <f t="shared" si="35"/>
        <v>(20)</v>
      </c>
      <c r="F271" s="14"/>
      <c r="G271" s="14"/>
      <c r="H271" s="50" t="s">
        <v>38</v>
      </c>
      <c r="I271" t="s">
        <v>75</v>
      </c>
      <c r="J271" s="14"/>
      <c r="K271" s="1" t="str">
        <f t="shared" si="28"/>
        <v>"ROW_NAME":"NULL"</v>
      </c>
      <c r="P271" t="s">
        <v>75</v>
      </c>
    </row>
    <row r="272" spans="1:16" ht="13.5" hidden="1" customHeight="1">
      <c r="A272" s="58" t="s">
        <v>290</v>
      </c>
      <c r="B272" s="58" t="s">
        <v>122</v>
      </c>
      <c r="C272" s="58" t="s">
        <v>49</v>
      </c>
      <c r="D272" s="58" t="s">
        <v>50</v>
      </c>
      <c r="E272" s="71" t="str">
        <f t="shared" si="35"/>
        <v>(1)</v>
      </c>
      <c r="F272" s="14"/>
      <c r="G272" s="14"/>
      <c r="H272" s="50" t="s">
        <v>38</v>
      </c>
      <c r="I272" t="s">
        <v>51</v>
      </c>
      <c r="J272" s="14"/>
      <c r="K272" s="1" t="str">
        <f t="shared" si="28"/>
        <v>"HAS_INCIDENTS":"F"</v>
      </c>
      <c r="P272" t="s">
        <v>51</v>
      </c>
    </row>
    <row r="273" spans="1:16" ht="13.5" hidden="1" customHeight="1">
      <c r="A273" s="58" t="s">
        <v>290</v>
      </c>
      <c r="B273" s="58" t="s">
        <v>340</v>
      </c>
      <c r="C273" s="58" t="s">
        <v>64</v>
      </c>
      <c r="D273" s="58" t="str">
        <f t="shared" si="33"/>
        <v>nvarchar</v>
      </c>
      <c r="E273" s="71" t="str">
        <f t="shared" si="35"/>
        <v>(10)</v>
      </c>
      <c r="F273" s="14"/>
      <c r="G273" s="14"/>
      <c r="H273" s="50" t="s">
        <v>38</v>
      </c>
      <c r="I273"/>
      <c r="J273" s="14"/>
      <c r="K273" s="1" t="str">
        <f t="shared" ref="K273:K280" si="43">""""&amp;B273&amp;""""&amp;":"&amp;""""&amp;I273&amp;""""</f>
        <v>"INSTRUMENT_USED":""</v>
      </c>
      <c r="P273"/>
    </row>
    <row r="274" spans="1:16" ht="13.5" customHeight="1">
      <c r="A274" s="58" t="s">
        <v>290</v>
      </c>
      <c r="B274" s="58" t="s">
        <v>341</v>
      </c>
      <c r="C274" s="58" t="s">
        <v>81</v>
      </c>
      <c r="D274" s="58" t="str">
        <f t="shared" si="33"/>
        <v>nvarchar</v>
      </c>
      <c r="E274" s="71" t="str">
        <f t="shared" si="35"/>
        <v>(234)</v>
      </c>
      <c r="F274" s="14"/>
      <c r="G274" s="22" t="s">
        <v>342</v>
      </c>
      <c r="H274" s="50" t="s">
        <v>21</v>
      </c>
      <c r="I274">
        <v>5</v>
      </c>
      <c r="J274" s="14"/>
      <c r="K274" s="1" t="str">
        <f>""""&amp;B274&amp;""""&amp;":"&amp;""""&amp;I274&amp;""""&amp;","</f>
        <v>"RAW_RESULT":"5",</v>
      </c>
      <c r="P274"/>
    </row>
    <row r="275" spans="1:16" ht="13.5" hidden="1" customHeight="1">
      <c r="A275" s="58" t="s">
        <v>290</v>
      </c>
      <c r="B275" s="58" t="s">
        <v>343</v>
      </c>
      <c r="C275" s="58" t="s">
        <v>173</v>
      </c>
      <c r="D275" s="58" t="str">
        <f t="shared" si="33"/>
        <v>nvarchar</v>
      </c>
      <c r="E275" s="71" t="str">
        <f t="shared" si="35"/>
        <v>(40)</v>
      </c>
      <c r="F275" s="14"/>
      <c r="G275" s="14"/>
      <c r="H275" s="50" t="s">
        <v>38</v>
      </c>
      <c r="I275"/>
      <c r="J275" s="14"/>
      <c r="K275" s="1" t="str">
        <f t="shared" si="43"/>
        <v>"ENTITY_CRITERIA":""</v>
      </c>
      <c r="P275"/>
    </row>
    <row r="276" spans="1:16" ht="13.5" hidden="1" customHeight="1">
      <c r="A276" s="58" t="s">
        <v>290</v>
      </c>
      <c r="B276" s="58" t="s">
        <v>126</v>
      </c>
      <c r="C276" s="58" t="s">
        <v>127</v>
      </c>
      <c r="D276" s="58" t="str">
        <f t="shared" si="33"/>
        <v>nvarchar</v>
      </c>
      <c r="E276" s="71" t="str">
        <f t="shared" si="35"/>
        <v>(36)</v>
      </c>
      <c r="F276" s="14"/>
      <c r="G276" s="14"/>
      <c r="H276" s="50" t="s">
        <v>38</v>
      </c>
      <c r="I276" t="s">
        <v>344</v>
      </c>
      <c r="J276" s="14"/>
      <c r="K276" s="1" t="str">
        <f t="shared" si="43"/>
        <v>"WORKFLOW_NODE":"948DD6D4-1BD2-4E7A-A7EE-EA2CE751605C"</v>
      </c>
      <c r="P276" t="s">
        <v>344</v>
      </c>
    </row>
    <row r="277" spans="1:16" ht="13.5" customHeight="1">
      <c r="A277" s="58" t="s">
        <v>290</v>
      </c>
      <c r="B277" s="58" t="s">
        <v>139</v>
      </c>
      <c r="C277" s="58" t="s">
        <v>81</v>
      </c>
      <c r="D277" s="58" t="str">
        <f t="shared" si="33"/>
        <v>nvarchar</v>
      </c>
      <c r="E277" s="71" t="str">
        <f t="shared" si="35"/>
        <v>(234)</v>
      </c>
      <c r="F277" s="14"/>
      <c r="G277" s="22"/>
      <c r="H277" s="50" t="s">
        <v>21</v>
      </c>
      <c r="I277" t="s">
        <v>75</v>
      </c>
      <c r="J277" s="14"/>
      <c r="K277" s="1" t="str">
        <f>""""&amp;B277&amp;""""&amp;":"&amp;""""&amp;I277&amp;""""&amp;","</f>
        <v>"COMMENTS":"NULL",</v>
      </c>
      <c r="P277"/>
    </row>
    <row r="278" spans="1:16" ht="13.5" hidden="1" customHeight="1">
      <c r="A278" s="58" t="s">
        <v>290</v>
      </c>
      <c r="B278" s="58" t="s">
        <v>345</v>
      </c>
      <c r="C278" s="58" t="s">
        <v>64</v>
      </c>
      <c r="D278" s="58" t="str">
        <f t="shared" si="33"/>
        <v>nvarchar</v>
      </c>
      <c r="E278" s="71" t="str">
        <f t="shared" si="35"/>
        <v>(10)</v>
      </c>
      <c r="F278" s="14"/>
      <c r="G278" s="14"/>
      <c r="H278" s="50" t="s">
        <v>38</v>
      </c>
      <c r="I278"/>
      <c r="J278" s="14"/>
      <c r="K278" s="1" t="str">
        <f t="shared" si="43"/>
        <v>"OUT_OF_RANGE_LEVEL":""</v>
      </c>
      <c r="P278"/>
    </row>
    <row r="279" spans="1:16" ht="13.5" hidden="1" customHeight="1">
      <c r="A279" s="58" t="s">
        <v>290</v>
      </c>
      <c r="B279" s="58" t="s">
        <v>346</v>
      </c>
      <c r="C279" s="58" t="s">
        <v>49</v>
      </c>
      <c r="D279" s="58" t="s">
        <v>50</v>
      </c>
      <c r="E279" s="71" t="str">
        <f t="shared" si="35"/>
        <v>(1)</v>
      </c>
      <c r="F279" s="14"/>
      <c r="G279" s="14"/>
      <c r="H279" s="50" t="s">
        <v>38</v>
      </c>
      <c r="I279" t="s">
        <v>51</v>
      </c>
      <c r="J279" s="14"/>
      <c r="K279" s="1" t="str">
        <f t="shared" si="43"/>
        <v>"ENTITY_FULL_ID":"F"</v>
      </c>
      <c r="P279" t="s">
        <v>51</v>
      </c>
    </row>
    <row r="280" spans="1:16" ht="13.5" hidden="1" customHeight="1">
      <c r="A280" s="58" t="s">
        <v>290</v>
      </c>
      <c r="B280" s="58" t="s">
        <v>138</v>
      </c>
      <c r="C280" s="58" t="s">
        <v>49</v>
      </c>
      <c r="D280" s="58" t="s">
        <v>50</v>
      </c>
      <c r="E280" s="71" t="str">
        <f t="shared" si="35"/>
        <v>(1)</v>
      </c>
      <c r="F280" s="14"/>
      <c r="G280" s="14"/>
      <c r="H280" s="50" t="s">
        <v>38</v>
      </c>
      <c r="I280" t="s">
        <v>51</v>
      </c>
      <c r="J280" s="14"/>
      <c r="K280" s="1" t="str">
        <f t="shared" si="43"/>
        <v>"HAS_ATTACHMENTS":"F"</v>
      </c>
      <c r="P280" t="s">
        <v>51</v>
      </c>
    </row>
    <row r="281" spans="1:16" ht="13.5" customHeight="1">
      <c r="A281" s="58"/>
      <c r="B281" s="58"/>
      <c r="C281" s="58"/>
      <c r="D281" s="58"/>
      <c r="E281" s="71"/>
      <c r="H281" s="77"/>
    </row>
    <row r="282" spans="1:16" ht="13.5" customHeight="1">
      <c r="A282" s="58"/>
      <c r="B282" s="58"/>
      <c r="C282" s="58"/>
      <c r="D282" s="58"/>
      <c r="E282" s="71"/>
      <c r="H282" s="77"/>
    </row>
  </sheetData>
  <autoFilter ref="A15:J280" xr:uid="{B05A6307-D26A-4807-95BE-F4EFA70F227A}">
    <filterColumn colId="7">
      <filters>
        <filter val="Y"/>
      </filters>
    </filterColumn>
  </autoFilter>
  <mergeCells count="5">
    <mergeCell ref="L238:N238"/>
    <mergeCell ref="A13:E13"/>
    <mergeCell ref="G13:H13"/>
    <mergeCell ref="B14:G14"/>
    <mergeCell ref="A11:E12"/>
  </mergeCells>
  <phoneticPr fontId="2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EC65-8BEF-4D91-B0F8-88C519DF3178}">
  <dimension ref="A1:EG158"/>
  <sheetViews>
    <sheetView topLeftCell="AF1" workbookViewId="0">
      <selection activeCell="AO20" sqref="AO20:AO72"/>
    </sheetView>
  </sheetViews>
  <sheetFormatPr defaultRowHeight="14.25"/>
  <sheetData>
    <row r="1" spans="1:137">
      <c r="A1" s="102" t="s">
        <v>347</v>
      </c>
      <c r="B1" s="102"/>
      <c r="C1" s="102"/>
      <c r="D1" s="102"/>
      <c r="E1" s="102"/>
      <c r="F1" s="102"/>
      <c r="G1" s="102"/>
      <c r="H1" s="102"/>
      <c r="I1" s="102"/>
    </row>
    <row r="2" spans="1:137">
      <c r="A2" s="81" t="s">
        <v>33</v>
      </c>
      <c r="B2" s="81" t="s">
        <v>36</v>
      </c>
      <c r="C2" s="81" t="s">
        <v>40</v>
      </c>
      <c r="D2" s="81" t="s">
        <v>42</v>
      </c>
      <c r="E2" s="81" t="s">
        <v>46</v>
      </c>
      <c r="F2" s="81" t="s">
        <v>48</v>
      </c>
      <c r="G2" s="81" t="s">
        <v>52</v>
      </c>
      <c r="H2" s="81" t="s">
        <v>54</v>
      </c>
      <c r="I2" s="81" t="s">
        <v>56</v>
      </c>
      <c r="J2" s="81" t="s">
        <v>58</v>
      </c>
      <c r="K2" s="81" t="s">
        <v>60</v>
      </c>
      <c r="L2" s="81" t="s">
        <v>63</v>
      </c>
      <c r="M2" s="81" t="s">
        <v>67</v>
      </c>
      <c r="N2" s="81" t="s">
        <v>68</v>
      </c>
      <c r="O2" s="81" t="s">
        <v>69</v>
      </c>
      <c r="P2" s="81" t="s">
        <v>70</v>
      </c>
      <c r="Q2" s="81" t="s">
        <v>71</v>
      </c>
      <c r="R2" s="81" t="s">
        <v>72</v>
      </c>
      <c r="S2" s="81" t="s">
        <v>73</v>
      </c>
      <c r="T2" s="81" t="s">
        <v>74</v>
      </c>
      <c r="U2" s="81" t="s">
        <v>76</v>
      </c>
      <c r="V2" s="81" t="s">
        <v>78</v>
      </c>
      <c r="W2" s="81" t="s">
        <v>80</v>
      </c>
      <c r="X2" s="81" t="s">
        <v>84</v>
      </c>
      <c r="Y2" s="81" t="s">
        <v>86</v>
      </c>
      <c r="Z2" s="81" t="s">
        <v>87</v>
      </c>
      <c r="AA2" s="81" t="s">
        <v>88</v>
      </c>
      <c r="AB2" s="81" t="s">
        <v>89</v>
      </c>
      <c r="AC2" s="81" t="s">
        <v>90</v>
      </c>
      <c r="AD2" s="81" t="s">
        <v>91</v>
      </c>
      <c r="AE2" s="81" t="s">
        <v>92</v>
      </c>
      <c r="AF2" s="81" t="s">
        <v>93</v>
      </c>
      <c r="AG2" s="81" t="s">
        <v>96</v>
      </c>
      <c r="AH2" s="81" t="s">
        <v>97</v>
      </c>
      <c r="AI2" s="81" t="s">
        <v>98</v>
      </c>
      <c r="AJ2" s="81" t="s">
        <v>99</v>
      </c>
      <c r="AK2" s="81" t="s">
        <v>100</v>
      </c>
      <c r="AL2" s="81" t="s">
        <v>101</v>
      </c>
      <c r="AM2" s="81" t="s">
        <v>103</v>
      </c>
      <c r="AN2" s="81" t="s">
        <v>104</v>
      </c>
      <c r="AO2" s="81" t="s">
        <v>105</v>
      </c>
      <c r="AP2" s="81" t="s">
        <v>106</v>
      </c>
      <c r="AQ2" s="81" t="s">
        <v>107</v>
      </c>
      <c r="AR2" s="81" t="s">
        <v>108</v>
      </c>
      <c r="AS2" s="81" t="s">
        <v>109</v>
      </c>
      <c r="AT2" s="81" t="s">
        <v>110</v>
      </c>
      <c r="AU2" s="81" t="s">
        <v>111</v>
      </c>
      <c r="AV2" s="81" t="s">
        <v>112</v>
      </c>
      <c r="AW2" s="81" t="s">
        <v>113</v>
      </c>
      <c r="AX2" s="81" t="s">
        <v>114</v>
      </c>
      <c r="AY2" s="81" t="s">
        <v>115</v>
      </c>
      <c r="AZ2" s="81" t="s">
        <v>116</v>
      </c>
      <c r="BA2" s="81" t="s">
        <v>117</v>
      </c>
      <c r="BB2" s="81" t="s">
        <v>118</v>
      </c>
      <c r="BC2" s="81" t="s">
        <v>119</v>
      </c>
      <c r="BD2" s="81" t="s">
        <v>120</v>
      </c>
      <c r="BE2" s="81" t="s">
        <v>122</v>
      </c>
      <c r="BF2" s="81" t="s">
        <v>123</v>
      </c>
      <c r="BG2" s="81" t="s">
        <v>124</v>
      </c>
      <c r="BH2" s="81" t="s">
        <v>126</v>
      </c>
      <c r="BI2" s="81" t="s">
        <v>129</v>
      </c>
      <c r="BJ2" s="81" t="s">
        <v>130</v>
      </c>
      <c r="BK2" s="81" t="s">
        <v>131</v>
      </c>
      <c r="BL2" s="81" t="s">
        <v>132</v>
      </c>
      <c r="BM2" s="81" t="s">
        <v>133</v>
      </c>
      <c r="BN2" s="81" t="s">
        <v>135</v>
      </c>
      <c r="BO2" s="81" t="s">
        <v>137</v>
      </c>
      <c r="BP2" s="81" t="s">
        <v>138</v>
      </c>
      <c r="BQ2" s="81" t="s">
        <v>139</v>
      </c>
      <c r="BR2" s="81" t="s">
        <v>140</v>
      </c>
      <c r="BS2" s="81" t="s">
        <v>141</v>
      </c>
      <c r="BT2" s="81" t="s">
        <v>142</v>
      </c>
      <c r="BU2" s="81" t="s">
        <v>143</v>
      </c>
      <c r="BV2" s="81" t="s">
        <v>144</v>
      </c>
      <c r="BW2" s="81" t="s">
        <v>145</v>
      </c>
      <c r="BX2" s="81" t="s">
        <v>146</v>
      </c>
      <c r="BY2" s="81" t="s">
        <v>147</v>
      </c>
      <c r="BZ2" s="81" t="s">
        <v>148</v>
      </c>
      <c r="CA2" s="81" t="s">
        <v>149</v>
      </c>
      <c r="CB2" s="81" t="s">
        <v>150</v>
      </c>
      <c r="CC2" s="81" t="s">
        <v>151</v>
      </c>
      <c r="CD2" s="81" t="s">
        <v>152</v>
      </c>
      <c r="CE2" s="81" t="s">
        <v>154</v>
      </c>
      <c r="CF2" s="81" t="s">
        <v>155</v>
      </c>
      <c r="CG2" s="81" t="s">
        <v>157</v>
      </c>
      <c r="CH2" s="81" t="s">
        <v>158</v>
      </c>
      <c r="CI2" s="81" t="s">
        <v>159</v>
      </c>
      <c r="CJ2" s="81" t="s">
        <v>160</v>
      </c>
      <c r="CK2" s="81" t="s">
        <v>161</v>
      </c>
      <c r="CL2" s="81" t="s">
        <v>162</v>
      </c>
      <c r="CM2" s="81" t="s">
        <v>163</v>
      </c>
      <c r="CN2" s="81" t="s">
        <v>164</v>
      </c>
      <c r="CO2" s="81" t="s">
        <v>166</v>
      </c>
      <c r="CP2" s="81" t="s">
        <v>167</v>
      </c>
      <c r="CQ2" s="81" t="s">
        <v>168</v>
      </c>
      <c r="CR2" s="81" t="s">
        <v>169</v>
      </c>
      <c r="CS2" s="81" t="s">
        <v>170</v>
      </c>
      <c r="CT2" s="81" t="s">
        <v>172</v>
      </c>
      <c r="CU2" s="81" t="s">
        <v>174</v>
      </c>
      <c r="CV2" s="81" t="s">
        <v>175</v>
      </c>
      <c r="CW2" s="81" t="s">
        <v>176</v>
      </c>
      <c r="CX2" s="81" t="s">
        <v>177</v>
      </c>
      <c r="CY2" s="81" t="s">
        <v>178</v>
      </c>
      <c r="CZ2" s="81" t="s">
        <v>179</v>
      </c>
      <c r="DA2" s="81" t="s">
        <v>180</v>
      </c>
      <c r="DB2" s="81" t="s">
        <v>181</v>
      </c>
      <c r="DC2" s="81" t="s">
        <v>182</v>
      </c>
      <c r="DD2" s="81" t="s">
        <v>183</v>
      </c>
      <c r="DE2" s="81" t="s">
        <v>185</v>
      </c>
      <c r="DF2" s="81" t="s">
        <v>186</v>
      </c>
      <c r="DG2" s="81" t="s">
        <v>188</v>
      </c>
      <c r="DH2" s="81" t="s">
        <v>189</v>
      </c>
      <c r="DI2" s="81" t="s">
        <v>190</v>
      </c>
      <c r="DJ2" s="81" t="s">
        <v>191</v>
      </c>
      <c r="DK2" s="81" t="s">
        <v>193</v>
      </c>
      <c r="DL2" s="81" t="s">
        <v>195</v>
      </c>
      <c r="DM2" s="81" t="s">
        <v>196</v>
      </c>
      <c r="DN2" s="81" t="s">
        <v>197</v>
      </c>
      <c r="DO2" s="81" t="s">
        <v>198</v>
      </c>
      <c r="DP2" s="81" t="s">
        <v>199</v>
      </c>
      <c r="DQ2" s="81" t="s">
        <v>200</v>
      </c>
      <c r="DR2" s="81" t="s">
        <v>201</v>
      </c>
      <c r="DS2" s="81" t="s">
        <v>202</v>
      </c>
      <c r="DT2" s="81" t="s">
        <v>203</v>
      </c>
      <c r="DU2" s="81" t="s">
        <v>204</v>
      </c>
      <c r="DV2" s="81" t="s">
        <v>206</v>
      </c>
      <c r="DW2" s="81" t="s">
        <v>207</v>
      </c>
      <c r="DX2" s="81" t="s">
        <v>208</v>
      </c>
      <c r="DY2" s="81" t="s">
        <v>209</v>
      </c>
      <c r="DZ2" s="81" t="s">
        <v>210</v>
      </c>
      <c r="EA2" s="81" t="s">
        <v>212</v>
      </c>
      <c r="EB2" s="81" t="s">
        <v>214</v>
      </c>
      <c r="EC2" s="81" t="s">
        <v>216</v>
      </c>
      <c r="ED2" s="81" t="s">
        <v>218</v>
      </c>
      <c r="EE2" s="81" t="s">
        <v>220</v>
      </c>
      <c r="EF2" s="81" t="s">
        <v>221</v>
      </c>
      <c r="EG2" s="81" t="s">
        <v>223</v>
      </c>
    </row>
    <row r="3" spans="1:137">
      <c r="A3">
        <v>20</v>
      </c>
      <c r="B3" t="s">
        <v>39</v>
      </c>
      <c r="D3" t="s">
        <v>45</v>
      </c>
      <c r="E3" t="s">
        <v>47</v>
      </c>
      <c r="F3" t="s">
        <v>51</v>
      </c>
      <c r="G3" t="s">
        <v>51</v>
      </c>
      <c r="H3" t="s">
        <v>51</v>
      </c>
      <c r="I3">
        <v>0</v>
      </c>
      <c r="J3">
        <v>0</v>
      </c>
      <c r="K3" s="73">
        <v>45532.135233020832</v>
      </c>
      <c r="L3" t="s">
        <v>66</v>
      </c>
      <c r="M3" s="73">
        <v>45532.135858217589</v>
      </c>
      <c r="N3" s="73">
        <v>45532.135890358797</v>
      </c>
      <c r="O3" s="73">
        <v>45532.135889849538</v>
      </c>
      <c r="P3" t="s">
        <v>66</v>
      </c>
      <c r="Q3" s="73">
        <v>45532.135233252317</v>
      </c>
      <c r="R3" s="73">
        <v>45532.236456446757</v>
      </c>
      <c r="S3" t="s">
        <v>66</v>
      </c>
      <c r="T3" t="s">
        <v>75</v>
      </c>
      <c r="U3" s="73">
        <v>45532.240045335646</v>
      </c>
      <c r="V3" t="s">
        <v>66</v>
      </c>
      <c r="W3" t="s">
        <v>83</v>
      </c>
      <c r="X3" t="s">
        <v>85</v>
      </c>
      <c r="Y3">
        <v>1</v>
      </c>
      <c r="AA3">
        <v>0</v>
      </c>
      <c r="AB3" t="s">
        <v>51</v>
      </c>
      <c r="AD3">
        <v>123</v>
      </c>
      <c r="AF3" t="s">
        <v>95</v>
      </c>
      <c r="AK3">
        <v>1</v>
      </c>
      <c r="AO3" t="s">
        <v>85</v>
      </c>
      <c r="AR3">
        <v>0</v>
      </c>
      <c r="AT3" t="s">
        <v>51</v>
      </c>
      <c r="AV3">
        <v>0</v>
      </c>
      <c r="AZ3" t="s">
        <v>75</v>
      </c>
      <c r="BA3">
        <v>1</v>
      </c>
      <c r="BC3">
        <v>0</v>
      </c>
      <c r="BD3" t="s">
        <v>121</v>
      </c>
      <c r="BE3" t="s">
        <v>51</v>
      </c>
      <c r="BF3">
        <v>0</v>
      </c>
      <c r="BH3" t="s">
        <v>128</v>
      </c>
      <c r="BI3" t="s">
        <v>51</v>
      </c>
      <c r="BJ3" t="s">
        <v>51</v>
      </c>
      <c r="BK3" t="s">
        <v>51</v>
      </c>
      <c r="BL3" t="s">
        <v>51</v>
      </c>
      <c r="BM3" t="s">
        <v>134</v>
      </c>
      <c r="BN3" t="s">
        <v>136</v>
      </c>
      <c r="BO3">
        <v>1</v>
      </c>
      <c r="BP3" t="s">
        <v>51</v>
      </c>
      <c r="BQ3" t="s">
        <v>75</v>
      </c>
      <c r="BR3" t="s">
        <v>75</v>
      </c>
      <c r="BS3">
        <v>0</v>
      </c>
      <c r="BT3" t="s">
        <v>51</v>
      </c>
      <c r="BU3" t="s">
        <v>75</v>
      </c>
      <c r="BV3">
        <v>0</v>
      </c>
      <c r="BY3">
        <v>0</v>
      </c>
      <c r="BZ3" t="s">
        <v>75</v>
      </c>
      <c r="CA3" t="s">
        <v>75</v>
      </c>
      <c r="CB3" t="s">
        <v>75</v>
      </c>
      <c r="CC3" t="s">
        <v>75</v>
      </c>
      <c r="CD3" t="s">
        <v>153</v>
      </c>
      <c r="CE3">
        <v>1</v>
      </c>
      <c r="CF3" t="s">
        <v>156</v>
      </c>
      <c r="CG3">
        <v>1</v>
      </c>
      <c r="CJ3">
        <v>0</v>
      </c>
      <c r="CK3">
        <v>0</v>
      </c>
      <c r="CL3" t="s">
        <v>51</v>
      </c>
      <c r="CO3" t="s">
        <v>51</v>
      </c>
      <c r="CP3" t="s">
        <v>51</v>
      </c>
      <c r="CQ3" t="s">
        <v>134</v>
      </c>
      <c r="CR3" t="s">
        <v>51</v>
      </c>
      <c r="CS3">
        <v>0</v>
      </c>
      <c r="CV3">
        <v>0</v>
      </c>
      <c r="CX3" t="s">
        <v>75</v>
      </c>
      <c r="DB3" t="s">
        <v>51</v>
      </c>
      <c r="DC3" t="s">
        <v>121</v>
      </c>
      <c r="DD3" t="s">
        <v>184</v>
      </c>
      <c r="DH3">
        <v>0</v>
      </c>
      <c r="DJ3" t="s">
        <v>75</v>
      </c>
      <c r="DK3" t="s">
        <v>75</v>
      </c>
      <c r="DL3" s="73">
        <v>45532.176900034719</v>
      </c>
      <c r="DM3" t="s">
        <v>184</v>
      </c>
      <c r="DW3" t="s">
        <v>75</v>
      </c>
      <c r="DX3" t="s">
        <v>51</v>
      </c>
      <c r="DY3" t="s">
        <v>51</v>
      </c>
      <c r="DZ3" t="s">
        <v>184</v>
      </c>
      <c r="EA3" t="s">
        <v>75</v>
      </c>
      <c r="EB3" t="s">
        <v>184</v>
      </c>
      <c r="EC3" t="s">
        <v>184</v>
      </c>
      <c r="ED3" t="s">
        <v>184</v>
      </c>
      <c r="EE3" t="s">
        <v>184</v>
      </c>
      <c r="EF3">
        <v>0</v>
      </c>
      <c r="EG3" t="s">
        <v>184</v>
      </c>
    </row>
    <row r="5" spans="1:137">
      <c r="A5" s="103" t="s">
        <v>348</v>
      </c>
      <c r="B5" s="103"/>
      <c r="C5" s="103"/>
      <c r="D5" s="103"/>
      <c r="E5" s="103"/>
      <c r="F5" s="103"/>
      <c r="G5" s="103"/>
      <c r="H5" s="103"/>
      <c r="I5" s="103"/>
    </row>
    <row r="6" spans="1:137">
      <c r="A6" s="81" t="s">
        <v>228</v>
      </c>
      <c r="B6" s="81" t="s">
        <v>230</v>
      </c>
      <c r="C6" s="81" t="s">
        <v>32</v>
      </c>
      <c r="D6" s="81" t="s">
        <v>98</v>
      </c>
      <c r="E6" s="81" t="s">
        <v>234</v>
      </c>
      <c r="F6" s="81" t="s">
        <v>42</v>
      </c>
      <c r="G6" s="81" t="s">
        <v>46</v>
      </c>
      <c r="H6" s="81" t="s">
        <v>69</v>
      </c>
      <c r="I6" s="81" t="s">
        <v>70</v>
      </c>
      <c r="J6" s="81" t="s">
        <v>72</v>
      </c>
      <c r="K6" s="81" t="s">
        <v>73</v>
      </c>
      <c r="L6" s="81" t="s">
        <v>76</v>
      </c>
      <c r="M6" s="81" t="s">
        <v>78</v>
      </c>
      <c r="N6" s="81" t="s">
        <v>240</v>
      </c>
      <c r="O6" s="81" t="s">
        <v>241</v>
      </c>
      <c r="P6" s="81" t="s">
        <v>242</v>
      </c>
      <c r="Q6" s="81" t="s">
        <v>243</v>
      </c>
      <c r="R6" s="81" t="s">
        <v>244</v>
      </c>
      <c r="S6" s="81" t="s">
        <v>245</v>
      </c>
      <c r="T6" s="81" t="s">
        <v>52</v>
      </c>
      <c r="U6" s="81" t="s">
        <v>105</v>
      </c>
      <c r="V6" s="81" t="s">
        <v>246</v>
      </c>
      <c r="W6" s="81" t="s">
        <v>247</v>
      </c>
      <c r="X6" s="81" t="s">
        <v>248</v>
      </c>
      <c r="Y6" s="81" t="s">
        <v>249</v>
      </c>
      <c r="Z6" s="81" t="s">
        <v>251</v>
      </c>
      <c r="AA6" s="81" t="s">
        <v>252</v>
      </c>
      <c r="AB6" s="81" t="s">
        <v>253</v>
      </c>
      <c r="AC6" s="81" t="s">
        <v>113</v>
      </c>
      <c r="AD6" s="81" t="s">
        <v>255</v>
      </c>
      <c r="AE6" s="81" t="s">
        <v>256</v>
      </c>
      <c r="AF6" s="81" t="s">
        <v>257</v>
      </c>
      <c r="AG6" s="81" t="s">
        <v>258</v>
      </c>
      <c r="AH6" s="81" t="s">
        <v>260</v>
      </c>
      <c r="AI6" s="81" t="s">
        <v>120</v>
      </c>
      <c r="AJ6" s="81" t="s">
        <v>122</v>
      </c>
      <c r="AK6" s="81" t="s">
        <v>262</v>
      </c>
      <c r="AL6" s="81" t="s">
        <v>263</v>
      </c>
      <c r="AM6" s="81" t="s">
        <v>264</v>
      </c>
      <c r="AN6" s="81" t="s">
        <v>126</v>
      </c>
      <c r="AO6" s="81" t="s">
        <v>135</v>
      </c>
      <c r="AP6" s="81" t="s">
        <v>137</v>
      </c>
      <c r="AQ6" s="81" t="s">
        <v>138</v>
      </c>
      <c r="AR6" s="81" t="s">
        <v>139</v>
      </c>
      <c r="AS6" s="81" t="s">
        <v>140</v>
      </c>
      <c r="AT6" s="81" t="s">
        <v>141</v>
      </c>
      <c r="AU6" s="81" t="s">
        <v>142</v>
      </c>
      <c r="AV6" s="81" t="s">
        <v>143</v>
      </c>
      <c r="AW6" s="81" t="s">
        <v>159</v>
      </c>
      <c r="AX6" s="81" t="s">
        <v>160</v>
      </c>
      <c r="AY6" s="81" t="s">
        <v>267</v>
      </c>
      <c r="AZ6" s="81" t="s">
        <v>268</v>
      </c>
      <c r="BA6" s="81" t="s">
        <v>269</v>
      </c>
      <c r="BB6" s="81" t="s">
        <v>168</v>
      </c>
      <c r="BC6" s="81" t="s">
        <v>270</v>
      </c>
      <c r="BD6" s="81" t="s">
        <v>271</v>
      </c>
      <c r="BE6" s="81" t="s">
        <v>272</v>
      </c>
      <c r="BF6" s="81" t="s">
        <v>273</v>
      </c>
      <c r="BG6" s="81" t="s">
        <v>274</v>
      </c>
      <c r="BH6" s="81" t="s">
        <v>275</v>
      </c>
      <c r="BI6" s="81" t="s">
        <v>276</v>
      </c>
      <c r="BJ6" s="81" t="s">
        <v>277</v>
      </c>
      <c r="BK6" s="81" t="s">
        <v>278</v>
      </c>
      <c r="BL6" s="81" t="s">
        <v>279</v>
      </c>
      <c r="BM6" s="81" t="s">
        <v>280</v>
      </c>
      <c r="BN6" s="81" t="s">
        <v>281</v>
      </c>
      <c r="BO6" s="81" t="s">
        <v>282</v>
      </c>
      <c r="BP6" s="81" t="s">
        <v>283</v>
      </c>
      <c r="BQ6" s="81" t="s">
        <v>183</v>
      </c>
      <c r="BR6" s="81" t="s">
        <v>284</v>
      </c>
      <c r="BS6" s="81" t="s">
        <v>285</v>
      </c>
      <c r="BT6" s="81" t="s">
        <v>286</v>
      </c>
      <c r="BU6" s="81" t="s">
        <v>287</v>
      </c>
    </row>
    <row r="7" spans="1:137">
      <c r="A7">
        <v>47</v>
      </c>
      <c r="B7" t="s">
        <v>227</v>
      </c>
      <c r="C7">
        <v>20</v>
      </c>
      <c r="D7" t="s">
        <v>233</v>
      </c>
      <c r="E7">
        <v>1</v>
      </c>
      <c r="F7" t="s">
        <v>45</v>
      </c>
      <c r="G7" t="s">
        <v>47</v>
      </c>
      <c r="H7" s="73">
        <v>45532.236450266202</v>
      </c>
      <c r="I7" t="s">
        <v>66</v>
      </c>
      <c r="J7" s="73">
        <v>45532.236450266202</v>
      </c>
      <c r="K7" t="s">
        <v>66</v>
      </c>
      <c r="L7" s="73">
        <v>45532.240039317127</v>
      </c>
      <c r="M7" t="s">
        <v>66</v>
      </c>
      <c r="N7">
        <v>0</v>
      </c>
      <c r="O7">
        <v>0</v>
      </c>
      <c r="P7">
        <v>0</v>
      </c>
      <c r="Q7" t="s">
        <v>51</v>
      </c>
      <c r="S7">
        <v>1</v>
      </c>
      <c r="T7" t="s">
        <v>51</v>
      </c>
      <c r="U7" t="s">
        <v>85</v>
      </c>
      <c r="V7">
        <v>1</v>
      </c>
      <c r="W7" t="s">
        <v>51</v>
      </c>
      <c r="Y7">
        <v>1</v>
      </c>
      <c r="AB7" t="s">
        <v>75</v>
      </c>
      <c r="AD7" t="s">
        <v>75</v>
      </c>
      <c r="AE7" t="s">
        <v>75</v>
      </c>
      <c r="AF7" t="s">
        <v>51</v>
      </c>
      <c r="AG7" t="s">
        <v>259</v>
      </c>
      <c r="AI7" t="s">
        <v>51</v>
      </c>
      <c r="AJ7" t="s">
        <v>51</v>
      </c>
      <c r="AM7" t="s">
        <v>51</v>
      </c>
      <c r="AN7" t="s">
        <v>265</v>
      </c>
      <c r="AO7" t="s">
        <v>266</v>
      </c>
      <c r="AP7">
        <v>1</v>
      </c>
      <c r="AQ7" t="s">
        <v>51</v>
      </c>
      <c r="AR7" t="s">
        <v>75</v>
      </c>
      <c r="AT7">
        <v>0</v>
      </c>
      <c r="AU7" t="s">
        <v>51</v>
      </c>
      <c r="AV7" t="s">
        <v>75</v>
      </c>
      <c r="AX7">
        <v>0</v>
      </c>
      <c r="AY7">
        <v>0</v>
      </c>
      <c r="AZ7">
        <v>0</v>
      </c>
      <c r="BA7">
        <v>0</v>
      </c>
      <c r="BB7" t="s">
        <v>134</v>
      </c>
      <c r="BD7">
        <v>0</v>
      </c>
      <c r="BE7">
        <v>0</v>
      </c>
      <c r="BG7" t="s">
        <v>51</v>
      </c>
      <c r="BJ7" s="73">
        <v>45532.226276504633</v>
      </c>
      <c r="BK7" s="73">
        <v>45531.895027002312</v>
      </c>
      <c r="BL7" t="s">
        <v>66</v>
      </c>
      <c r="BM7">
        <v>11</v>
      </c>
      <c r="BN7" t="s">
        <v>75</v>
      </c>
      <c r="BP7" t="s">
        <v>51</v>
      </c>
      <c r="BQ7" t="s">
        <v>184</v>
      </c>
      <c r="BR7" t="s">
        <v>184</v>
      </c>
      <c r="BS7" t="s">
        <v>51</v>
      </c>
      <c r="BT7" t="s">
        <v>184</v>
      </c>
      <c r="BU7" t="s">
        <v>184</v>
      </c>
    </row>
    <row r="8" spans="1:137">
      <c r="A8">
        <v>48</v>
      </c>
      <c r="B8" t="s">
        <v>349</v>
      </c>
      <c r="C8">
        <v>20</v>
      </c>
      <c r="D8" t="s">
        <v>233</v>
      </c>
      <c r="E8">
        <v>1</v>
      </c>
      <c r="F8" t="s">
        <v>45</v>
      </c>
      <c r="G8" t="s">
        <v>47</v>
      </c>
      <c r="H8" s="73">
        <v>45532.236454513892</v>
      </c>
      <c r="I8" t="s">
        <v>66</v>
      </c>
      <c r="J8" s="73">
        <v>45532.236454513892</v>
      </c>
      <c r="K8" t="s">
        <v>66</v>
      </c>
      <c r="L8" s="73">
        <v>45532.240041979167</v>
      </c>
      <c r="M8" t="s">
        <v>66</v>
      </c>
      <c r="N8">
        <v>0</v>
      </c>
      <c r="O8">
        <v>0</v>
      </c>
      <c r="P8">
        <v>0</v>
      </c>
      <c r="Q8" t="s">
        <v>51</v>
      </c>
      <c r="S8">
        <v>1</v>
      </c>
      <c r="T8" t="s">
        <v>51</v>
      </c>
      <c r="U8" t="s">
        <v>85</v>
      </c>
      <c r="V8">
        <v>2</v>
      </c>
      <c r="W8" t="s">
        <v>51</v>
      </c>
      <c r="Y8">
        <v>1</v>
      </c>
      <c r="AB8" t="s">
        <v>75</v>
      </c>
      <c r="AD8" t="s">
        <v>75</v>
      </c>
      <c r="AE8" t="s">
        <v>75</v>
      </c>
      <c r="AF8" t="s">
        <v>51</v>
      </c>
      <c r="AG8" t="s">
        <v>259</v>
      </c>
      <c r="AI8" t="s">
        <v>51</v>
      </c>
      <c r="AJ8" t="s">
        <v>51</v>
      </c>
      <c r="AM8" t="s">
        <v>51</v>
      </c>
      <c r="AN8" t="s">
        <v>265</v>
      </c>
      <c r="AO8" t="s">
        <v>266</v>
      </c>
      <c r="AP8">
        <v>1</v>
      </c>
      <c r="AQ8" t="s">
        <v>51</v>
      </c>
      <c r="AR8" t="s">
        <v>75</v>
      </c>
      <c r="AT8">
        <v>0</v>
      </c>
      <c r="AU8" t="s">
        <v>51</v>
      </c>
      <c r="AV8" t="s">
        <v>75</v>
      </c>
      <c r="AX8">
        <v>0</v>
      </c>
      <c r="AY8">
        <v>0</v>
      </c>
      <c r="AZ8">
        <v>0</v>
      </c>
      <c r="BA8">
        <v>0</v>
      </c>
      <c r="BB8" t="s">
        <v>134</v>
      </c>
      <c r="BD8">
        <v>0</v>
      </c>
      <c r="BE8">
        <v>0</v>
      </c>
      <c r="BG8" t="s">
        <v>51</v>
      </c>
      <c r="BJ8" s="73">
        <v>45531.887553321758</v>
      </c>
      <c r="BK8" s="73">
        <v>45531.889636689812</v>
      </c>
      <c r="BL8" t="s">
        <v>66</v>
      </c>
      <c r="BM8" t="s">
        <v>350</v>
      </c>
      <c r="BN8" t="s">
        <v>75</v>
      </c>
      <c r="BP8" t="s">
        <v>51</v>
      </c>
      <c r="BQ8" t="s">
        <v>184</v>
      </c>
      <c r="BR8" t="s">
        <v>184</v>
      </c>
      <c r="BS8" t="s">
        <v>51</v>
      </c>
      <c r="BT8" t="s">
        <v>184</v>
      </c>
      <c r="BU8" t="s">
        <v>184</v>
      </c>
    </row>
    <row r="9" spans="1:137">
      <c r="A9">
        <v>49</v>
      </c>
      <c r="B9" t="s">
        <v>351</v>
      </c>
      <c r="C9">
        <v>20</v>
      </c>
      <c r="E9">
        <v>1</v>
      </c>
      <c r="F9" t="s">
        <v>45</v>
      </c>
      <c r="G9" t="s">
        <v>47</v>
      </c>
      <c r="H9" s="73">
        <v>45532.236455243059</v>
      </c>
      <c r="I9" t="s">
        <v>66</v>
      </c>
      <c r="J9" s="73">
        <v>45532.236455243059</v>
      </c>
      <c r="K9" t="s">
        <v>66</v>
      </c>
      <c r="L9" s="73">
        <v>45532.240042592595</v>
      </c>
      <c r="M9" t="s">
        <v>66</v>
      </c>
      <c r="N9">
        <v>0</v>
      </c>
      <c r="O9">
        <v>0</v>
      </c>
      <c r="P9">
        <v>0</v>
      </c>
      <c r="Q9" t="s">
        <v>51</v>
      </c>
      <c r="S9">
        <v>1</v>
      </c>
      <c r="T9" t="s">
        <v>51</v>
      </c>
      <c r="U9" t="s">
        <v>85</v>
      </c>
      <c r="V9">
        <v>3</v>
      </c>
      <c r="W9" t="s">
        <v>51</v>
      </c>
      <c r="Y9">
        <v>1</v>
      </c>
      <c r="AB9" t="s">
        <v>75</v>
      </c>
      <c r="AD9" t="s">
        <v>75</v>
      </c>
      <c r="AE9" t="s">
        <v>75</v>
      </c>
      <c r="AF9" t="s">
        <v>51</v>
      </c>
      <c r="AG9" t="s">
        <v>259</v>
      </c>
      <c r="AI9" t="s">
        <v>51</v>
      </c>
      <c r="AJ9" t="s">
        <v>51</v>
      </c>
      <c r="AM9" t="s">
        <v>51</v>
      </c>
      <c r="AN9" t="s">
        <v>265</v>
      </c>
      <c r="AO9" t="s">
        <v>266</v>
      </c>
      <c r="AP9">
        <v>1</v>
      </c>
      <c r="AQ9" t="s">
        <v>51</v>
      </c>
      <c r="AR9" t="s">
        <v>75</v>
      </c>
      <c r="AT9">
        <v>0</v>
      </c>
      <c r="AU9" t="s">
        <v>51</v>
      </c>
      <c r="AV9" t="s">
        <v>75</v>
      </c>
      <c r="AX9">
        <v>0</v>
      </c>
      <c r="AY9">
        <v>0</v>
      </c>
      <c r="AZ9">
        <v>0</v>
      </c>
      <c r="BA9">
        <v>0</v>
      </c>
      <c r="BB9" t="s">
        <v>134</v>
      </c>
      <c r="BD9">
        <v>0</v>
      </c>
      <c r="BE9">
        <v>0</v>
      </c>
      <c r="BG9" t="s">
        <v>51</v>
      </c>
      <c r="BJ9" t="s">
        <v>75</v>
      </c>
      <c r="BK9" t="s">
        <v>75</v>
      </c>
      <c r="BN9" t="s">
        <v>75</v>
      </c>
      <c r="BP9" t="s">
        <v>51</v>
      </c>
      <c r="BQ9" t="s">
        <v>184</v>
      </c>
      <c r="BR9" t="s">
        <v>184</v>
      </c>
      <c r="BS9" t="s">
        <v>51</v>
      </c>
      <c r="BT9" t="s">
        <v>184</v>
      </c>
      <c r="BU9" t="s">
        <v>184</v>
      </c>
    </row>
    <row r="11" spans="1:137">
      <c r="A11" s="104" t="s">
        <v>352</v>
      </c>
      <c r="B11" s="104"/>
      <c r="C11" s="104"/>
      <c r="D11" s="104"/>
      <c r="E11" s="104"/>
      <c r="F11" s="104"/>
      <c r="G11" s="104"/>
      <c r="H11" s="104"/>
      <c r="I11" s="104"/>
    </row>
    <row r="12" spans="1:137">
      <c r="A12" s="81" t="s">
        <v>228</v>
      </c>
      <c r="B12" s="81" t="s">
        <v>292</v>
      </c>
      <c r="C12" s="81" t="s">
        <v>295</v>
      </c>
      <c r="D12" s="81" t="s">
        <v>296</v>
      </c>
      <c r="E12" s="81" t="s">
        <v>298</v>
      </c>
      <c r="F12" s="81" t="s">
        <v>300</v>
      </c>
      <c r="G12" s="81" t="s">
        <v>301</v>
      </c>
      <c r="H12" s="81" t="s">
        <v>302</v>
      </c>
      <c r="I12" s="81" t="s">
        <v>303</v>
      </c>
      <c r="J12" s="81" t="s">
        <v>304</v>
      </c>
      <c r="K12" s="81" t="s">
        <v>305</v>
      </c>
      <c r="L12" s="81" t="s">
        <v>307</v>
      </c>
      <c r="M12" s="81" t="s">
        <v>308</v>
      </c>
      <c r="N12" s="81" t="s">
        <v>309</v>
      </c>
      <c r="O12" s="81" t="s">
        <v>310</v>
      </c>
      <c r="P12" s="81" t="s">
        <v>311</v>
      </c>
      <c r="Q12" s="81" t="s">
        <v>42</v>
      </c>
      <c r="R12" s="81" t="s">
        <v>46</v>
      </c>
      <c r="S12" s="81" t="s">
        <v>314</v>
      </c>
      <c r="T12" s="81" t="s">
        <v>315</v>
      </c>
      <c r="U12" s="81" t="s">
        <v>76</v>
      </c>
      <c r="V12" s="81" t="s">
        <v>78</v>
      </c>
      <c r="W12" s="81" t="s">
        <v>316</v>
      </c>
      <c r="X12" s="81" t="s">
        <v>317</v>
      </c>
      <c r="Y12" s="81" t="s">
        <v>318</v>
      </c>
      <c r="Z12" s="81" t="s">
        <v>319</v>
      </c>
      <c r="AA12" s="81" t="s">
        <v>320</v>
      </c>
      <c r="AB12" s="81" t="s">
        <v>321</v>
      </c>
      <c r="AC12" s="81" t="s">
        <v>323</v>
      </c>
      <c r="AD12" s="81" t="s">
        <v>324</v>
      </c>
      <c r="AE12" s="81" t="s">
        <v>325</v>
      </c>
      <c r="AF12" s="81" t="s">
        <v>326</v>
      </c>
      <c r="AG12" s="81" t="s">
        <v>327</v>
      </c>
      <c r="AH12" s="81" t="s">
        <v>328</v>
      </c>
      <c r="AI12" s="81" t="s">
        <v>330</v>
      </c>
      <c r="AJ12" s="81" t="s">
        <v>331</v>
      </c>
      <c r="AK12" s="81" t="s">
        <v>332</v>
      </c>
      <c r="AL12" s="81" t="s">
        <v>333</v>
      </c>
      <c r="AM12" s="81" t="s">
        <v>334</v>
      </c>
      <c r="AN12" s="81" t="s">
        <v>335</v>
      </c>
      <c r="AO12" s="81" t="s">
        <v>336</v>
      </c>
      <c r="AP12" s="81" t="s">
        <v>337</v>
      </c>
      <c r="AQ12" s="81" t="s">
        <v>338</v>
      </c>
      <c r="AR12" s="81" t="s">
        <v>339</v>
      </c>
      <c r="AS12" s="81" t="s">
        <v>122</v>
      </c>
      <c r="AT12" s="81" t="s">
        <v>340</v>
      </c>
      <c r="AU12" s="81" t="s">
        <v>341</v>
      </c>
      <c r="AV12" s="81" t="s">
        <v>343</v>
      </c>
      <c r="AW12" s="81" t="s">
        <v>126</v>
      </c>
      <c r="AX12" s="81" t="s">
        <v>139</v>
      </c>
      <c r="AY12" s="81" t="s">
        <v>345</v>
      </c>
      <c r="AZ12" s="81" t="s">
        <v>346</v>
      </c>
      <c r="BA12" s="81" t="s">
        <v>138</v>
      </c>
    </row>
    <row r="13" spans="1:137">
      <c r="A13">
        <v>47</v>
      </c>
      <c r="B13" t="s">
        <v>350</v>
      </c>
      <c r="C13">
        <v>1</v>
      </c>
      <c r="D13" t="s">
        <v>38</v>
      </c>
      <c r="F13">
        <v>0</v>
      </c>
      <c r="G13">
        <v>0</v>
      </c>
      <c r="H13">
        <v>0</v>
      </c>
      <c r="M13">
        <v>5</v>
      </c>
      <c r="N13">
        <v>5</v>
      </c>
      <c r="O13">
        <v>-1</v>
      </c>
      <c r="P13" t="s">
        <v>51</v>
      </c>
      <c r="Q13" t="s">
        <v>45</v>
      </c>
      <c r="R13" t="s">
        <v>313</v>
      </c>
      <c r="S13" s="73">
        <v>45532.236451122684</v>
      </c>
      <c r="T13" t="s">
        <v>66</v>
      </c>
      <c r="U13" s="73">
        <v>45532.240040312499</v>
      </c>
      <c r="V13" t="s">
        <v>66</v>
      </c>
      <c r="X13">
        <v>0</v>
      </c>
      <c r="Y13">
        <v>-1</v>
      </c>
      <c r="Z13">
        <v>-1</v>
      </c>
      <c r="AC13">
        <v>0</v>
      </c>
      <c r="AD13">
        <v>0</v>
      </c>
      <c r="AE13" t="s">
        <v>51</v>
      </c>
      <c r="AF13" t="s">
        <v>51</v>
      </c>
      <c r="AG13" t="s">
        <v>75</v>
      </c>
      <c r="AH13" t="s">
        <v>75</v>
      </c>
      <c r="AI13">
        <v>1</v>
      </c>
      <c r="AJ13">
        <v>0</v>
      </c>
      <c r="AK13" t="s">
        <v>75</v>
      </c>
      <c r="AL13" t="s">
        <v>75</v>
      </c>
      <c r="AM13">
        <v>0</v>
      </c>
      <c r="AO13">
        <v>0</v>
      </c>
      <c r="AP13" t="s">
        <v>75</v>
      </c>
      <c r="AQ13">
        <v>0</v>
      </c>
      <c r="AR13" t="s">
        <v>75</v>
      </c>
      <c r="AS13" t="s">
        <v>51</v>
      </c>
      <c r="AU13">
        <v>5</v>
      </c>
      <c r="AW13" t="s">
        <v>344</v>
      </c>
      <c r="AX13" t="s">
        <v>75</v>
      </c>
      <c r="AZ13" t="s">
        <v>51</v>
      </c>
      <c r="BA13" t="s">
        <v>51</v>
      </c>
    </row>
    <row r="14" spans="1:137">
      <c r="A14">
        <v>48</v>
      </c>
      <c r="B14" t="s">
        <v>294</v>
      </c>
      <c r="C14">
        <v>1</v>
      </c>
      <c r="D14" t="s">
        <v>38</v>
      </c>
      <c r="F14">
        <v>0</v>
      </c>
      <c r="G14">
        <v>0</v>
      </c>
      <c r="H14">
        <v>0</v>
      </c>
      <c r="M14">
        <v>10</v>
      </c>
      <c r="N14">
        <v>10</v>
      </c>
      <c r="O14">
        <v>-1</v>
      </c>
      <c r="P14" t="s">
        <v>51</v>
      </c>
      <c r="Q14" t="s">
        <v>45</v>
      </c>
      <c r="R14" t="s">
        <v>313</v>
      </c>
      <c r="S14" s="73">
        <v>45532.236454513892</v>
      </c>
      <c r="T14" t="s">
        <v>66</v>
      </c>
      <c r="U14" s="73">
        <v>45532.240042094905</v>
      </c>
      <c r="V14" t="s">
        <v>66</v>
      </c>
      <c r="X14">
        <v>0</v>
      </c>
      <c r="Y14">
        <v>-1</v>
      </c>
      <c r="Z14">
        <v>-1</v>
      </c>
      <c r="AC14">
        <v>0</v>
      </c>
      <c r="AD14">
        <v>0</v>
      </c>
      <c r="AE14" t="s">
        <v>51</v>
      </c>
      <c r="AF14" t="s">
        <v>51</v>
      </c>
      <c r="AG14" t="s">
        <v>75</v>
      </c>
      <c r="AH14" t="s">
        <v>75</v>
      </c>
      <c r="AI14">
        <v>1</v>
      </c>
      <c r="AJ14">
        <v>0</v>
      </c>
      <c r="AK14" t="s">
        <v>75</v>
      </c>
      <c r="AL14" t="s">
        <v>75</v>
      </c>
      <c r="AM14">
        <v>0</v>
      </c>
      <c r="AO14">
        <v>0</v>
      </c>
      <c r="AP14" t="s">
        <v>75</v>
      </c>
      <c r="AQ14">
        <v>0</v>
      </c>
      <c r="AR14" t="s">
        <v>75</v>
      </c>
      <c r="AS14" t="s">
        <v>51</v>
      </c>
      <c r="AU14">
        <v>10</v>
      </c>
      <c r="AW14" t="s">
        <v>344</v>
      </c>
      <c r="AX14" t="s">
        <v>75</v>
      </c>
      <c r="AZ14" t="s">
        <v>51</v>
      </c>
      <c r="BA14" t="s">
        <v>51</v>
      </c>
    </row>
    <row r="15" spans="1:137">
      <c r="A15">
        <v>49</v>
      </c>
      <c r="B15" t="s">
        <v>353</v>
      </c>
      <c r="C15">
        <v>1</v>
      </c>
      <c r="D15" t="s">
        <v>38</v>
      </c>
      <c r="F15">
        <v>0</v>
      </c>
      <c r="G15">
        <v>0</v>
      </c>
      <c r="H15">
        <v>0</v>
      </c>
      <c r="M15">
        <v>5</v>
      </c>
      <c r="N15">
        <v>5</v>
      </c>
      <c r="O15">
        <v>-1</v>
      </c>
      <c r="P15" t="s">
        <v>51</v>
      </c>
      <c r="Q15" t="s">
        <v>45</v>
      </c>
      <c r="R15" t="s">
        <v>313</v>
      </c>
      <c r="S15" s="73">
        <v>45532.236455289349</v>
      </c>
      <c r="T15" t="s">
        <v>66</v>
      </c>
      <c r="U15" s="73">
        <v>45532.240042824073</v>
      </c>
      <c r="V15" t="s">
        <v>66</v>
      </c>
      <c r="X15">
        <v>0</v>
      </c>
      <c r="Y15">
        <v>-1</v>
      </c>
      <c r="Z15">
        <v>-1</v>
      </c>
      <c r="AC15">
        <v>0</v>
      </c>
      <c r="AD15">
        <v>0</v>
      </c>
      <c r="AE15" t="s">
        <v>51</v>
      </c>
      <c r="AF15" t="s">
        <v>51</v>
      </c>
      <c r="AG15" t="s">
        <v>75</v>
      </c>
      <c r="AH15" t="s">
        <v>75</v>
      </c>
      <c r="AI15">
        <v>1</v>
      </c>
      <c r="AJ15">
        <v>0</v>
      </c>
      <c r="AK15" t="s">
        <v>75</v>
      </c>
      <c r="AL15" t="s">
        <v>75</v>
      </c>
      <c r="AM15">
        <v>0</v>
      </c>
      <c r="AO15">
        <v>0</v>
      </c>
      <c r="AP15" t="s">
        <v>75</v>
      </c>
      <c r="AQ15">
        <v>0</v>
      </c>
      <c r="AR15" t="s">
        <v>75</v>
      </c>
      <c r="AS15" t="s">
        <v>51</v>
      </c>
      <c r="AU15">
        <v>5</v>
      </c>
      <c r="AW15" t="s">
        <v>344</v>
      </c>
      <c r="AX15" t="s">
        <v>75</v>
      </c>
      <c r="AZ15" t="s">
        <v>51</v>
      </c>
      <c r="BA15" t="s">
        <v>51</v>
      </c>
    </row>
    <row r="22" spans="6:11">
      <c r="F22">
        <v>20</v>
      </c>
    </row>
    <row r="23" spans="6:11">
      <c r="F23" t="s">
        <v>39</v>
      </c>
      <c r="I23">
        <v>47</v>
      </c>
      <c r="K23">
        <v>47</v>
      </c>
    </row>
    <row r="24" spans="6:11">
      <c r="I24" t="s">
        <v>227</v>
      </c>
      <c r="K24" t="s">
        <v>350</v>
      </c>
    </row>
    <row r="25" spans="6:11">
      <c r="F25" t="s">
        <v>45</v>
      </c>
      <c r="I25">
        <v>20</v>
      </c>
      <c r="K25">
        <v>1</v>
      </c>
    </row>
    <row r="26" spans="6:11">
      <c r="F26" t="s">
        <v>47</v>
      </c>
      <c r="I26" t="s">
        <v>233</v>
      </c>
      <c r="K26" t="s">
        <v>38</v>
      </c>
    </row>
    <row r="27" spans="6:11">
      <c r="F27" t="s">
        <v>51</v>
      </c>
      <c r="I27">
        <v>1</v>
      </c>
    </row>
    <row r="28" spans="6:11">
      <c r="F28" t="s">
        <v>51</v>
      </c>
      <c r="I28" t="s">
        <v>45</v>
      </c>
      <c r="K28">
        <v>0</v>
      </c>
    </row>
    <row r="29" spans="6:11">
      <c r="F29" t="s">
        <v>51</v>
      </c>
      <c r="I29" t="s">
        <v>47</v>
      </c>
      <c r="K29">
        <v>0</v>
      </c>
    </row>
    <row r="30" spans="6:11">
      <c r="F30">
        <v>0</v>
      </c>
      <c r="I30" s="73">
        <v>45532.236450266202</v>
      </c>
      <c r="K30">
        <v>0</v>
      </c>
    </row>
    <row r="31" spans="6:11">
      <c r="F31">
        <v>0</v>
      </c>
      <c r="I31" t="s">
        <v>66</v>
      </c>
    </row>
    <row r="32" spans="6:11">
      <c r="F32" s="73">
        <v>45532.135233020832</v>
      </c>
      <c r="I32" s="73">
        <v>45532.236450266202</v>
      </c>
    </row>
    <row r="33" spans="6:41">
      <c r="F33" t="s">
        <v>66</v>
      </c>
      <c r="I33" t="s">
        <v>66</v>
      </c>
    </row>
    <row r="34" spans="6:41">
      <c r="F34" s="73">
        <v>45532.135858217589</v>
      </c>
      <c r="I34" s="73">
        <v>45532.240039317127</v>
      </c>
    </row>
    <row r="35" spans="6:41">
      <c r="F35" s="73">
        <v>45532.135890358797</v>
      </c>
      <c r="I35" t="s">
        <v>66</v>
      </c>
      <c r="K35">
        <v>5</v>
      </c>
    </row>
    <row r="36" spans="6:41">
      <c r="F36" s="73">
        <v>45532.135889849538</v>
      </c>
      <c r="I36">
        <v>0</v>
      </c>
      <c r="K36">
        <v>5</v>
      </c>
    </row>
    <row r="37" spans="6:41">
      <c r="F37" t="s">
        <v>66</v>
      </c>
      <c r="I37">
        <v>0</v>
      </c>
      <c r="K37">
        <v>-1</v>
      </c>
    </row>
    <row r="38" spans="6:41">
      <c r="F38" s="73">
        <v>45532.135233252317</v>
      </c>
      <c r="I38">
        <v>0</v>
      </c>
      <c r="K38" t="s">
        <v>51</v>
      </c>
      <c r="AO38" s="73"/>
    </row>
    <row r="39" spans="6:41">
      <c r="F39" s="73">
        <v>45532.236456446757</v>
      </c>
      <c r="I39" t="s">
        <v>51</v>
      </c>
      <c r="K39" t="s">
        <v>45</v>
      </c>
    </row>
    <row r="40" spans="6:41">
      <c r="F40" t="s">
        <v>66</v>
      </c>
      <c r="K40" t="s">
        <v>313</v>
      </c>
      <c r="AO40" s="73"/>
    </row>
    <row r="41" spans="6:41">
      <c r="F41" t="s">
        <v>75</v>
      </c>
      <c r="I41">
        <v>1</v>
      </c>
      <c r="K41" s="73">
        <v>45532.236451122684</v>
      </c>
    </row>
    <row r="42" spans="6:41">
      <c r="F42" s="73">
        <v>45532.240045335646</v>
      </c>
      <c r="I42" t="s">
        <v>51</v>
      </c>
      <c r="K42" t="s">
        <v>66</v>
      </c>
    </row>
    <row r="43" spans="6:41">
      <c r="F43" t="s">
        <v>66</v>
      </c>
      <c r="I43" t="s">
        <v>85</v>
      </c>
      <c r="K43" s="73">
        <v>45532.240040312499</v>
      </c>
    </row>
    <row r="44" spans="6:41">
      <c r="F44" t="s">
        <v>83</v>
      </c>
      <c r="I44">
        <v>1</v>
      </c>
      <c r="K44" t="s">
        <v>66</v>
      </c>
    </row>
    <row r="45" spans="6:41">
      <c r="F45" t="s">
        <v>85</v>
      </c>
      <c r="I45" t="s">
        <v>51</v>
      </c>
    </row>
    <row r="46" spans="6:41">
      <c r="F46">
        <v>1</v>
      </c>
      <c r="K46">
        <v>0</v>
      </c>
    </row>
    <row r="47" spans="6:41">
      <c r="I47">
        <v>1</v>
      </c>
      <c r="K47">
        <v>-1</v>
      </c>
    </row>
    <row r="48" spans="6:41">
      <c r="F48">
        <v>0</v>
      </c>
      <c r="K48">
        <v>-1</v>
      </c>
    </row>
    <row r="49" spans="6:11">
      <c r="F49" t="s">
        <v>51</v>
      </c>
    </row>
    <row r="50" spans="6:11">
      <c r="I50" t="s">
        <v>75</v>
      </c>
    </row>
    <row r="51" spans="6:11">
      <c r="F51">
        <v>123</v>
      </c>
      <c r="K51">
        <v>0</v>
      </c>
    </row>
    <row r="52" spans="6:11">
      <c r="I52" t="s">
        <v>75</v>
      </c>
      <c r="K52">
        <v>0</v>
      </c>
    </row>
    <row r="53" spans="6:11">
      <c r="F53" t="s">
        <v>95</v>
      </c>
      <c r="I53" t="s">
        <v>75</v>
      </c>
      <c r="K53" t="s">
        <v>51</v>
      </c>
    </row>
    <row r="54" spans="6:11">
      <c r="I54" t="s">
        <v>51</v>
      </c>
      <c r="K54" t="s">
        <v>51</v>
      </c>
    </row>
    <row r="55" spans="6:11">
      <c r="I55" t="s">
        <v>259</v>
      </c>
      <c r="K55" t="s">
        <v>75</v>
      </c>
    </row>
    <row r="56" spans="6:11">
      <c r="K56" t="s">
        <v>75</v>
      </c>
    </row>
    <row r="57" spans="6:11">
      <c r="I57" t="s">
        <v>51</v>
      </c>
      <c r="K57">
        <v>1</v>
      </c>
    </row>
    <row r="58" spans="6:11">
      <c r="F58">
        <v>1</v>
      </c>
      <c r="I58" t="s">
        <v>51</v>
      </c>
      <c r="K58">
        <v>0</v>
      </c>
    </row>
    <row r="59" spans="6:11">
      <c r="K59" t="s">
        <v>75</v>
      </c>
    </row>
    <row r="60" spans="6:11">
      <c r="K60" t="s">
        <v>75</v>
      </c>
    </row>
    <row r="61" spans="6:11">
      <c r="I61" t="s">
        <v>51</v>
      </c>
      <c r="K61">
        <v>0</v>
      </c>
    </row>
    <row r="62" spans="6:11">
      <c r="F62" t="s">
        <v>85</v>
      </c>
      <c r="I62" t="s">
        <v>265</v>
      </c>
    </row>
    <row r="63" spans="6:11">
      <c r="I63" t="s">
        <v>266</v>
      </c>
      <c r="K63">
        <v>0</v>
      </c>
    </row>
    <row r="64" spans="6:11">
      <c r="I64">
        <v>1</v>
      </c>
      <c r="K64" t="s">
        <v>75</v>
      </c>
    </row>
    <row r="65" spans="6:11">
      <c r="F65">
        <v>0</v>
      </c>
      <c r="I65" t="s">
        <v>51</v>
      </c>
      <c r="K65">
        <v>0</v>
      </c>
    </row>
    <row r="66" spans="6:11">
      <c r="I66" t="s">
        <v>75</v>
      </c>
      <c r="K66" t="s">
        <v>75</v>
      </c>
    </row>
    <row r="67" spans="6:11">
      <c r="F67" t="s">
        <v>51</v>
      </c>
      <c r="K67" t="s">
        <v>51</v>
      </c>
    </row>
    <row r="68" spans="6:11">
      <c r="I68">
        <v>0</v>
      </c>
    </row>
    <row r="69" spans="6:11">
      <c r="F69">
        <v>0</v>
      </c>
      <c r="I69" t="s">
        <v>51</v>
      </c>
      <c r="K69">
        <v>5</v>
      </c>
    </row>
    <row r="70" spans="6:11">
      <c r="I70" t="s">
        <v>75</v>
      </c>
    </row>
    <row r="71" spans="6:11">
      <c r="K71" t="s">
        <v>344</v>
      </c>
    </row>
    <row r="72" spans="6:11">
      <c r="I72">
        <v>0</v>
      </c>
      <c r="K72" t="s">
        <v>75</v>
      </c>
    </row>
    <row r="73" spans="6:11">
      <c r="F73" t="s">
        <v>75</v>
      </c>
      <c r="I73">
        <v>0</v>
      </c>
    </row>
    <row r="74" spans="6:11">
      <c r="F74">
        <v>1</v>
      </c>
      <c r="I74">
        <v>0</v>
      </c>
      <c r="K74" t="s">
        <v>51</v>
      </c>
    </row>
    <row r="75" spans="6:11">
      <c r="I75">
        <v>0</v>
      </c>
      <c r="K75" t="s">
        <v>51</v>
      </c>
    </row>
    <row r="76" spans="6:11">
      <c r="F76">
        <v>0</v>
      </c>
      <c r="I76" t="s">
        <v>134</v>
      </c>
    </row>
    <row r="77" spans="6:11">
      <c r="F77" t="s">
        <v>121</v>
      </c>
    </row>
    <row r="78" spans="6:11">
      <c r="F78" t="s">
        <v>51</v>
      </c>
      <c r="I78">
        <v>0</v>
      </c>
    </row>
    <row r="79" spans="6:11">
      <c r="F79">
        <v>0</v>
      </c>
      <c r="I79">
        <v>0</v>
      </c>
    </row>
    <row r="81" spans="6:9">
      <c r="F81" t="s">
        <v>128</v>
      </c>
      <c r="I81" t="s">
        <v>51</v>
      </c>
    </row>
    <row r="82" spans="6:9">
      <c r="F82" t="s">
        <v>51</v>
      </c>
    </row>
    <row r="83" spans="6:9">
      <c r="F83" t="s">
        <v>51</v>
      </c>
    </row>
    <row r="84" spans="6:9">
      <c r="F84" t="s">
        <v>51</v>
      </c>
      <c r="I84" s="73">
        <v>45532.226276504633</v>
      </c>
    </row>
    <row r="85" spans="6:9">
      <c r="F85" t="s">
        <v>51</v>
      </c>
      <c r="I85" s="73">
        <v>45531.895027002312</v>
      </c>
    </row>
    <row r="86" spans="6:9">
      <c r="F86" t="s">
        <v>134</v>
      </c>
      <c r="I86" t="s">
        <v>66</v>
      </c>
    </row>
    <row r="87" spans="6:9">
      <c r="F87" t="s">
        <v>136</v>
      </c>
      <c r="I87">
        <v>11</v>
      </c>
    </row>
    <row r="88" spans="6:9">
      <c r="F88">
        <v>1</v>
      </c>
      <c r="I88" t="s">
        <v>75</v>
      </c>
    </row>
    <row r="89" spans="6:9">
      <c r="F89" t="s">
        <v>51</v>
      </c>
    </row>
    <row r="90" spans="6:9">
      <c r="F90" t="s">
        <v>75</v>
      </c>
      <c r="I90" t="s">
        <v>51</v>
      </c>
    </row>
    <row r="91" spans="6:9">
      <c r="F91" t="s">
        <v>75</v>
      </c>
      <c r="I91" t="s">
        <v>184</v>
      </c>
    </row>
    <row r="92" spans="6:9">
      <c r="F92">
        <v>0</v>
      </c>
      <c r="I92" t="s">
        <v>184</v>
      </c>
    </row>
    <row r="93" spans="6:9">
      <c r="F93" t="s">
        <v>51</v>
      </c>
      <c r="I93" t="s">
        <v>51</v>
      </c>
    </row>
    <row r="94" spans="6:9">
      <c r="F94" t="s">
        <v>75</v>
      </c>
      <c r="I94" t="s">
        <v>184</v>
      </c>
    </row>
    <row r="95" spans="6:9">
      <c r="F95">
        <v>0</v>
      </c>
      <c r="I95" t="s">
        <v>184</v>
      </c>
    </row>
    <row r="98" spans="6:6">
      <c r="F98">
        <v>0</v>
      </c>
    </row>
    <row r="99" spans="6:6">
      <c r="F99" t="s">
        <v>75</v>
      </c>
    </row>
    <row r="100" spans="6:6">
      <c r="F100" t="s">
        <v>75</v>
      </c>
    </row>
    <row r="101" spans="6:6">
      <c r="F101" t="s">
        <v>75</v>
      </c>
    </row>
    <row r="102" spans="6:6">
      <c r="F102" t="s">
        <v>75</v>
      </c>
    </row>
    <row r="103" spans="6:6">
      <c r="F103" t="s">
        <v>153</v>
      </c>
    </row>
    <row r="104" spans="6:6">
      <c r="F104">
        <v>1</v>
      </c>
    </row>
    <row r="105" spans="6:6">
      <c r="F105" t="s">
        <v>156</v>
      </c>
    </row>
    <row r="106" spans="6:6">
      <c r="F106">
        <v>1</v>
      </c>
    </row>
    <row r="109" spans="6:6">
      <c r="F109">
        <v>0</v>
      </c>
    </row>
    <row r="110" spans="6:6">
      <c r="F110">
        <v>0</v>
      </c>
    </row>
    <row r="111" spans="6:6">
      <c r="F111" t="s">
        <v>51</v>
      </c>
    </row>
    <row r="114" spans="6:6">
      <c r="F114" t="s">
        <v>51</v>
      </c>
    </row>
    <row r="115" spans="6:6">
      <c r="F115" t="s">
        <v>51</v>
      </c>
    </row>
    <row r="116" spans="6:6">
      <c r="F116" t="s">
        <v>134</v>
      </c>
    </row>
    <row r="117" spans="6:6">
      <c r="F117" t="s">
        <v>51</v>
      </c>
    </row>
    <row r="118" spans="6:6">
      <c r="F118">
        <v>0</v>
      </c>
    </row>
    <row r="121" spans="6:6">
      <c r="F121">
        <v>0</v>
      </c>
    </row>
    <row r="123" spans="6:6">
      <c r="F123" t="s">
        <v>75</v>
      </c>
    </row>
    <row r="127" spans="6:6">
      <c r="F127" t="s">
        <v>51</v>
      </c>
    </row>
    <row r="128" spans="6:6">
      <c r="F128" t="s">
        <v>121</v>
      </c>
    </row>
    <row r="129" spans="6:6">
      <c r="F129" t="s">
        <v>184</v>
      </c>
    </row>
    <row r="133" spans="6:6">
      <c r="F133">
        <v>0</v>
      </c>
    </row>
    <row r="135" spans="6:6">
      <c r="F135" t="s">
        <v>75</v>
      </c>
    </row>
    <row r="136" spans="6:6">
      <c r="F136" t="s">
        <v>75</v>
      </c>
    </row>
    <row r="137" spans="6:6">
      <c r="F137" s="73">
        <v>45532.176900034719</v>
      </c>
    </row>
    <row r="138" spans="6:6">
      <c r="F138" t="s">
        <v>184</v>
      </c>
    </row>
    <row r="148" spans="6:6">
      <c r="F148" t="s">
        <v>75</v>
      </c>
    </row>
    <row r="149" spans="6:6">
      <c r="F149" t="s">
        <v>51</v>
      </c>
    </row>
    <row r="150" spans="6:6">
      <c r="F150" t="s">
        <v>51</v>
      </c>
    </row>
    <row r="151" spans="6:6">
      <c r="F151" t="s">
        <v>184</v>
      </c>
    </row>
    <row r="152" spans="6:6">
      <c r="F152" t="s">
        <v>75</v>
      </c>
    </row>
    <row r="153" spans="6:6">
      <c r="F153" t="s">
        <v>184</v>
      </c>
    </row>
    <row r="154" spans="6:6">
      <c r="F154" t="s">
        <v>184</v>
      </c>
    </row>
    <row r="155" spans="6:6">
      <c r="F155" t="s">
        <v>184</v>
      </c>
    </row>
    <row r="156" spans="6:6">
      <c r="F156" t="s">
        <v>184</v>
      </c>
    </row>
    <row r="157" spans="6:6">
      <c r="F157">
        <v>0</v>
      </c>
    </row>
    <row r="158" spans="6:6">
      <c r="F158" t="s">
        <v>184</v>
      </c>
    </row>
  </sheetData>
  <mergeCells count="3">
    <mergeCell ref="A1:I1"/>
    <mergeCell ref="A5:I5"/>
    <mergeCell ref="A11:I11"/>
  </mergeCells>
  <phoneticPr fontId="2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6694D2AC78A48A7C8E53FEF04F831" ma:contentTypeVersion="13" ma:contentTypeDescription="Create a new document." ma:contentTypeScope="" ma:versionID="38cc136cc528195d795ca4b8150cbf58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23a138a4e6404c11ac4710f6dbb295f0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712FA7-F4AC-4B1A-A435-DBE578C92CE8}"/>
</file>

<file path=customXml/itemProps2.xml><?xml version="1.0" encoding="utf-8"?>
<ds:datastoreItem xmlns:ds="http://schemas.openxmlformats.org/officeDocument/2006/customXml" ds:itemID="{EA2EEFDB-007B-4194-B701-65194622D2CB}"/>
</file>

<file path=customXml/itemProps3.xml><?xml version="1.0" encoding="utf-8"?>
<ds:datastoreItem xmlns:ds="http://schemas.openxmlformats.org/officeDocument/2006/customXml" ds:itemID="{53E9AAEC-E603-43EA-AE0C-92BBB0385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Wu</dc:creator>
  <cp:keywords/>
  <dc:description/>
  <cp:lastModifiedBy>Prabhakaran, Akhil</cp:lastModifiedBy>
  <cp:revision/>
  <dcterms:created xsi:type="dcterms:W3CDTF">2023-04-04T07:44:01Z</dcterms:created>
  <dcterms:modified xsi:type="dcterms:W3CDTF">2026-02-08T18:09:26Z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0x01010092A6694D2AC78A48A7C8E53FEF04F831</vt:lpwstr>
  </property>
  <property fmtid="{D5CDD505-2E9C-101B-9397-08002B2CF9AE}" pid="3" name="MediaServiceImageTags">
    <vt:lpwstr/>
  </property>
</Properties>
</file>