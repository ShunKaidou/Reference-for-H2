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PhraseB/MES/"/>
    </mc:Choice>
  </mc:AlternateContent>
  <xr:revisionPtr revIDLastSave="568" documentId="13_ncr:1_{67046B8F-8ABD-4EC2-B5F5-DCCE3D2340FB}" xr6:coauthVersionLast="47" xr6:coauthVersionMax="47" xr10:uidLastSave="{FE526F54-217C-47FF-8FD3-9E036ACDE08C}"/>
  <bookViews>
    <workbookView minimized="1" xWindow="1470" yWindow="2655" windowWidth="21600" windowHeight="11295" activeTab="2" xr2:uid="{A34DF7DA-F435-4CAB-B90D-4A2AF61784E6}"/>
  </bookViews>
  <sheets>
    <sheet name="JIT&amp;IPQC Request" sheetId="2" r:id="rId1"/>
    <sheet name="JIT&amp;IPQC Response new" sheetId="4" r:id="rId2"/>
    <sheet name="BULK-FG Request" sheetId="5" r:id="rId3"/>
    <sheet name="BULK-FG Respons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5" i="6"/>
  <c r="A7" i="6"/>
  <c r="A8" i="6"/>
  <c r="A2" i="6"/>
  <c r="A4" i="5"/>
  <c r="A5" i="5"/>
  <c r="A6" i="5"/>
  <c r="A8" i="5"/>
  <c r="A9" i="5"/>
  <c r="A10" i="5"/>
  <c r="A3" i="5"/>
  <c r="A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</calcChain>
</file>

<file path=xl/sharedStrings.xml><?xml version="1.0" encoding="utf-8"?>
<sst xmlns="http://schemas.openxmlformats.org/spreadsheetml/2006/main" count="230" uniqueCount="182">
  <si>
    <t>Field</t>
  </si>
  <si>
    <t>Description</t>
  </si>
  <si>
    <t>Example</t>
  </si>
  <si>
    <t>Unique ID for the sample</t>
  </si>
  <si>
    <t>SMP20250520-01</t>
  </si>
  <si>
    <t>PO12345678</t>
  </si>
  <si>
    <t>BATCH20250520A</t>
  </si>
  <si>
    <t>SAP Material Code</t>
  </si>
  <si>
    <t>MAT001234</t>
  </si>
  <si>
    <t>Description of material</t>
  </si>
  <si>
    <t>High-Grade Resin</t>
  </si>
  <si>
    <t>SAP Plant</t>
  </si>
  <si>
    <t>PL01</t>
  </si>
  <si>
    <t>PH04</t>
  </si>
  <si>
    <t>2025-05-20T10:32:00Z</t>
  </si>
  <si>
    <t>SL.No</t>
  </si>
  <si>
    <t>Date and time sample was approved/rejected</t>
  </si>
  <si>
    <t>Operator who approved sample</t>
  </si>
  <si>
    <t>USER 1</t>
  </si>
  <si>
    <t>Comments</t>
  </si>
  <si>
    <t>MES will be sending QCLAD will revert back with results</t>
  </si>
  <si>
    <t>QCLAD should send post QC Process</t>
  </si>
  <si>
    <t>QCLAD should send post QC Process</t>
    <phoneticPr fontId="2" type="noConversion"/>
  </si>
  <si>
    <t>MES will be sending QCLAD will revert back with results</t>
    <phoneticPr fontId="2" type="noConversion"/>
  </si>
  <si>
    <t>Mapping QCLAD field</t>
    <phoneticPr fontId="2" type="noConversion"/>
  </si>
  <si>
    <t>sample.HenMesId</t>
    <phoneticPr fontId="2" type="noConversion"/>
  </si>
  <si>
    <t>sample.BatchName</t>
    <phoneticPr fontId="2" type="noConversion"/>
  </si>
  <si>
    <t>SAP's Material Code is very long, for example: 000000000000093643. Does MES require the complete code, or is 93643 sufficient?</t>
    <phoneticPr fontId="2" type="noConversion"/>
  </si>
  <si>
    <t>sample.Substance.Identity</t>
    <phoneticPr fontId="2" type="noConversion"/>
  </si>
  <si>
    <t>Does material description refer to the name of the material? In other words, is it the value of the maktx field in the SAP material interface?</t>
    <phoneticPr fontId="2" type="noConversion"/>
  </si>
  <si>
    <t>sample.Substance.Name</t>
    <phoneticPr fontId="2" type="noConversion"/>
  </si>
  <si>
    <t>sample.HenPlant</t>
    <phoneticPr fontId="2" type="noConversion"/>
  </si>
  <si>
    <t>sample.DateAuthorised</t>
    <phoneticPr fontId="2" type="noConversion"/>
  </si>
  <si>
    <t>sample.Authoriser</t>
    <phoneticPr fontId="2" type="noConversion"/>
  </si>
  <si>
    <t>sample.Status and sample.OnSpec</t>
    <phoneticPr fontId="2" type="noConversion"/>
  </si>
  <si>
    <t>What information is SAP Process Order, or which information does it correspond to in the JSON string issued by SAP lot?</t>
    <phoneticPr fontId="2" type="noConversion"/>
  </si>
  <si>
    <t>sample.HenPhraseNumber</t>
    <phoneticPr fontId="2" type="noConversion"/>
  </si>
  <si>
    <t>Henkel comments</t>
  </si>
  <si>
    <t>Yes</t>
  </si>
  <si>
    <t>Yes</t>
    <phoneticPr fontId="2" type="noConversion"/>
  </si>
  <si>
    <t>check with MES
MES - QCLAD can trim and send to MES</t>
    <phoneticPr fontId="2" type="noConversion"/>
  </si>
  <si>
    <t>SAP Process Order</t>
    <phoneticPr fontId="2" type="noConversion"/>
  </si>
  <si>
    <t>sampleType</t>
    <phoneticPr fontId="2" type="noConversion"/>
  </si>
  <si>
    <t>RECEIVING_SAMPLE</t>
    <phoneticPr fontId="2" type="noConversion"/>
  </si>
  <si>
    <t>sampleLabelNumber</t>
    <phoneticPr fontId="2" type="noConversion"/>
  </si>
  <si>
    <t>processOrder</t>
    <phoneticPr fontId="2" type="noConversion"/>
  </si>
  <si>
    <t>batchNumber</t>
    <phoneticPr fontId="2" type="noConversion"/>
  </si>
  <si>
    <t>materialNumber</t>
    <phoneticPr fontId="2" type="noConversion"/>
  </si>
  <si>
    <t>materialDescription</t>
    <phoneticPr fontId="2" type="noConversion"/>
  </si>
  <si>
    <t>plantCode</t>
    <phoneticPr fontId="2" type="noConversion"/>
  </si>
  <si>
    <t>activityNumber</t>
    <phoneticPr fontId="2" type="noConversion"/>
  </si>
  <si>
    <t>sampleApprovalRejectedTime</t>
    <phoneticPr fontId="2" type="noConversion"/>
  </si>
  <si>
    <t>operatorName</t>
    <phoneticPr fontId="2" type="noConversion"/>
  </si>
  <si>
    <t>sampleStatus</t>
    <phoneticPr fontId="2" type="noConversion"/>
  </si>
  <si>
    <t>adjustMaterials</t>
    <phoneticPr fontId="2" type="noConversion"/>
  </si>
  <si>
    <t>consesssionRelease</t>
    <phoneticPr fontId="2" type="noConversion"/>
  </si>
  <si>
    <t>resampleRequired</t>
    <phoneticPr fontId="2" type="noConversion"/>
  </si>
  <si>
    <t>quantity</t>
    <phoneticPr fontId="2" type="noConversion"/>
  </si>
  <si>
    <t>uom</t>
    <phoneticPr fontId="2" type="noConversion"/>
  </si>
  <si>
    <t>Material used for any adjustment during sampling</t>
  </si>
  <si>
    <t>Amount of material sampled or adjusted</t>
  </si>
  <si>
    <t>What is the logic for determining whether to resample? Or is it entered manually by the user?</t>
    <phoneticPr fontId="2" type="noConversion"/>
  </si>
  <si>
    <t>Yes this was there in the workflow, it should be a manual input by user only if one or more MIC is out of specification
Henkel：When authorized samples, determine whether they are qualified. If they are not qualified, a pop-up window will appear asking, ‘Do you need to resample?’ The user can then select Yes or No.</t>
    <phoneticPr fontId="2" type="noConversion"/>
  </si>
  <si>
    <t>If the phase required re sample</t>
    <phoneticPr fontId="2" type="noConversion"/>
  </si>
  <si>
    <t xml:space="preserve">QCLAD should send post QC Process If multiple materials the ',' seprated </t>
    <phoneticPr fontId="2" type="noConversion"/>
  </si>
  <si>
    <t>There can be more than one adjustment materials</t>
    <phoneticPr fontId="2" type="noConversion"/>
  </si>
  <si>
    <t>Are the quantity and unit stored in one field?</t>
    <phoneticPr fontId="2" type="noConversion"/>
  </si>
  <si>
    <t>You can store in same or different fields
check with MES</t>
    <phoneticPr fontId="2" type="noConversion"/>
  </si>
  <si>
    <t>Sample.HenProcessOrder</t>
    <phoneticPr fontId="2" type="noConversion"/>
  </si>
  <si>
    <t>True or False</t>
    <phoneticPr fontId="2" type="noConversion"/>
  </si>
  <si>
    <t>Approved or Rejected</t>
    <phoneticPr fontId="2" type="noConversion"/>
  </si>
  <si>
    <t>What does this field mean?
When sending JIT Sample results, the value is: RECEIVING_SAMPLE; when sending IPQC Sample results, the value is: PRODUCTION_SAMPLE?</t>
    <phoneticPr fontId="2" type="noConversion"/>
  </si>
  <si>
    <t>The material information that needs to be adjusted can be zero or more.</t>
    <phoneticPr fontId="2" type="noConversion"/>
  </si>
  <si>
    <t>What does this field mean?Comments mentioned at the last meeting?</t>
    <phoneticPr fontId="2" type="noConversion"/>
  </si>
  <si>
    <t>TF's question</t>
    <phoneticPr fontId="2" type="noConversion"/>
  </si>
  <si>
    <t>unit</t>
    <phoneticPr fontId="2" type="noConversion"/>
  </si>
  <si>
    <t>KG</t>
    <phoneticPr fontId="2" type="noConversion"/>
  </si>
  <si>
    <t>Is it the activity number issued by SAP? Example: 0010
Why is the example in the JSON file 0010_0023?Is it the activity number of the SAP inspection plan concatenated with the SOP phrase number? However, there is no SOP phrase number information in QCLAD.</t>
    <phoneticPr fontId="2" type="noConversion"/>
  </si>
  <si>
    <t>Is the BatchNumber here the same as the batchNumber in line 4 above?If they are not the same, what does BatchNumber refer to here?</t>
    <phoneticPr fontId="2" type="noConversion"/>
  </si>
  <si>
    <t>What does this field mean?When a user selects ‘Accepted with Concession’ in QCLAD, the value is true; otherwise, it is FALSE?</t>
    <phoneticPr fontId="2" type="noConversion"/>
  </si>
  <si>
    <t>example：IQC/IPQC</t>
  </si>
  <si>
    <t>sample.HenInspectionCategory</t>
    <phoneticPr fontId="2" type="noConversion"/>
  </si>
  <si>
    <t>storageLocation</t>
    <phoneticPr fontId="2" type="noConversion"/>
  </si>
  <si>
    <t>storage Location</t>
    <phoneticPr fontId="2" type="noConversion"/>
  </si>
  <si>
    <t>It is available in JSON sent in Inspection Lot, AUFNR. You can pull it from there. It is process order number</t>
  </si>
  <si>
    <t>Yes, only keep 0010</t>
  </si>
  <si>
    <t>format： 2025-06-05 12:30:00
Need UTC time?</t>
  </si>
  <si>
    <t xml:space="preserve">sample Type </t>
    <phoneticPr fontId="2" type="noConversion"/>
  </si>
  <si>
    <t>checked with MES, No Need UTC time,only need plant time:2025-06-05 12:30:00
MES- Yes the metioned format is fine (YYYY-MM-DD) (HH-MM_SS)</t>
  </si>
  <si>
    <t>SAP phase in the routing</t>
    <phoneticPr fontId="2" type="noConversion"/>
  </si>
  <si>
    <t>SAP Batch Number</t>
    <phoneticPr fontId="2" type="noConversion"/>
  </si>
  <si>
    <t xml:space="preserve">bacth number of adjustment material </t>
  </si>
  <si>
    <t>will keep batch number of adjustment material is empty</t>
  </si>
  <si>
    <t>consesssion Release</t>
    <phoneticPr fontId="2" type="noConversion"/>
  </si>
  <si>
    <t>Comments</t>
    <phoneticPr fontId="2" type="noConversion"/>
  </si>
  <si>
    <t>isQCAdjustment</t>
    <phoneticPr fontId="2" type="noConversion"/>
  </si>
  <si>
    <t>True/False</t>
    <phoneticPr fontId="2" type="noConversion"/>
  </si>
  <si>
    <t>MIC_List</t>
    <phoneticPr fontId="2" type="noConversion"/>
  </si>
  <si>
    <t>masterInspectionCharacteristics</t>
    <phoneticPr fontId="2" type="noConversion"/>
  </si>
  <si>
    <t>inspectionCharacteristicsText</t>
    <phoneticPr fontId="2" type="noConversion"/>
  </si>
  <si>
    <t>inspectionMethod</t>
    <phoneticPr fontId="2" type="noConversion"/>
  </si>
  <si>
    <t>inspectionMethodText</t>
    <phoneticPr fontId="2" type="noConversion"/>
  </si>
  <si>
    <t>lowerSpecLimit</t>
    <phoneticPr fontId="2" type="noConversion"/>
  </si>
  <si>
    <t>upperSpecLimit</t>
    <phoneticPr fontId="2" type="noConversion"/>
  </si>
  <si>
    <t>decimalPlace</t>
    <phoneticPr fontId="2" type="noConversion"/>
  </si>
  <si>
    <t>measureUnit</t>
    <phoneticPr fontId="2" type="noConversion"/>
  </si>
  <si>
    <t>resultRecordType</t>
    <phoneticPr fontId="2" type="noConversion"/>
  </si>
  <si>
    <t>InspectionResult</t>
    <phoneticPr fontId="2" type="noConversion"/>
  </si>
  <si>
    <t>codeText</t>
    <phoneticPr fontId="2" type="noConversion"/>
  </si>
  <si>
    <t>ReturnCode</t>
    <phoneticPr fontId="2" type="noConversion"/>
  </si>
  <si>
    <t>Description</t>
    <phoneticPr fontId="2" type="noConversion"/>
  </si>
  <si>
    <t>"ReturnCode": "0001", "Description": "Success"
"ReturnCode": "0002", "API Authentication Error"
"ReturnCode": "0003", "Invalid Sample Number"</t>
    <phoneticPr fontId="2" type="noConversion"/>
  </si>
  <si>
    <t>remark</t>
    <phoneticPr fontId="2" type="noConversion"/>
  </si>
  <si>
    <t>INSPCHAR</t>
    <phoneticPr fontId="2" type="noConversion"/>
  </si>
  <si>
    <t>MSTR_CHAR</t>
    <phoneticPr fontId="2" type="noConversion"/>
  </si>
  <si>
    <t>CHAR_DESCR</t>
    <phoneticPr fontId="2" type="noConversion"/>
  </si>
  <si>
    <t>METHOD</t>
    <phoneticPr fontId="2" type="noConversion"/>
  </si>
  <si>
    <t>METHOD_TXT</t>
    <phoneticPr fontId="2" type="noConversion"/>
  </si>
  <si>
    <t>LW_TOL_LMT</t>
    <phoneticPr fontId="2" type="noConversion"/>
  </si>
  <si>
    <t>UP_TOL_LMT</t>
    <phoneticPr fontId="2" type="noConversion"/>
  </si>
  <si>
    <t>DEC_PLACES</t>
    <phoneticPr fontId="2" type="noConversion"/>
  </si>
  <si>
    <t>MEAS_UNIT</t>
    <phoneticPr fontId="2" type="noConversion"/>
  </si>
  <si>
    <t>CHAR_TYPE</t>
    <phoneticPr fontId="2" type="noConversion"/>
  </si>
  <si>
    <t>Test Method</t>
    <phoneticPr fontId="2" type="noConversion"/>
  </si>
  <si>
    <t>PLACES</t>
    <phoneticPr fontId="2" type="noConversion"/>
  </si>
  <si>
    <t>result.places</t>
    <phoneticPr fontId="2" type="noConversion"/>
  </si>
  <si>
    <t>result.Units</t>
    <phoneticPr fontId="2" type="noConversion"/>
  </si>
  <si>
    <t>if CHAR_TYPE==1 then input here recorded result   1   // Vegam needs clear result as a string (Numeric or Accepted/Rejected)</t>
    <phoneticPr fontId="2" type="noConversion"/>
  </si>
  <si>
    <t>OnSpec</t>
    <phoneticPr fontId="2" type="noConversion"/>
  </si>
  <si>
    <t>result.resultType</t>
    <phoneticPr fontId="2" type="noConversion"/>
  </si>
  <si>
    <t>result_raw_result</t>
    <phoneticPr fontId="2" type="noConversion"/>
  </si>
  <si>
    <t>MLP_VALUES.MAX_LIMIT</t>
    <phoneticPr fontId="2" type="noConversion"/>
  </si>
  <si>
    <t>MLP_VALUES.MIN_LIMIT</t>
    <phoneticPr fontId="2" type="noConversion"/>
  </si>
  <si>
    <t>Test.TestMethod</t>
    <phoneticPr fontId="2" type="noConversion"/>
  </si>
  <si>
    <t>Test.analysis.name</t>
    <phoneticPr fontId="2" type="noConversion"/>
  </si>
  <si>
    <t>result.hen_on_spec</t>
    <phoneticPr fontId="2" type="noConversion"/>
  </si>
  <si>
    <t>PlantCode</t>
  </si>
  <si>
    <t>Plant code</t>
    <phoneticPr fontId="2" type="noConversion"/>
  </si>
  <si>
    <t>BulkMaterialList</t>
    <phoneticPr fontId="2" type="noConversion"/>
  </si>
  <si>
    <t>BulkIdh</t>
    <phoneticPr fontId="2" type="noConversion"/>
  </si>
  <si>
    <t>BulkBatchNumber</t>
    <phoneticPr fontId="2" type="noConversion"/>
  </si>
  <si>
    <t>FillingMaterialList</t>
    <phoneticPr fontId="2" type="noConversion"/>
  </si>
  <si>
    <t>FillingBatch</t>
    <phoneticPr fontId="2" type="noConversion"/>
  </si>
  <si>
    <t>0759</t>
    <phoneticPr fontId="2" type="noConversion"/>
  </si>
  <si>
    <t>BulkBatch1</t>
    <phoneticPr fontId="2" type="noConversion"/>
  </si>
  <si>
    <t>FillingIdh</t>
    <phoneticPr fontId="2" type="noConversion"/>
  </si>
  <si>
    <t>sample.Hen_IDH</t>
    <phoneticPr fontId="2" type="noConversion"/>
  </si>
  <si>
    <t>sample.Hen_FillingBatch</t>
    <phoneticPr fontId="2" type="noConversion"/>
  </si>
  <si>
    <t>FgBatch1</t>
    <phoneticPr fontId="2" type="noConversion"/>
  </si>
  <si>
    <t>material number</t>
    <phoneticPr fontId="2" type="noConversion"/>
  </si>
  <si>
    <t>Is it the internal control standard limit?</t>
  </si>
  <si>
    <t>Is it the internal control standard limit?</t>
    <phoneticPr fontId="2" type="noConversion"/>
  </si>
  <si>
    <t>What types are required for MES? What are their respective codes?
In QCLAD, N (numerical type) and O (Option, Pass or Fail)</t>
    <phoneticPr fontId="2" type="noConversion"/>
  </si>
  <si>
    <t>What does CHAR_TYPE==1 mean? If the result type is a numeric type, does MES require the original result or the rounded result?</t>
    <phoneticPr fontId="2" type="noConversion"/>
  </si>
  <si>
    <t>Yes, comments :  mes will provide this string length</t>
    <phoneticPr fontId="2" type="noConversion"/>
  </si>
  <si>
    <t>sample.Hen_FillingIdh</t>
    <phoneticPr fontId="2" type="noConversion"/>
  </si>
  <si>
    <t>is QC Adjustment</t>
    <phoneticPr fontId="2" type="noConversion"/>
  </si>
  <si>
    <t>inspectionCharNumber</t>
    <phoneticPr fontId="2" type="noConversion"/>
  </si>
  <si>
    <t>MIC_code</t>
    <phoneticPr fontId="2" type="noConversion"/>
  </si>
  <si>
    <t>Order no</t>
    <phoneticPr fontId="2" type="noConversion"/>
  </si>
  <si>
    <t>short_text</t>
    <phoneticPr fontId="2" type="noConversion"/>
  </si>
  <si>
    <t>Do you need Chinese or English?</t>
    <phoneticPr fontId="2" type="noConversion"/>
  </si>
  <si>
    <t>Test Method Name</t>
    <phoneticPr fontId="2" type="noConversion"/>
  </si>
  <si>
    <t xml:space="preserve"> lower Spec Limit</t>
    <phoneticPr fontId="2" type="noConversion"/>
  </si>
  <si>
    <t xml:space="preserve"> upper Spec Limit</t>
    <phoneticPr fontId="2" type="noConversion"/>
  </si>
  <si>
    <t xml:space="preserve">Accepted or Rejected text  </t>
    <phoneticPr fontId="2" type="noConversion"/>
  </si>
  <si>
    <t>result Type</t>
    <phoneticPr fontId="2" type="noConversion"/>
  </si>
  <si>
    <t>result value</t>
    <phoneticPr fontId="2" type="noConversion"/>
  </si>
  <si>
    <t>"ReturnCode": "0001", "Description": "Success"
"ReturnCode": "0002", "No batch found"</t>
    <phoneticPr fontId="2" type="noConversion"/>
  </si>
  <si>
    <t>Confirm whether the field meanings are correct.</t>
  </si>
  <si>
    <t>test.hen_orderno</t>
    <phoneticPr fontId="2" type="noConversion"/>
  </si>
  <si>
    <t>test.hen_mic_code</t>
    <phoneticPr fontId="2" type="noConversion"/>
  </si>
  <si>
    <t>test.hen_short_text</t>
    <phoneticPr fontId="2" type="noConversion"/>
  </si>
  <si>
    <t>MES provides interfaces</t>
    <phoneticPr fontId="2" type="noConversion"/>
  </si>
  <si>
    <t>QCLAD provides interfaces</t>
    <phoneticPr fontId="2" type="noConversion"/>
  </si>
  <si>
    <t>material IDH</t>
    <phoneticPr fontId="2" type="noConversion"/>
  </si>
  <si>
    <t>sap Batch number</t>
    <phoneticPr fontId="2" type="noConversion"/>
  </si>
  <si>
    <t>BulkProcessNumber</t>
    <phoneticPr fontId="2" type="noConversion"/>
  </si>
  <si>
    <t>sap process Number</t>
    <phoneticPr fontId="2" type="noConversion"/>
  </si>
  <si>
    <t>1. Match samples using IDH and batch number and sap process Number.
2. Concatenate multiple FillingIdh values into a single string and store it in the Hen_FillingIdh field of the sample table.
3. Concatenate multiple FillingBatch values into a single string and store it in the Hen_FillingBatch field of the sample table.
Is that what you need?</t>
    <phoneticPr fontId="2" type="noConversion"/>
  </si>
  <si>
    <t>Sap Batch number</t>
    <phoneticPr fontId="2" type="noConversion"/>
  </si>
  <si>
    <t>sample.hen_sap_process_number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</si>
</sst>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/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49" fontId="3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/>
    <xf numFmtId="0" fontId="4" fillId="0" borderId="3" xfId="0" applyFont="1" applyBorder="1"/>
    <xf numFmtId="0" fontId="4" fillId="0" borderId="3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0</xdr:row>
      <xdr:rowOff>133350</xdr:rowOff>
    </xdr:from>
    <xdr:to>
      <xdr:col>14</xdr:col>
      <xdr:colOff>447675</xdr:colOff>
      <xdr:row>65</xdr:row>
      <xdr:rowOff>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91BDC0D-CD49-9791-AE31-BC79325BFADA}"/>
            </a:ext>
          </a:extLst>
        </xdr:cNvPr>
        <xdr:cNvSpPr/>
      </xdr:nvSpPr>
      <xdr:spPr>
        <a:xfrm>
          <a:off x="13439775" y="133350"/>
          <a:ext cx="4343400" cy="13192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[</a:t>
          </a:r>
        </a:p>
        <a:p>
          <a:pPr algn="l"/>
          <a:r>
            <a:rPr lang="en-US" altLang="zh-CN" sz="1100"/>
            <a:t>    {</a:t>
          </a:r>
        </a:p>
        <a:p>
          <a:pPr algn="l"/>
          <a:r>
            <a:rPr lang="en-US" altLang="zh-CN" sz="1100"/>
            <a:t>        "PlantCode": "0759",</a:t>
          </a:r>
        </a:p>
        <a:p>
          <a:pPr algn="l"/>
          <a:r>
            <a:rPr lang="en-US" altLang="zh-CN" sz="1100"/>
            <a:t>        "BulkMaterialList": [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"2201245",</a:t>
          </a:r>
        </a:p>
        <a:p>
          <a:pPr algn="l"/>
          <a:r>
            <a:rPr lang="en-US" altLang="zh-CN" sz="1100"/>
            <a:t>                "BulkBatchNumber": "BulkBatch1",</a:t>
          </a:r>
        </a:p>
        <a:p>
          <a:pPr algn="l"/>
          <a:r>
            <a:rPr lang="en-US" altLang="zh-CN" sz="1100" baseline="0"/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"210123",</a:t>
          </a:r>
        </a:p>
        <a:p>
          <a:pPr algn="l"/>
          <a:r>
            <a:rPr lang="en-US" altLang="zh-CN" sz="1100"/>
            <a:t>                        "FillingBatch": "FgBatch1"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"210124",</a:t>
          </a:r>
        </a:p>
        <a:p>
          <a:pPr algn="l"/>
          <a:r>
            <a:rPr lang="en-US" altLang="zh-CN" sz="1100"/>
            <a:t>                        "FillingBatch": "FgBatch2"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},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"2201246",</a:t>
          </a:r>
        </a:p>
        <a:p>
          <a:r>
            <a:rPr lang="en-US" altLang="zh-CN" sz="1100"/>
            <a:t>                "BulkBatchNumber": "BulkBatch1",</a:t>
          </a:r>
          <a:endParaRPr lang="zh-CN" altLang="zh-CN">
            <a:effectLst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"210125",</a:t>
          </a:r>
        </a:p>
        <a:p>
          <a:pPr algn="l"/>
          <a:r>
            <a:rPr lang="en-US" altLang="zh-CN" sz="1100"/>
            <a:t>                        "FillingBatch": "FgBatch3"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"210126",</a:t>
          </a:r>
        </a:p>
        <a:p>
          <a:pPr algn="l"/>
          <a:r>
            <a:rPr lang="en-US" altLang="zh-CN" sz="1100"/>
            <a:t>                        "FillingBatch": "FgBatch4"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</a:t>
          </a:r>
        </a:p>
        <a:p>
          <a:pPr algn="l"/>
          <a:r>
            <a:rPr lang="en-US" altLang="zh-CN" sz="1100"/>
            <a:t>        ]</a:t>
          </a:r>
        </a:p>
        <a:p>
          <a:pPr algn="l"/>
          <a:r>
            <a:rPr lang="en-US" altLang="zh-CN" sz="1100"/>
            <a:t>    },</a:t>
          </a:r>
        </a:p>
        <a:p>
          <a:pPr algn="l"/>
          <a:r>
            <a:rPr lang="en-US" altLang="zh-CN" sz="1100"/>
            <a:t>    {</a:t>
          </a:r>
        </a:p>
        <a:p>
          <a:pPr algn="l"/>
          <a:r>
            <a:rPr lang="en-US" altLang="zh-CN" sz="1100"/>
            <a:t>        "PlantCode": "0799",</a:t>
          </a:r>
        </a:p>
        <a:p>
          <a:pPr algn="l"/>
          <a:r>
            <a:rPr lang="en-US" altLang="zh-CN" sz="1100"/>
            <a:t>        "BulkMaterialList": [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"2201245",</a:t>
          </a:r>
        </a:p>
        <a:p>
          <a:r>
            <a:rPr lang="en-US" altLang="zh-CN" sz="1100"/>
            <a:t>                "BulkBatchNumber": "BulkBatch1",</a:t>
          </a:r>
          <a:endParaRPr lang="zh-CN" altLang="zh-CN">
            <a:effectLst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"210123",</a:t>
          </a:r>
        </a:p>
        <a:p>
          <a:pPr algn="l"/>
          <a:r>
            <a:rPr lang="en-US" altLang="zh-CN" sz="1100"/>
            <a:t>                        "FillingBatch": "FgBatch1"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"210124",</a:t>
          </a:r>
        </a:p>
        <a:p>
          <a:pPr algn="l"/>
          <a:r>
            <a:rPr lang="en-US" altLang="zh-CN" sz="1100"/>
            <a:t>                        "FillingBatch": "FgBatch2"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},</a:t>
          </a:r>
        </a:p>
        <a:p>
          <a:pPr algn="l"/>
          <a:r>
            <a:rPr lang="en-US" altLang="zh-CN" sz="1100"/>
            <a:t>            {</a:t>
          </a:r>
        </a:p>
        <a:p>
          <a:pPr algn="l"/>
          <a:r>
            <a:rPr lang="en-US" altLang="zh-CN" sz="1100"/>
            <a:t>                "BulkIdh": "2201246",</a:t>
          </a:r>
        </a:p>
        <a:p>
          <a:r>
            <a:rPr lang="en-US" altLang="zh-CN" sz="1100"/>
            <a:t>                "BulkBatchNumber": "BulkBatch1",</a:t>
          </a:r>
          <a:endParaRPr lang="zh-CN" altLang="zh-CN">
            <a:effectLst/>
          </a:endParaRPr>
        </a:p>
        <a:p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"BulkProcessNumber":"",</a:t>
          </a:r>
          <a:endParaRPr lang="en-US" altLang="zh-CN" sz="1100"/>
        </a:p>
        <a:p>
          <a:pPr algn="l"/>
          <a:r>
            <a:rPr lang="en-US" altLang="zh-CN" sz="1100"/>
            <a:t>                "FillingMaterialList": [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"210125",</a:t>
          </a:r>
        </a:p>
        <a:p>
          <a:pPr algn="l"/>
          <a:r>
            <a:rPr lang="en-US" altLang="zh-CN" sz="1100"/>
            <a:t>                        "FillingBatch": "FgBatch3"</a:t>
          </a:r>
        </a:p>
        <a:p>
          <a:pPr algn="l"/>
          <a:r>
            <a:rPr lang="en-US" altLang="zh-CN" sz="1100"/>
            <a:t>                    },</a:t>
          </a:r>
        </a:p>
        <a:p>
          <a:pPr algn="l"/>
          <a:r>
            <a:rPr lang="en-US" altLang="zh-CN" sz="1100"/>
            <a:t>                    {</a:t>
          </a:r>
        </a:p>
        <a:p>
          <a:pPr algn="l"/>
          <a:r>
            <a:rPr lang="en-US" altLang="zh-CN" sz="1100"/>
            <a:t>                        "FillingIdh": "210126",</a:t>
          </a:r>
        </a:p>
        <a:p>
          <a:pPr algn="l"/>
          <a:r>
            <a:rPr lang="en-US" altLang="zh-CN" sz="1100"/>
            <a:t>                        "FillingBatch": "FgBatch4"</a:t>
          </a:r>
        </a:p>
        <a:p>
          <a:pPr algn="l"/>
          <a:r>
            <a:rPr lang="en-US" altLang="zh-CN" sz="1100"/>
            <a:t>                    }</a:t>
          </a:r>
        </a:p>
        <a:p>
          <a:pPr algn="l"/>
          <a:r>
            <a:rPr lang="en-US" altLang="zh-CN" sz="1100"/>
            <a:t>                ]</a:t>
          </a:r>
        </a:p>
        <a:p>
          <a:pPr algn="l"/>
          <a:r>
            <a:rPr lang="en-US" altLang="zh-CN" sz="1100"/>
            <a:t>            }</a:t>
          </a:r>
        </a:p>
        <a:p>
          <a:pPr algn="l"/>
          <a:r>
            <a:rPr lang="en-US" altLang="zh-CN" sz="1100"/>
            <a:t>        ]</a:t>
          </a:r>
        </a:p>
        <a:p>
          <a:pPr algn="l"/>
          <a:r>
            <a:rPr lang="en-US" altLang="zh-CN" sz="1100"/>
            <a:t>    }</a:t>
          </a:r>
        </a:p>
        <a:p>
          <a:pPr algn="l"/>
          <a:r>
            <a:rPr lang="en-US" altLang="zh-CN" sz="1100"/>
            <a:t>]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1</xdr:row>
      <xdr:rowOff>0</xdr:rowOff>
    </xdr:from>
    <xdr:to>
      <xdr:col>12</xdr:col>
      <xdr:colOff>152400</xdr:colOff>
      <xdr:row>69</xdr:row>
      <xdr:rowOff>161925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85ED338-E01D-4B27-A1B0-F215A5AA0FB9}"/>
            </a:ext>
          </a:extLst>
        </xdr:cNvPr>
        <xdr:cNvSpPr/>
      </xdr:nvSpPr>
      <xdr:spPr>
        <a:xfrm>
          <a:off x="10429875" y="361950"/>
          <a:ext cx="4343400" cy="1246822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[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"PlantCode": "0759",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"BulkMaterialList": [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"2201245",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"ReturnCode": "0001",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"Description": "Success"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"2201246",</a:t>
          </a: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"ReturnCode": "0002",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                "Description": "No batch found"</a:t>
          </a:r>
          <a:endParaRPr lang="zh-CN" altLang="zh-C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},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"PlantCode": "0799",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"BulkMaterialList": [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"2201245",</a:t>
          </a: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"ReturnCode": "0001",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                "Description": "Success"</a:t>
          </a:r>
          <a:endParaRPr lang="zh-CN" altLang="zh-C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{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"BulkIdh": "2201246",</a:t>
          </a: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"BulkBatchNumber": "BulkBatch1",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effectLst/>
              <a:latin typeface="+mn-lt"/>
              <a:ea typeface="+mn-ea"/>
              <a:cs typeface="+mn-cs"/>
            </a:rPr>
            <a:t>                "BulkProcessNumber":"",</a:t>
          </a:r>
          <a:endParaRPr kumimoji="0" lang="en-US" altLang="zh-C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  <a:p>
          <a:pPr eaLnBrk="1" fontAlgn="auto" latinLnBrk="0" hangingPunct="1"/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    </a:t>
          </a:r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"ReturnCode": "0001",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 baseline="0">
              <a:effectLst/>
              <a:latin typeface="+mn-lt"/>
              <a:ea typeface="+mn-ea"/>
              <a:cs typeface="+mn-cs"/>
            </a:rPr>
            <a:t>                "Description": "Success"</a:t>
          </a:r>
          <a:endParaRPr lang="zh-CN" altLang="zh-CN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    }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    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    }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等线" panose="02010600030101010101" pitchFamily="2" charset="-122"/>
              <a:cs typeface="+mn-cs"/>
            </a:rPr>
            <a:t>]</a:t>
          </a: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等线" panose="02010600030101010101" pitchFamily="2" charset="-122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70F1-018C-4A3D-A513-31E0B087CE28}">
  <dimension ref="A1:H36"/>
  <sheetViews>
    <sheetView zoomScaleNormal="100" workbookViewId="0">
      <pane ySplit="2" topLeftCell="A10" activePane="bottomLeft" state="frozen"/>
      <selection pane="bottomLeft" activeCell="B21" sqref="B21"/>
    </sheetView>
  </sheetViews>
  <sheetFormatPr defaultRowHeight="14.25" outlineLevelRow="1" x14ac:dyDescent="0.2"/>
  <cols>
    <col min="1" max="1" width="15.5" customWidth="1"/>
    <col min="2" max="2" width="26.875" customWidth="1"/>
    <col min="3" max="3" width="26.375" customWidth="1"/>
    <col min="4" max="4" width="22.5" customWidth="1"/>
    <col min="5" max="5" width="28.875" customWidth="1"/>
    <col min="6" max="6" width="34.75" customWidth="1"/>
    <col min="7" max="7" width="55" customWidth="1"/>
    <col min="8" max="8" width="34.625" customWidth="1"/>
  </cols>
  <sheetData>
    <row r="1" spans="1:8" ht="23.25" x14ac:dyDescent="0.35">
      <c r="A1" s="19" t="s">
        <v>173</v>
      </c>
      <c r="B1" s="19"/>
    </row>
    <row r="2" spans="1:8" x14ac:dyDescent="0.2">
      <c r="A2" s="5" t="s">
        <v>15</v>
      </c>
      <c r="B2" s="6" t="s">
        <v>0</v>
      </c>
      <c r="C2" s="6" t="s">
        <v>1</v>
      </c>
      <c r="D2" s="6" t="s">
        <v>2</v>
      </c>
      <c r="E2" s="7" t="s">
        <v>19</v>
      </c>
      <c r="F2" s="9" t="s">
        <v>74</v>
      </c>
      <c r="G2" s="9" t="s">
        <v>37</v>
      </c>
      <c r="H2" s="9" t="s">
        <v>24</v>
      </c>
    </row>
    <row r="3" spans="1:8" s="12" customFormat="1" ht="71.25" x14ac:dyDescent="0.2">
      <c r="A3" s="11">
        <f>ROW()-1</f>
        <v>2</v>
      </c>
      <c r="B3" s="11" t="s">
        <v>42</v>
      </c>
      <c r="C3" s="11" t="s">
        <v>87</v>
      </c>
      <c r="D3" s="11" t="s">
        <v>43</v>
      </c>
      <c r="E3" s="11"/>
      <c r="F3" s="11" t="s">
        <v>71</v>
      </c>
      <c r="G3" s="11" t="s">
        <v>80</v>
      </c>
      <c r="H3" s="11" t="s">
        <v>81</v>
      </c>
    </row>
    <row r="4" spans="1:8" ht="28.5" x14ac:dyDescent="0.2">
      <c r="A4" s="11">
        <f t="shared" ref="A4:A36" si="0">ROW()-1</f>
        <v>3</v>
      </c>
      <c r="B4" s="4" t="s">
        <v>44</v>
      </c>
      <c r="C4" s="4" t="s">
        <v>3</v>
      </c>
      <c r="D4" s="4" t="s">
        <v>4</v>
      </c>
      <c r="E4" s="4" t="s">
        <v>20</v>
      </c>
      <c r="F4" s="4"/>
      <c r="G4" s="4"/>
      <c r="H4" s="4" t="s">
        <v>25</v>
      </c>
    </row>
    <row r="5" spans="1:8" ht="42.75" x14ac:dyDescent="0.2">
      <c r="A5" s="11">
        <f t="shared" si="0"/>
        <v>4</v>
      </c>
      <c r="B5" s="4" t="s">
        <v>45</v>
      </c>
      <c r="C5" s="4" t="s">
        <v>41</v>
      </c>
      <c r="D5" s="2" t="s">
        <v>5</v>
      </c>
      <c r="E5" s="4" t="s">
        <v>20</v>
      </c>
      <c r="F5" s="4" t="s">
        <v>35</v>
      </c>
      <c r="G5" s="4" t="s">
        <v>84</v>
      </c>
      <c r="H5" s="2" t="s">
        <v>68</v>
      </c>
    </row>
    <row r="6" spans="1:8" ht="28.5" x14ac:dyDescent="0.2">
      <c r="A6" s="11">
        <f t="shared" si="0"/>
        <v>5</v>
      </c>
      <c r="B6" s="4" t="s">
        <v>46</v>
      </c>
      <c r="C6" s="4" t="s">
        <v>90</v>
      </c>
      <c r="D6" s="4" t="s">
        <v>6</v>
      </c>
      <c r="E6" s="8" t="s">
        <v>20</v>
      </c>
      <c r="F6" s="4"/>
      <c r="G6" s="4"/>
      <c r="H6" s="4" t="s">
        <v>26</v>
      </c>
    </row>
    <row r="7" spans="1:8" ht="57" x14ac:dyDescent="0.2">
      <c r="A7" s="11">
        <f t="shared" si="0"/>
        <v>6</v>
      </c>
      <c r="B7" s="4" t="s">
        <v>47</v>
      </c>
      <c r="C7" s="4" t="s">
        <v>7</v>
      </c>
      <c r="D7" s="4" t="s">
        <v>8</v>
      </c>
      <c r="E7" s="8" t="s">
        <v>20</v>
      </c>
      <c r="F7" s="4" t="s">
        <v>27</v>
      </c>
      <c r="G7" s="4" t="s">
        <v>40</v>
      </c>
      <c r="H7" s="4" t="s">
        <v>28</v>
      </c>
    </row>
    <row r="8" spans="1:8" ht="57" x14ac:dyDescent="0.2">
      <c r="A8" s="11">
        <f t="shared" si="0"/>
        <v>7</v>
      </c>
      <c r="B8" s="4" t="s">
        <v>48</v>
      </c>
      <c r="C8" s="4" t="s">
        <v>9</v>
      </c>
      <c r="D8" s="4" t="s">
        <v>10</v>
      </c>
      <c r="E8" s="8" t="s">
        <v>23</v>
      </c>
      <c r="F8" s="4" t="s">
        <v>29</v>
      </c>
      <c r="G8" s="4" t="s">
        <v>39</v>
      </c>
      <c r="H8" s="4" t="s">
        <v>30</v>
      </c>
    </row>
    <row r="9" spans="1:8" ht="28.5" x14ac:dyDescent="0.2">
      <c r="A9" s="11">
        <f t="shared" si="0"/>
        <v>8</v>
      </c>
      <c r="B9" s="4" t="s">
        <v>49</v>
      </c>
      <c r="C9" s="4" t="s">
        <v>11</v>
      </c>
      <c r="D9" s="4" t="s">
        <v>12</v>
      </c>
      <c r="E9" s="8" t="s">
        <v>23</v>
      </c>
      <c r="F9" s="4"/>
      <c r="G9" s="4"/>
      <c r="H9" s="4" t="s">
        <v>31</v>
      </c>
    </row>
    <row r="10" spans="1:8" ht="114" x14ac:dyDescent="0.2">
      <c r="A10" s="11">
        <f t="shared" si="0"/>
        <v>9</v>
      </c>
      <c r="B10" s="4" t="s">
        <v>50</v>
      </c>
      <c r="C10" s="4" t="s">
        <v>89</v>
      </c>
      <c r="D10" s="2" t="s">
        <v>13</v>
      </c>
      <c r="E10" s="4" t="s">
        <v>20</v>
      </c>
      <c r="F10" s="4" t="s">
        <v>77</v>
      </c>
      <c r="G10" s="4" t="s">
        <v>85</v>
      </c>
      <c r="H10" s="2" t="s">
        <v>36</v>
      </c>
    </row>
    <row r="11" spans="1:8" ht="57" x14ac:dyDescent="0.2">
      <c r="A11" s="11">
        <f t="shared" si="0"/>
        <v>10</v>
      </c>
      <c r="B11" s="4" t="s">
        <v>51</v>
      </c>
      <c r="C11" s="4" t="s">
        <v>16</v>
      </c>
      <c r="D11" s="4" t="s">
        <v>14</v>
      </c>
      <c r="E11" s="4" t="s">
        <v>22</v>
      </c>
      <c r="F11" s="4" t="s">
        <v>86</v>
      </c>
      <c r="G11" s="4" t="s">
        <v>88</v>
      </c>
      <c r="H11" s="4" t="s">
        <v>32</v>
      </c>
    </row>
    <row r="12" spans="1:8" ht="28.5" x14ac:dyDescent="0.2">
      <c r="A12" s="11">
        <f t="shared" si="0"/>
        <v>11</v>
      </c>
      <c r="B12" s="4" t="s">
        <v>52</v>
      </c>
      <c r="C12" s="4" t="s">
        <v>17</v>
      </c>
      <c r="D12" s="4" t="s">
        <v>18</v>
      </c>
      <c r="E12" s="4" t="s">
        <v>21</v>
      </c>
      <c r="F12" s="4"/>
      <c r="G12" s="4"/>
      <c r="H12" s="4" t="s">
        <v>33</v>
      </c>
    </row>
    <row r="13" spans="1:8" ht="28.5" x14ac:dyDescent="0.2">
      <c r="A13" s="11">
        <f t="shared" si="0"/>
        <v>12</v>
      </c>
      <c r="B13" s="4" t="s">
        <v>53</v>
      </c>
      <c r="C13" s="4" t="s">
        <v>70</v>
      </c>
      <c r="D13" s="4" t="s">
        <v>70</v>
      </c>
      <c r="E13" s="4" t="s">
        <v>21</v>
      </c>
      <c r="F13" s="4"/>
      <c r="G13" s="4"/>
      <c r="H13" s="4" t="s">
        <v>34</v>
      </c>
    </row>
    <row r="14" spans="1:8" x14ac:dyDescent="0.2">
      <c r="A14" s="11">
        <f t="shared" si="0"/>
        <v>13</v>
      </c>
      <c r="B14" s="10" t="s">
        <v>95</v>
      </c>
      <c r="C14" s="4" t="s">
        <v>156</v>
      </c>
      <c r="D14" s="4" t="s">
        <v>96</v>
      </c>
      <c r="E14" s="4"/>
      <c r="F14" s="4"/>
      <c r="G14" s="4"/>
      <c r="H14" s="4"/>
    </row>
    <row r="15" spans="1:8" ht="42.75" x14ac:dyDescent="0.2">
      <c r="A15" s="11">
        <f t="shared" si="0"/>
        <v>14</v>
      </c>
      <c r="B15" s="4" t="s">
        <v>54</v>
      </c>
      <c r="C15" s="4" t="s">
        <v>72</v>
      </c>
      <c r="D15" s="4"/>
      <c r="E15" s="4"/>
      <c r="F15" s="4"/>
      <c r="G15" s="4"/>
      <c r="H15" s="4"/>
    </row>
    <row r="16" spans="1:8" ht="42.75" outlineLevel="1" x14ac:dyDescent="0.2">
      <c r="A16" s="11">
        <f t="shared" si="0"/>
        <v>15</v>
      </c>
      <c r="B16" s="4" t="s">
        <v>47</v>
      </c>
      <c r="C16" s="8" t="s">
        <v>59</v>
      </c>
      <c r="D16" s="2" t="s">
        <v>8</v>
      </c>
      <c r="E16" s="4" t="s">
        <v>64</v>
      </c>
      <c r="F16" s="4"/>
      <c r="G16" s="4" t="s">
        <v>65</v>
      </c>
      <c r="H16" s="2"/>
    </row>
    <row r="17" spans="1:8" ht="57" outlineLevel="1" x14ac:dyDescent="0.2">
      <c r="A17" s="11">
        <f t="shared" si="0"/>
        <v>16</v>
      </c>
      <c r="B17" s="4" t="s">
        <v>46</v>
      </c>
      <c r="C17" s="4" t="s">
        <v>91</v>
      </c>
      <c r="D17" s="4"/>
      <c r="E17" s="4"/>
      <c r="F17" s="4" t="s">
        <v>78</v>
      </c>
      <c r="G17" s="4" t="s">
        <v>92</v>
      </c>
      <c r="H17" s="4"/>
    </row>
    <row r="18" spans="1:8" ht="28.5" outlineLevel="1" x14ac:dyDescent="0.2">
      <c r="A18" s="11">
        <f t="shared" si="0"/>
        <v>17</v>
      </c>
      <c r="B18" s="4" t="s">
        <v>57</v>
      </c>
      <c r="C18" s="8" t="s">
        <v>60</v>
      </c>
      <c r="D18" s="2">
        <v>10</v>
      </c>
      <c r="E18" s="4" t="s">
        <v>22</v>
      </c>
      <c r="F18" s="4" t="s">
        <v>66</v>
      </c>
      <c r="G18" s="4" t="s">
        <v>67</v>
      </c>
      <c r="H18" s="2"/>
    </row>
    <row r="19" spans="1:8" outlineLevel="1" x14ac:dyDescent="0.2">
      <c r="A19" s="11">
        <f t="shared" si="0"/>
        <v>18</v>
      </c>
      <c r="B19" s="4" t="s">
        <v>58</v>
      </c>
      <c r="C19" s="4" t="s">
        <v>75</v>
      </c>
      <c r="D19" s="4" t="s">
        <v>76</v>
      </c>
      <c r="E19" s="4"/>
      <c r="F19" s="4"/>
      <c r="G19" s="4"/>
      <c r="H19" s="4"/>
    </row>
    <row r="20" spans="1:8" outlineLevel="1" x14ac:dyDescent="0.2">
      <c r="A20" s="11">
        <f t="shared" si="0"/>
        <v>19</v>
      </c>
      <c r="B20" s="4" t="s">
        <v>82</v>
      </c>
      <c r="C20" s="4" t="s">
        <v>83</v>
      </c>
      <c r="D20" s="4"/>
      <c r="E20" s="4"/>
      <c r="F20" s="4"/>
      <c r="G20" s="4"/>
      <c r="H20" s="4"/>
    </row>
    <row r="21" spans="1:8" ht="57" x14ac:dyDescent="0.2">
      <c r="A21" s="11">
        <f t="shared" si="0"/>
        <v>20</v>
      </c>
      <c r="B21" s="10" t="s">
        <v>55</v>
      </c>
      <c r="C21" s="4" t="s">
        <v>93</v>
      </c>
      <c r="D21" s="4" t="s">
        <v>69</v>
      </c>
      <c r="E21" s="4"/>
      <c r="F21" s="4" t="s">
        <v>79</v>
      </c>
      <c r="G21" s="4" t="s">
        <v>38</v>
      </c>
      <c r="H21" s="4"/>
    </row>
    <row r="22" spans="1:8" ht="85.5" x14ac:dyDescent="0.2">
      <c r="A22" s="11">
        <f t="shared" si="0"/>
        <v>21</v>
      </c>
      <c r="B22" s="4" t="s">
        <v>56</v>
      </c>
      <c r="C22" s="4" t="s">
        <v>63</v>
      </c>
      <c r="D22" s="4" t="s">
        <v>69</v>
      </c>
      <c r="E22" s="4" t="s">
        <v>22</v>
      </c>
      <c r="F22" s="4" t="s">
        <v>61</v>
      </c>
      <c r="G22" s="4" t="s">
        <v>62</v>
      </c>
      <c r="H22" s="4"/>
    </row>
    <row r="23" spans="1:8" ht="28.5" x14ac:dyDescent="0.2">
      <c r="A23" s="11">
        <f t="shared" si="0"/>
        <v>22</v>
      </c>
      <c r="B23" s="4" t="s">
        <v>112</v>
      </c>
      <c r="C23" s="4" t="s">
        <v>94</v>
      </c>
      <c r="D23" s="4"/>
      <c r="E23" s="4"/>
      <c r="F23" s="4" t="s">
        <v>73</v>
      </c>
      <c r="G23" s="4" t="s">
        <v>154</v>
      </c>
      <c r="H23" s="4"/>
    </row>
    <row r="24" spans="1:8" x14ac:dyDescent="0.2">
      <c r="A24" s="11">
        <f t="shared" si="0"/>
        <v>23</v>
      </c>
      <c r="B24" s="10" t="s">
        <v>97</v>
      </c>
      <c r="C24" s="13"/>
      <c r="D24" s="13"/>
      <c r="E24" s="13"/>
      <c r="F24" s="13"/>
      <c r="G24" s="13"/>
      <c r="H24" s="13"/>
    </row>
    <row r="25" spans="1:8" ht="28.5" outlineLevel="1" x14ac:dyDescent="0.2">
      <c r="A25" s="11">
        <f t="shared" si="0"/>
        <v>24</v>
      </c>
      <c r="B25" s="14" t="s">
        <v>157</v>
      </c>
      <c r="C25" s="10" t="s">
        <v>159</v>
      </c>
      <c r="D25" s="14">
        <v>10</v>
      </c>
      <c r="E25" s="14" t="s">
        <v>113</v>
      </c>
      <c r="F25" s="10" t="s">
        <v>169</v>
      </c>
      <c r="G25" s="13"/>
      <c r="H25" s="13" t="s">
        <v>170</v>
      </c>
    </row>
    <row r="26" spans="1:8" ht="28.5" outlineLevel="1" x14ac:dyDescent="0.2">
      <c r="A26" s="11">
        <f t="shared" si="0"/>
        <v>25</v>
      </c>
      <c r="B26" s="14" t="s">
        <v>98</v>
      </c>
      <c r="C26" s="10" t="s">
        <v>158</v>
      </c>
      <c r="D26" s="14"/>
      <c r="E26" s="10" t="s">
        <v>114</v>
      </c>
      <c r="F26" s="10" t="s">
        <v>169</v>
      </c>
      <c r="G26" s="13"/>
      <c r="H26" s="13" t="s">
        <v>171</v>
      </c>
    </row>
    <row r="27" spans="1:8" ht="28.5" outlineLevel="1" x14ac:dyDescent="0.2">
      <c r="A27" s="11">
        <f t="shared" si="0"/>
        <v>26</v>
      </c>
      <c r="B27" s="14" t="s">
        <v>99</v>
      </c>
      <c r="C27" s="10" t="s">
        <v>160</v>
      </c>
      <c r="D27" s="14"/>
      <c r="E27" s="10" t="s">
        <v>115</v>
      </c>
      <c r="F27" s="10" t="s">
        <v>169</v>
      </c>
      <c r="G27" s="13"/>
      <c r="H27" s="13" t="s">
        <v>172</v>
      </c>
    </row>
    <row r="28" spans="1:8" outlineLevel="1" x14ac:dyDescent="0.2">
      <c r="A28" s="11">
        <f t="shared" si="0"/>
        <v>27</v>
      </c>
      <c r="B28" s="13" t="s">
        <v>100</v>
      </c>
      <c r="C28" s="13" t="s">
        <v>123</v>
      </c>
      <c r="D28" s="13"/>
      <c r="E28" s="4" t="s">
        <v>116</v>
      </c>
      <c r="F28" s="13"/>
      <c r="G28" s="13"/>
      <c r="H28" s="13" t="s">
        <v>133</v>
      </c>
    </row>
    <row r="29" spans="1:8" outlineLevel="1" x14ac:dyDescent="0.2">
      <c r="A29" s="11">
        <f t="shared" si="0"/>
        <v>28</v>
      </c>
      <c r="B29" s="14" t="s">
        <v>101</v>
      </c>
      <c r="C29" s="10" t="s">
        <v>162</v>
      </c>
      <c r="D29" s="14"/>
      <c r="E29" s="10" t="s">
        <v>117</v>
      </c>
      <c r="F29" s="14" t="s">
        <v>161</v>
      </c>
      <c r="G29" s="13"/>
      <c r="H29" s="13" t="s">
        <v>134</v>
      </c>
    </row>
    <row r="30" spans="1:8" outlineLevel="1" x14ac:dyDescent="0.2">
      <c r="A30" s="11">
        <f t="shared" si="0"/>
        <v>29</v>
      </c>
      <c r="B30" s="14" t="s">
        <v>102</v>
      </c>
      <c r="C30" s="14" t="s">
        <v>163</v>
      </c>
      <c r="D30" s="14"/>
      <c r="E30" s="10" t="s">
        <v>118</v>
      </c>
      <c r="F30" s="14" t="s">
        <v>151</v>
      </c>
      <c r="G30" s="13"/>
      <c r="H30" s="13" t="s">
        <v>132</v>
      </c>
    </row>
    <row r="31" spans="1:8" outlineLevel="1" x14ac:dyDescent="0.2">
      <c r="A31" s="11">
        <f t="shared" si="0"/>
        <v>30</v>
      </c>
      <c r="B31" s="14" t="s">
        <v>103</v>
      </c>
      <c r="C31" s="14" t="s">
        <v>164</v>
      </c>
      <c r="D31" s="14"/>
      <c r="E31" s="10" t="s">
        <v>119</v>
      </c>
      <c r="F31" s="14" t="s">
        <v>150</v>
      </c>
      <c r="G31" s="13"/>
      <c r="H31" s="13" t="s">
        <v>131</v>
      </c>
    </row>
    <row r="32" spans="1:8" outlineLevel="1" x14ac:dyDescent="0.2">
      <c r="A32" s="11">
        <f t="shared" si="0"/>
        <v>31</v>
      </c>
      <c r="B32" s="13" t="s">
        <v>104</v>
      </c>
      <c r="C32" s="13" t="s">
        <v>124</v>
      </c>
      <c r="D32" s="13"/>
      <c r="E32" s="4" t="s">
        <v>120</v>
      </c>
      <c r="F32" s="13"/>
      <c r="G32" s="13"/>
      <c r="H32" s="13" t="s">
        <v>125</v>
      </c>
    </row>
    <row r="33" spans="1:8" outlineLevel="1" x14ac:dyDescent="0.2">
      <c r="A33" s="11">
        <f t="shared" si="0"/>
        <v>32</v>
      </c>
      <c r="B33" s="13" t="s">
        <v>105</v>
      </c>
      <c r="C33" s="13" t="s">
        <v>75</v>
      </c>
      <c r="D33" s="13"/>
      <c r="E33" s="4" t="s">
        <v>121</v>
      </c>
      <c r="F33" s="13"/>
      <c r="G33" s="13"/>
      <c r="H33" s="13" t="s">
        <v>126</v>
      </c>
    </row>
    <row r="34" spans="1:8" ht="57" outlineLevel="1" x14ac:dyDescent="0.2">
      <c r="A34" s="11">
        <f t="shared" si="0"/>
        <v>33</v>
      </c>
      <c r="B34" s="14" t="s">
        <v>106</v>
      </c>
      <c r="C34" s="14" t="s">
        <v>166</v>
      </c>
      <c r="D34" s="14"/>
      <c r="E34" s="10" t="s">
        <v>122</v>
      </c>
      <c r="F34" s="15" t="s">
        <v>152</v>
      </c>
      <c r="G34" s="13"/>
      <c r="H34" s="13" t="s">
        <v>129</v>
      </c>
    </row>
    <row r="35" spans="1:8" ht="57" outlineLevel="1" x14ac:dyDescent="0.2">
      <c r="A35" s="11">
        <f t="shared" si="0"/>
        <v>34</v>
      </c>
      <c r="B35" s="14" t="s">
        <v>107</v>
      </c>
      <c r="C35" s="14" t="s">
        <v>167</v>
      </c>
      <c r="D35" s="14"/>
      <c r="E35" s="15" t="s">
        <v>127</v>
      </c>
      <c r="F35" s="15" t="s">
        <v>153</v>
      </c>
      <c r="G35" s="13"/>
      <c r="H35" s="13" t="s">
        <v>130</v>
      </c>
    </row>
    <row r="36" spans="1:8" outlineLevel="1" x14ac:dyDescent="0.2">
      <c r="A36" s="11">
        <f t="shared" si="0"/>
        <v>35</v>
      </c>
      <c r="B36" s="13" t="s">
        <v>108</v>
      </c>
      <c r="C36" s="13" t="s">
        <v>128</v>
      </c>
      <c r="D36" s="13"/>
      <c r="E36" s="8" t="s">
        <v>165</v>
      </c>
      <c r="F36" s="13"/>
      <c r="G36" s="13"/>
      <c r="H36" s="13" t="s">
        <v>135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7750-0CCE-42A4-9FD9-8EE84D862AFA}">
  <dimension ref="A1:E3"/>
  <sheetViews>
    <sheetView workbookViewId="0">
      <selection activeCell="C2" sqref="C2"/>
    </sheetView>
  </sheetViews>
  <sheetFormatPr defaultRowHeight="14.25" x14ac:dyDescent="0.2"/>
  <cols>
    <col min="2" max="2" width="12.125" customWidth="1"/>
    <col min="3" max="3" width="53.875" customWidth="1"/>
    <col min="4" max="4" width="13.5" customWidth="1"/>
    <col min="5" max="5" width="14.75" customWidth="1"/>
  </cols>
  <sheetData>
    <row r="1" spans="1:5" x14ac:dyDescent="0.2">
      <c r="A1" s="3" t="s">
        <v>15</v>
      </c>
      <c r="B1" s="6" t="s">
        <v>0</v>
      </c>
      <c r="C1" s="6" t="s">
        <v>1</v>
      </c>
      <c r="D1" s="1" t="s">
        <v>2</v>
      </c>
      <c r="E1" s="1" t="s">
        <v>19</v>
      </c>
    </row>
    <row r="2" spans="1:5" ht="42.75" x14ac:dyDescent="0.2">
      <c r="A2" s="2">
        <v>1</v>
      </c>
      <c r="B2" s="4" t="s">
        <v>109</v>
      </c>
      <c r="C2" s="4" t="s">
        <v>111</v>
      </c>
      <c r="D2" s="2"/>
      <c r="E2" s="4"/>
    </row>
    <row r="3" spans="1:5" x14ac:dyDescent="0.2">
      <c r="A3" s="2">
        <v>2</v>
      </c>
      <c r="B3" s="4" t="s">
        <v>110</v>
      </c>
      <c r="C3" s="4"/>
      <c r="D3" s="2"/>
      <c r="E3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BAB3-5505-4D42-A976-A347F9958E55}">
  <dimension ref="A1:H10"/>
  <sheetViews>
    <sheetView tabSelected="1" workbookViewId="0">
      <selection activeCell="F6" sqref="F6"/>
    </sheetView>
  </sheetViews>
  <sheetFormatPr defaultRowHeight="14.25" outlineLevelRow="2" x14ac:dyDescent="0.2"/>
  <cols>
    <col min="2" max="2" width="17.25" customWidth="1"/>
    <col min="3" max="3" width="21.125" customWidth="1"/>
    <col min="4" max="4" width="20.875" customWidth="1"/>
    <col min="5" max="5" width="13.375" customWidth="1"/>
    <col min="6" max="6" width="45.375" customWidth="1"/>
    <col min="7" max="7" width="23.875" customWidth="1"/>
    <col min="8" max="8" width="28.5" customWidth="1"/>
  </cols>
  <sheetData>
    <row r="1" spans="1:8" ht="23.25" x14ac:dyDescent="0.35">
      <c r="A1" s="18" t="s">
        <v>174</v>
      </c>
      <c r="B1" s="18"/>
    </row>
    <row r="2" spans="1:8" x14ac:dyDescent="0.2">
      <c r="A2" s="5" t="s">
        <v>15</v>
      </c>
      <c r="B2" s="6" t="s">
        <v>0</v>
      </c>
      <c r="C2" s="6" t="s">
        <v>1</v>
      </c>
      <c r="D2" s="6" t="s">
        <v>2</v>
      </c>
      <c r="E2" s="7" t="s">
        <v>19</v>
      </c>
      <c r="F2" s="9" t="s">
        <v>74</v>
      </c>
      <c r="G2" s="9" t="s">
        <v>37</v>
      </c>
      <c r="H2" s="9" t="s">
        <v>24</v>
      </c>
    </row>
    <row r="3" spans="1:8" x14ac:dyDescent="0.2">
      <c r="A3" s="11">
        <f>ROW()-1</f>
        <v>2</v>
      </c>
      <c r="B3" s="11" t="s">
        <v>136</v>
      </c>
      <c r="C3" s="11" t="s">
        <v>137</v>
      </c>
      <c r="D3" s="16" t="s">
        <v>143</v>
      </c>
      <c r="E3" s="11"/>
      <c r="F3" s="11"/>
      <c r="G3" s="11"/>
      <c r="H3" s="11"/>
    </row>
    <row r="4" spans="1:8" x14ac:dyDescent="0.2">
      <c r="A4" s="11">
        <f t="shared" ref="A4:A10" si="0">ROW()-1</f>
        <v>3</v>
      </c>
      <c r="B4" s="13" t="s">
        <v>138</v>
      </c>
      <c r="C4" s="13"/>
      <c r="D4" s="13"/>
      <c r="E4" s="13"/>
      <c r="F4" s="13"/>
      <c r="G4" s="13"/>
      <c r="H4" s="13"/>
    </row>
    <row r="5" spans="1:8" outlineLevel="1" x14ac:dyDescent="0.2">
      <c r="A5" s="11">
        <f t="shared" si="0"/>
        <v>4</v>
      </c>
      <c r="B5" s="13" t="s">
        <v>139</v>
      </c>
      <c r="C5" s="13" t="s">
        <v>175</v>
      </c>
      <c r="D5" s="17">
        <v>2201245</v>
      </c>
      <c r="E5" s="13"/>
      <c r="F5" s="13"/>
      <c r="G5" s="13"/>
      <c r="H5" s="13" t="s">
        <v>146</v>
      </c>
    </row>
    <row r="6" spans="1:8" ht="128.25" outlineLevel="1" x14ac:dyDescent="0.2">
      <c r="A6" s="11">
        <f t="shared" si="0"/>
        <v>5</v>
      </c>
      <c r="B6" s="13" t="s">
        <v>140</v>
      </c>
      <c r="C6" s="13" t="s">
        <v>176</v>
      </c>
      <c r="D6" s="13" t="s">
        <v>144</v>
      </c>
      <c r="E6" s="13"/>
      <c r="F6" s="15" t="s">
        <v>179</v>
      </c>
      <c r="G6" s="8"/>
      <c r="H6" s="13" t="s">
        <v>26</v>
      </c>
    </row>
    <row r="7" spans="1:8" outlineLevel="1" x14ac:dyDescent="0.2">
      <c r="A7" s="11"/>
      <c r="B7" s="13" t="s">
        <v>177</v>
      </c>
      <c r="C7" s="13" t="s">
        <v>178</v>
      </c>
      <c r="D7" s="13"/>
      <c r="E7" s="13"/>
      <c r="F7" s="13"/>
      <c r="G7" s="8"/>
      <c r="H7" s="13" t="s">
        <v>181</v>
      </c>
    </row>
    <row r="8" spans="1:8" outlineLevel="1" x14ac:dyDescent="0.2">
      <c r="A8" s="11">
        <f t="shared" si="0"/>
        <v>7</v>
      </c>
      <c r="B8" s="13" t="s">
        <v>141</v>
      </c>
      <c r="C8" s="13"/>
      <c r="D8" s="13"/>
      <c r="E8" s="13"/>
      <c r="F8" s="13"/>
      <c r="G8" s="13"/>
      <c r="H8" s="13"/>
    </row>
    <row r="9" spans="1:8" outlineLevel="2" x14ac:dyDescent="0.2">
      <c r="A9" s="11">
        <f t="shared" si="0"/>
        <v>8</v>
      </c>
      <c r="B9" s="13" t="s">
        <v>145</v>
      </c>
      <c r="C9" s="13" t="s">
        <v>145</v>
      </c>
      <c r="D9" s="17">
        <v>210123</v>
      </c>
      <c r="E9" s="13"/>
      <c r="F9" s="13"/>
      <c r="G9" s="13"/>
      <c r="H9" s="13" t="s">
        <v>155</v>
      </c>
    </row>
    <row r="10" spans="1:8" outlineLevel="2" x14ac:dyDescent="0.2">
      <c r="A10" s="11">
        <f t="shared" si="0"/>
        <v>9</v>
      </c>
      <c r="B10" s="13" t="s">
        <v>142</v>
      </c>
      <c r="C10" s="13" t="s">
        <v>142</v>
      </c>
      <c r="D10" s="13" t="s">
        <v>148</v>
      </c>
      <c r="E10" s="13"/>
      <c r="F10" s="13"/>
      <c r="G10" s="13"/>
      <c r="H10" s="13" t="s">
        <v>147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8E09-3830-4B36-805D-36EB352686C5}">
  <dimension ref="A1:E8"/>
  <sheetViews>
    <sheetView workbookViewId="0">
      <selection activeCell="C28" sqref="C28"/>
    </sheetView>
  </sheetViews>
  <sheetFormatPr defaultRowHeight="14.25" x14ac:dyDescent="0.2"/>
  <cols>
    <col min="2" max="2" width="22" customWidth="1"/>
    <col min="3" max="3" width="42.375" customWidth="1"/>
    <col min="4" max="4" width="17.25" customWidth="1"/>
    <col min="5" max="5" width="14.875" customWidth="1"/>
  </cols>
  <sheetData>
    <row r="1" spans="1:5" x14ac:dyDescent="0.2">
      <c r="A1" s="5" t="s">
        <v>15</v>
      </c>
      <c r="B1" s="6" t="s">
        <v>0</v>
      </c>
      <c r="C1" s="6" t="s">
        <v>1</v>
      </c>
      <c r="D1" s="6" t="s">
        <v>2</v>
      </c>
      <c r="E1" s="7" t="s">
        <v>19</v>
      </c>
    </row>
    <row r="2" spans="1:5" x14ac:dyDescent="0.2">
      <c r="A2" s="11">
        <f>ROW()-1</f>
        <v>1</v>
      </c>
      <c r="B2" s="11" t="s">
        <v>136</v>
      </c>
      <c r="C2" s="11" t="s">
        <v>137</v>
      </c>
      <c r="D2" s="16" t="s">
        <v>143</v>
      </c>
      <c r="E2" s="11"/>
    </row>
    <row r="3" spans="1:5" x14ac:dyDescent="0.2">
      <c r="A3" s="11">
        <f t="shared" ref="A3:A8" si="0">ROW()-1</f>
        <v>2</v>
      </c>
      <c r="B3" s="11" t="s">
        <v>138</v>
      </c>
      <c r="C3" s="11"/>
      <c r="D3" s="11"/>
      <c r="E3" s="11"/>
    </row>
    <row r="4" spans="1:5" x14ac:dyDescent="0.2">
      <c r="A4" s="11">
        <f t="shared" si="0"/>
        <v>3</v>
      </c>
      <c r="B4" s="11" t="s">
        <v>139</v>
      </c>
      <c r="C4" s="11" t="s">
        <v>149</v>
      </c>
      <c r="D4" s="11">
        <v>2201245</v>
      </c>
      <c r="E4" s="11"/>
    </row>
    <row r="5" spans="1:5" x14ac:dyDescent="0.2">
      <c r="A5" s="11">
        <f t="shared" si="0"/>
        <v>4</v>
      </c>
      <c r="B5" s="11" t="s">
        <v>140</v>
      </c>
      <c r="C5" s="11" t="s">
        <v>180</v>
      </c>
      <c r="D5" s="11" t="s">
        <v>144</v>
      </c>
      <c r="E5" s="11"/>
    </row>
    <row r="6" spans="1:5" x14ac:dyDescent="0.2">
      <c r="A6" s="11"/>
      <c r="B6" s="13" t="s">
        <v>177</v>
      </c>
      <c r="C6" s="13" t="s">
        <v>178</v>
      </c>
      <c r="D6" s="11"/>
      <c r="E6" s="11"/>
    </row>
    <row r="7" spans="1:5" ht="28.5" x14ac:dyDescent="0.2">
      <c r="A7" s="11">
        <f t="shared" si="0"/>
        <v>6</v>
      </c>
      <c r="B7" s="4" t="s">
        <v>109</v>
      </c>
      <c r="C7" s="4" t="s">
        <v>168</v>
      </c>
      <c r="D7" s="2"/>
      <c r="E7" s="4"/>
    </row>
    <row r="8" spans="1:5" x14ac:dyDescent="0.2">
      <c r="A8" s="11">
        <f t="shared" si="0"/>
        <v>7</v>
      </c>
      <c r="B8" s="4" t="s">
        <v>110</v>
      </c>
      <c r="C8" s="4"/>
      <c r="D8" s="2"/>
      <c r="E8" s="4"/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5bd5ffd0d7f68b13ec4f6f677be58787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7510b1d9a5ba5c9f55a6b194411e8c2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1F68E39A-BB14-4B78-A49A-730E38E0B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156ce-c20c-4333-9016-100ff8d3ce5f"/>
    <ds:schemaRef ds:uri="e3de43da-a351-43e5-b7a1-980afc0d1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B2B29C-DE68-468F-965A-3445EE185A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829CF5-A268-466A-B0CD-C10D9E84DC0C}">
  <ds:schemaRefs>
    <ds:schemaRef ds:uri="http://www.w3.org/XML/1998/namespace"/>
    <ds:schemaRef ds:uri="http://schemas.microsoft.com/office/2006/documentManagement/types"/>
    <ds:schemaRef ds:uri="e2268171-8ec2-40f3-86e1-084424f8f9a7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4e59696-92ca-4b63-bdfd-73e42dec215f"/>
    <ds:schemaRef ds:uri="http://schemas.microsoft.com/office/2006/metadata/properties"/>
    <ds:schemaRef ds:uri="http://purl.org/dc/elements/1.1/"/>
    <ds:schemaRef ds:uri="afd156ce-c20c-4333-9016-100ff8d3ce5f"/>
    <ds:schemaRef ds:uri="e3de43da-a351-43e5-b7a1-980afc0d19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JIT&amp;IPQC Request</vt:lpstr>
      <vt:lpstr>JIT&amp;IPQC Response new</vt:lpstr>
      <vt:lpstr>BULK-FG Request</vt:lpstr>
      <vt:lpstr>BULK-FG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Awanti</dc:creator>
  <cp:lastModifiedBy>Zhang, Zhenjuan</cp:lastModifiedBy>
  <dcterms:created xsi:type="dcterms:W3CDTF">2025-05-28T16:52:39Z</dcterms:created>
  <dcterms:modified xsi:type="dcterms:W3CDTF">2025-10-21T09:55:07Z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