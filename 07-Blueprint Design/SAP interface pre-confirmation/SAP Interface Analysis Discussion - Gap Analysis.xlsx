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07-Blueprint Design/SAP interface pre-confirmation/"/>
    </mc:Choice>
  </mc:AlternateContent>
  <xr:revisionPtr revIDLastSave="223" documentId="13_ncr:1_{2CDEB970-AE11-4E0C-B532-BDAA137A2AA5}" xr6:coauthVersionLast="47" xr6:coauthVersionMax="47" xr10:uidLastSave="{38645F3D-816F-4F6F-B5E4-300398FFF15E}"/>
  <bookViews>
    <workbookView minimized="1" xWindow="36345" yWindow="4530" windowWidth="21600" windowHeight="11295" activeTab="1" xr2:uid="{00000000-000D-0000-FFFF-FFFF00000000}"/>
  </bookViews>
  <sheets>
    <sheet name="Analysis" sheetId="6" r:id="rId1"/>
    <sheet name="To customer" sheetId="7" r:id="rId2"/>
    <sheet name="Sheet2" sheetId="8" r:id="rId3"/>
    <sheet name="Sheet1" sheetId="4" r:id="rId4"/>
    <sheet name="SMIDI Discussion_0725"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7" l="1"/>
  <c r="A3" i="7"/>
  <c r="A4" i="7"/>
  <c r="A5" i="7"/>
  <c r="A6" i="7"/>
  <c r="A7" i="7"/>
  <c r="A8" i="7"/>
  <c r="A9" i="7"/>
  <c r="A10" i="7"/>
  <c r="G11" i="7"/>
  <c r="F12" i="4"/>
  <c r="A11" i="4"/>
  <c r="A10" i="4"/>
  <c r="A9" i="4"/>
  <c r="A8" i="4"/>
  <c r="A7" i="4"/>
  <c r="A6" i="4"/>
  <c r="A5" i="4"/>
  <c r="A4" i="4"/>
  <c r="A3" i="4"/>
  <c r="A2" i="4"/>
</calcChain>
</file>

<file path=xl/sharedStrings.xml><?xml version="1.0" encoding="utf-8"?>
<sst xmlns="http://schemas.openxmlformats.org/spreadsheetml/2006/main" count="168" uniqueCount="117">
  <si>
    <t>No.</t>
    <phoneticPr fontId="2" type="noConversion"/>
  </si>
  <si>
    <t>Henkel requirements</t>
    <phoneticPr fontId="2" type="noConversion"/>
  </si>
  <si>
    <t>Importance</t>
    <phoneticPr fontId="2" type="noConversion"/>
  </si>
  <si>
    <t xml:space="preserve">Can SMIDI be done	</t>
    <phoneticPr fontId="2" type="noConversion"/>
  </si>
  <si>
    <t>SMIDI + Customisation - Days of Work Evaluation</t>
    <phoneticPr fontId="2" type="noConversion"/>
  </si>
  <si>
    <t>Customisation- Days of Work Evaluation</t>
    <phoneticPr fontId="2" type="noConversion"/>
  </si>
  <si>
    <t>Commends</t>
    <phoneticPr fontId="2" type="noConversion"/>
  </si>
  <si>
    <r>
      <t>System shall support download inspection lot from SAP to QCLAD.
1）</t>
    </r>
    <r>
      <rPr>
        <sz val="11"/>
        <color rgb="FFFF0000"/>
        <rFont val="等线 Light"/>
        <family val="3"/>
        <charset val="134"/>
        <scheme val="major"/>
      </rPr>
      <t>Create a sample in QCLAD based on the downloaded Inspection Lot, or change an existing sample (JIT process).</t>
    </r>
    <r>
      <rPr>
        <sz val="11"/>
        <rFont val="等线 Light"/>
        <family val="1"/>
        <scheme val="major"/>
      </rPr>
      <t xml:space="preserve">
2）If the inspection lot in SAP also has multiple activities, then QCLAD needs to create multiple samples.
3）</t>
    </r>
    <r>
      <rPr>
        <sz val="11"/>
        <color rgb="FFFF0000"/>
        <rFont val="等线 Light"/>
        <family val="3"/>
        <charset val="134"/>
        <scheme val="major"/>
      </rPr>
      <t>When downloading the Inspection lot, if the lot already has some results in SAP, you need to download the results that already exist in SAP together to QCLAD and store them in the Result table, Same as article 10.</t>
    </r>
    <r>
      <rPr>
        <sz val="11"/>
        <rFont val="等线 Light"/>
        <family val="1"/>
        <scheme val="major"/>
      </rPr>
      <t xml:space="preserve">
4）The test item in lot has a field for whether or not to skip the batch (dynamic message), and whether the SMIDI standard function can be written directly to the test table.</t>
    </r>
    <phoneticPr fontId="2" type="noConversion"/>
  </si>
  <si>
    <t>high</t>
  </si>
  <si>
    <t xml:space="preserve">	
1) Yes，Pending confirmation by Vinoth，send result back need result confirmation number which comes from SAP.
2)  YES
3)  No，confirmed by Vinoth
4)  YES</t>
    <phoneticPr fontId="2" type="noConversion"/>
  </si>
  <si>
    <r>
      <t>SMIDI Total: 30+（</t>
    </r>
    <r>
      <rPr>
        <sz val="11"/>
        <color rgb="FFFF0000"/>
        <rFont val="等线"/>
        <family val="3"/>
        <charset val="134"/>
        <scheme val="minor"/>
      </rPr>
      <t>TBD</t>
    </r>
    <r>
      <rPr>
        <sz val="11"/>
        <color theme="1"/>
        <rFont val="等线"/>
        <family val="2"/>
        <scheme val="minor"/>
      </rPr>
      <t>）</t>
    </r>
    <phoneticPr fontId="2" type="noConversion"/>
  </si>
  <si>
    <r>
      <t xml:space="preserve">System shall support download Batch information from SAP to QCLAD.
</t>
    </r>
    <r>
      <rPr>
        <sz val="11"/>
        <color rgb="FFFF0000"/>
        <rFont val="等线 Light"/>
        <family val="3"/>
        <charset val="134"/>
        <scheme val="major"/>
      </rPr>
      <t>Batch information is a separate entity that needs to be downloaded to the Batch table in QCLAD.</t>
    </r>
    <r>
      <rPr>
        <sz val="11"/>
        <rFont val="等线 Light"/>
        <family val="3"/>
        <charset val="134"/>
        <scheme val="major"/>
      </rPr>
      <t xml:space="preserve">
solution 1:Batch information is a separate entity that needs to be downloaded to the Batch table in QCLAD.
solution 2:Add fields from Batch information to QAIVC table，Pending confirmation by Henkel.</t>
    </r>
    <phoneticPr fontId="2" type="noConversion"/>
  </si>
  <si>
    <t>middle</t>
  </si>
  <si>
    <t>No,consider solution 2
smidi cannot get info from seperate table</t>
    <phoneticPr fontId="2" type="noConversion"/>
  </si>
  <si>
    <t xml:space="preserve">solution 1:Batch information is a separate entity that needs to be downloaded to the Batch table in QCLAD. -- 4days
solution 2-SMIDI：Add fields from Batch information to QAIVC table,Write directly to the sample table，Pending confirmation by Henkel,--  0days
solution 3-Cus：Put the Batch field into the JSON string downloaded by lot and write it directly to the sample table；-- 0days
</t>
    <phoneticPr fontId="2" type="noConversion"/>
  </si>
  <si>
    <r>
      <t xml:space="preserve">System shall support download Inspection Plan from SAP to QCLAD. </t>
    </r>
    <r>
      <rPr>
        <sz val="11"/>
        <color rgb="FFFF0000"/>
        <rFont val="等线 Light"/>
        <family val="3"/>
        <charset val="134"/>
        <scheme val="major"/>
      </rPr>
      <t>Needs to be synchronised and updated in real time.</t>
    </r>
    <phoneticPr fontId="2" type="noConversion"/>
  </si>
  <si>
    <t>No，customer want to sync in real time, but In SMIDI is impossible.</t>
    <phoneticPr fontId="2" type="noConversion"/>
  </si>
  <si>
    <r>
      <t xml:space="preserve">The system shall support the downloading of Inspection plans from SAP to QCLAD whose Inspection Plan contains the MIC. </t>
    </r>
    <r>
      <rPr>
        <sz val="11"/>
        <color rgb="FFFF0000"/>
        <rFont val="等线 Light"/>
        <family val="3"/>
        <charset val="134"/>
        <scheme val="major"/>
      </rPr>
      <t>Needs to be synchronised and updated in real time.</t>
    </r>
    <phoneticPr fontId="2" type="noConversion"/>
  </si>
  <si>
    <r>
      <t xml:space="preserve">The system shall support the downloading of Inspection plans from SAP to QCLAD whose Inspection Plan contains the specification. </t>
    </r>
    <r>
      <rPr>
        <sz val="11"/>
        <color rgb="FFFF0000"/>
        <rFont val="等线 Light"/>
        <family val="3"/>
        <charset val="134"/>
        <scheme val="major"/>
      </rPr>
      <t>Needs to be synchronised and updated in real time.</t>
    </r>
    <phoneticPr fontId="2" type="noConversion"/>
  </si>
  <si>
    <r>
      <t xml:space="preserve">The system shall support the downloading of Inspection plans from SAP to QCLAD whose Inspection Plan contains the Material master data. </t>
    </r>
    <r>
      <rPr>
        <sz val="11"/>
        <color rgb="FFFF0000"/>
        <rFont val="等线 Light"/>
        <family val="3"/>
        <charset val="134"/>
        <scheme val="major"/>
      </rPr>
      <t>Needs to be synchronised and updated in real time.</t>
    </r>
    <phoneticPr fontId="2" type="noConversion"/>
  </si>
  <si>
    <t>System shall support download Plant from SAP to QCLAD. 
Plant is a separate entity that needs to be downloaded to the Plant table in QCLAD.</t>
    <phoneticPr fontId="2" type="noConversion"/>
  </si>
  <si>
    <t>No
smidi cannot get info from seperate table</t>
    <phoneticPr fontId="2" type="noConversion"/>
  </si>
  <si>
    <t>System shall support download QM notification from SAP to QCLAD. 
QM notification is a separate entity that needs to be downloaded to the QM notification table in QCLAD.</t>
    <phoneticPr fontId="2" type="noConversion"/>
  </si>
  <si>
    <r>
      <t>System shall support to upload result value from QCLAD to SAP.
1）</t>
    </r>
    <r>
      <rPr>
        <sz val="11"/>
        <color rgb="FFFF0000"/>
        <rFont val="等线 Light"/>
        <family val="3"/>
        <charset val="134"/>
        <scheme val="major"/>
      </rPr>
      <t xml:space="preserve">When there is a Retest operation done, the result of the last Retest needs to be returned to SAP.
</t>
    </r>
    <r>
      <rPr>
        <sz val="11"/>
        <rFont val="等线 Light"/>
        <family val="3"/>
        <charset val="134"/>
        <scheme val="major"/>
      </rPr>
      <t>2）</t>
    </r>
    <r>
      <rPr>
        <sz val="11"/>
        <color rgb="FFFF0000"/>
        <rFont val="等线 Light"/>
        <family val="3"/>
        <charset val="134"/>
        <scheme val="major"/>
      </rPr>
      <t xml:space="preserve">once the LIMS post result back to SAP，SAP MIC status should be auto rejected or accepted? </t>
    </r>
    <r>
      <rPr>
        <sz val="11"/>
        <rFont val="等线 Light"/>
        <family val="3"/>
        <charset val="134"/>
        <scheme val="major"/>
      </rPr>
      <t xml:space="preserve">
3）</t>
    </r>
    <r>
      <rPr>
        <sz val="11"/>
        <color rgb="FFFF0000"/>
        <rFont val="等线 Light"/>
        <family val="3"/>
        <charset val="134"/>
        <scheme val="major"/>
      </rPr>
      <t>system shall support post all the samples result back to SAP, including the resampled sample.
4）related to item 1, whether Smidi can configure that, once inspection lot is downloaded mapped with an existing sample in LIMS; if that sample is authorized with result, then Smidi can also trigger the result pushing to SAP?
(JIT process)</t>
    </r>
    <phoneticPr fontId="2" type="noConversion"/>
  </si>
  <si>
    <t>1)  No, read these results is impossible. 
Only the first one	Only the first test result can be send back.
2)  Yes，configure in SAP
3）No，confirmation by Vinoth
4）pending，Pending confirmation by Vinoth of EOD</t>
    <phoneticPr fontId="2" type="noConversion"/>
  </si>
  <si>
    <r>
      <t xml:space="preserve">System shall support to upload result value from SAP to QCLAD.
</t>
    </r>
    <r>
      <rPr>
        <sz val="11"/>
        <color rgb="FFFF0000"/>
        <rFont val="等线 Light"/>
        <family val="3"/>
        <charset val="134"/>
        <scheme val="major"/>
      </rPr>
      <t>When downloading the Inspection lot, download the results that already exist in SAP to QCLAD as well</t>
    </r>
    <r>
      <rPr>
        <sz val="11"/>
        <rFont val="等线 Light"/>
        <family val="3"/>
        <charset val="134"/>
        <scheme val="major"/>
      </rPr>
      <t>.</t>
    </r>
    <phoneticPr fontId="2" type="noConversion"/>
  </si>
  <si>
    <t>No，confirmation by Vinoth</t>
  </si>
  <si>
    <t>SOW:28days</t>
    <phoneticPr fontId="2" type="noConversion"/>
  </si>
  <si>
    <r>
      <t>SMIDI:30(</t>
    </r>
    <r>
      <rPr>
        <b/>
        <sz val="12"/>
        <color rgb="FFFF0000"/>
        <rFont val="等线"/>
        <family val="3"/>
        <charset val="134"/>
        <scheme val="minor"/>
      </rPr>
      <t>TBD</t>
    </r>
    <r>
      <rPr>
        <b/>
        <sz val="12"/>
        <color theme="1"/>
        <rFont val="等线"/>
        <family val="3"/>
        <charset val="134"/>
        <scheme val="minor"/>
      </rPr>
      <t>) + Cus:32 = 62</t>
    </r>
    <phoneticPr fontId="2" type="noConversion"/>
  </si>
  <si>
    <t>No.</t>
  </si>
  <si>
    <t>Questions</t>
  </si>
  <si>
    <t>Translation</t>
  </si>
  <si>
    <t>Can do?</t>
  </si>
  <si>
    <t>How to do</t>
  </si>
  <si>
    <t>Status</t>
  </si>
  <si>
    <t>Material master：主数据的下载同步是独立的吗？还是必须跟着lot下载时，才会将主数据进行下载；确认同步机制（是否可以实时同步）update是直接更新还是升版更新</t>
    <phoneticPr fontId="2" type="noConversion"/>
  </si>
  <si>
    <r>
      <rPr>
        <b/>
        <sz val="11"/>
        <color theme="1"/>
        <rFont val="Microsoft YaHei"/>
        <family val="2"/>
        <charset val="134"/>
      </rPr>
      <t>Material master download:</t>
    </r>
    <r>
      <rPr>
        <sz val="11"/>
        <color theme="1"/>
        <rFont val="Microsoft YaHei"/>
        <family val="2"/>
        <charset val="134"/>
      </rPr>
      <t xml:space="preserve"> is the download synchronization of master data independent? Or must it follow the lot download before the master data will be downloaded; confirm the synchronization mechanism (whether it can be synchronized in real time) update is a direct update or upgraded update</t>
    </r>
  </si>
  <si>
    <t>No，customer want to sync in real time, but In SMIDI is impossible.</t>
  </si>
  <si>
    <t>1. master data will only sync when inspection lot comes
2. overwrite or new version is configurable</t>
    <phoneticPr fontId="2" type="noConversion"/>
  </si>
  <si>
    <t>Confirmed</t>
  </si>
  <si>
    <t>根据Mat code、plant code and batch no三个字段组合匹配的，是update exiting sample还是创建一个新的；如果是update，则需要将sample结果先回传给SAP，确认SMIDI是怎么做？</t>
  </si>
  <si>
    <r>
      <rPr>
        <b/>
        <sz val="11"/>
        <color theme="1"/>
        <rFont val="Microsoft YaHei"/>
        <family val="2"/>
        <charset val="134"/>
      </rPr>
      <t>Inspection Lot download</t>
    </r>
    <r>
      <rPr>
        <sz val="11"/>
        <color theme="1"/>
        <rFont val="Microsoft YaHei"/>
        <family val="2"/>
        <charset val="134"/>
      </rPr>
      <t>：Based on the Mat code, plant code and batch no combination of three fields that match, is it update exiting sample or create a new one; if it's update, then you need to send the sample result back to SAP first to confirm how SMIDI is doing?</t>
    </r>
    <phoneticPr fontId="2" type="noConversion"/>
  </si>
  <si>
    <t>pending</t>
    <phoneticPr fontId="2" type="noConversion"/>
  </si>
  <si>
    <t>send result back need result confirmation number which comes from SAP.</t>
  </si>
  <si>
    <t>Henkel 存在一个lot对应多个activity no，则对于LIMS创建多个sample，确认SMIDI能否实现？怎么做？</t>
  </si>
  <si>
    <r>
      <rPr>
        <b/>
        <sz val="11"/>
        <color theme="1"/>
        <rFont val="Microsoft YaHei"/>
        <family val="2"/>
        <charset val="134"/>
      </rPr>
      <t>Inspection Lot download：</t>
    </r>
    <r>
      <rPr>
        <sz val="11"/>
        <color theme="1"/>
        <rFont val="Microsoft YaHei"/>
        <family val="2"/>
        <charset val="134"/>
      </rPr>
      <t>Henkel there exists a lot corresponding to multiple activity no, then for LIMS need to create multiple samples to confirm that SMIDI can be achieved? How?</t>
    </r>
    <phoneticPr fontId="2" type="noConversion"/>
  </si>
  <si>
    <t>Yes</t>
  </si>
  <si>
    <t>configrable.</t>
    <phoneticPr fontId="2" type="noConversion"/>
  </si>
  <si>
    <t>confirmed</t>
    <phoneticPr fontId="2" type="noConversion"/>
  </si>
  <si>
    <t>对于retest，必须要找最后一个test结果回传，SMIDI标准功能能做到吗？</t>
  </si>
  <si>
    <r>
      <rPr>
        <b/>
        <sz val="11"/>
        <color theme="1"/>
        <rFont val="Microsoft YaHei"/>
        <family val="2"/>
        <charset val="134"/>
      </rPr>
      <t>Results back：</t>
    </r>
    <r>
      <rPr>
        <sz val="11"/>
        <color theme="1"/>
        <rFont val="Microsoft YaHei"/>
        <family val="2"/>
        <charset val="134"/>
      </rPr>
      <t>For retest, one has to look for the last test result to pass back, can the SMIDI standard function do that?</t>
    </r>
    <phoneticPr fontId="2" type="noConversion"/>
  </si>
  <si>
    <t>No, read these results is impossible. Only the first one</t>
    <phoneticPr fontId="2" type="noConversion"/>
  </si>
  <si>
    <t>Only the first test result can be send back.</t>
    <phoneticPr fontId="2" type="noConversion"/>
  </si>
  <si>
    <t>lot中的检测项目上有是否跳批字段（动态信息），SMIDI标准功能能否直接写入test表中</t>
    <phoneticPr fontId="2" type="noConversion"/>
  </si>
  <si>
    <r>
      <rPr>
        <b/>
        <sz val="11"/>
        <color theme="1"/>
        <rFont val="Microsoft YaHei"/>
        <family val="2"/>
        <charset val="134"/>
      </rPr>
      <t>Inspection Lot download：</t>
    </r>
    <r>
      <rPr>
        <sz val="11"/>
        <color theme="1"/>
        <rFont val="Microsoft YaHei"/>
        <family val="2"/>
        <charset val="134"/>
      </rPr>
      <t>The test item in lot has a field for whether or not to skip a batch (dynamic data), and whether the SMIDI standard function can be written directly to the test table.</t>
    </r>
    <phoneticPr fontId="2" type="noConversion"/>
  </si>
  <si>
    <t>query configuration</t>
    <phoneticPr fontId="2" type="noConversion"/>
  </si>
  <si>
    <t>Batch如果作为单独一张表下载到LIMS，确认SMIDI能不能做</t>
  </si>
  <si>
    <r>
      <rPr>
        <b/>
        <sz val="11"/>
        <color theme="1"/>
        <rFont val="Microsoft YaHei"/>
        <family val="2"/>
        <charset val="134"/>
      </rPr>
      <t>Batch information  download：</t>
    </r>
    <r>
      <rPr>
        <sz val="11"/>
        <color theme="1"/>
        <rFont val="Microsoft YaHei"/>
        <family val="2"/>
        <charset val="134"/>
      </rPr>
      <t>Batch if downloaded to LIMS as a separate table, confirming that SMIDI can do it</t>
    </r>
    <phoneticPr fontId="2" type="noConversion"/>
  </si>
  <si>
    <t>No,consider solution 2</t>
  </si>
  <si>
    <t>smidi cannot get info from seperate table</t>
    <phoneticPr fontId="2" type="noConversion"/>
  </si>
  <si>
    <t>Plant 是一张表不是一个字段，确认SMIDI能否做，如果能做，简单说明，给些前置条件；</t>
  </si>
  <si>
    <r>
      <rPr>
        <b/>
        <sz val="11"/>
        <color theme="1"/>
        <rFont val="Microsoft YaHei"/>
        <family val="2"/>
        <charset val="134"/>
      </rPr>
      <t>Plant information download：</t>
    </r>
    <r>
      <rPr>
        <sz val="11"/>
        <color theme="1"/>
        <rFont val="Microsoft YaHei"/>
        <family val="2"/>
        <charset val="134"/>
      </rPr>
      <t>Plant is a table not a field, confirm if SMIDI can do it and if so, briefly explain and give some preconditions;</t>
    </r>
    <phoneticPr fontId="2" type="noConversion"/>
  </si>
  <si>
    <t>No</t>
  </si>
  <si>
    <r>
      <t>修约规则、</t>
    </r>
    <r>
      <rPr>
        <sz val="11"/>
        <color rgb="FFFF0000"/>
        <rFont val="Microsoft YaHei"/>
        <family val="2"/>
      </rPr>
      <t>跳批规则</t>
    </r>
    <r>
      <rPr>
        <sz val="11"/>
        <color theme="1"/>
        <rFont val="Microsoft YaHei"/>
        <family val="2"/>
        <charset val="134"/>
      </rPr>
      <t>SMIDI可以下载吗</t>
    </r>
  </si>
  <si>
    <r>
      <rPr>
        <b/>
        <sz val="11"/>
        <color theme="1"/>
        <rFont val="Microsoft YaHei"/>
        <family val="2"/>
        <charset val="134"/>
      </rPr>
      <t>Material master download:</t>
    </r>
    <r>
      <rPr>
        <sz val="11"/>
        <color theme="1"/>
        <rFont val="Microsoft YaHei"/>
        <family val="2"/>
        <charset val="134"/>
      </rPr>
      <t xml:space="preserve"> Rounding Rules, Jump lot Rules SMIDI can be downloaded?</t>
    </r>
    <phoneticPr fontId="2" type="noConversion"/>
  </si>
  <si>
    <t>Significant figures is ok</t>
  </si>
  <si>
    <r>
      <t>Inspection Lot下载：Status中含有</t>
    </r>
    <r>
      <rPr>
        <sz val="11"/>
        <color theme="1"/>
        <rFont val="等线"/>
        <family val="2"/>
        <scheme val="minor"/>
      </rPr>
      <t>REL</t>
    </r>
    <r>
      <rPr>
        <sz val="11"/>
        <color theme="1"/>
        <rFont val="Microsoft YaHei"/>
        <family val="2"/>
        <charset val="134"/>
      </rPr>
      <t>，确认能否用SMIDI做？</t>
    </r>
    <phoneticPr fontId="2" type="noConversion"/>
  </si>
  <si>
    <r>
      <rPr>
        <b/>
        <sz val="11"/>
        <color theme="1"/>
        <rFont val="Microsoft YaHei"/>
        <family val="2"/>
        <charset val="134"/>
      </rPr>
      <t>Inspection Lot download</t>
    </r>
    <r>
      <rPr>
        <sz val="11"/>
        <color theme="1"/>
        <rFont val="Microsoft YaHei"/>
        <family val="2"/>
        <charset val="134"/>
      </rPr>
      <t>：Status contain 'REL' in it, confirm if it can be done with SMIDI?</t>
    </r>
    <phoneticPr fontId="2" type="noConversion"/>
  </si>
  <si>
    <t>smidi can filter lot status</t>
    <phoneticPr fontId="2" type="noConversion"/>
  </si>
  <si>
    <t>Work center： Henkel是multiple的，需求是一个workcenter过来的lot就是一个group，可以做不同的workcenter的组别隔离；</t>
  </si>
  <si>
    <r>
      <rPr>
        <b/>
        <sz val="11"/>
        <color theme="1"/>
        <rFont val="Microsoft YaHei"/>
        <family val="2"/>
        <charset val="134"/>
      </rPr>
      <t xml:space="preserve">Work center: </t>
    </r>
    <r>
      <rPr>
        <sz val="11"/>
        <color theme="1"/>
        <rFont val="Microsoft YaHei"/>
        <family val="2"/>
        <charset val="134"/>
      </rPr>
      <t xml:space="preserve"> multiple, the demand is a workcenter over the lot is a group, can Smidi do different workcenter group isolation;</t>
    </r>
    <phoneticPr fontId="2" type="noConversion"/>
  </si>
  <si>
    <t>Can use plant code as group mark</t>
  </si>
  <si>
    <t>Inspection Type包含01PQ、04P，确认在SMIDI中可以维护吗？多个条件一次性去维护Query，SMIDI怎么做？</t>
  </si>
  <si>
    <r>
      <rPr>
        <b/>
        <sz val="11"/>
        <color theme="1"/>
        <rFont val="Microsoft YaHei"/>
        <family val="2"/>
        <charset val="134"/>
      </rPr>
      <t>Inspection Lot download：</t>
    </r>
    <r>
      <rPr>
        <sz val="11"/>
        <color theme="1"/>
        <rFont val="Microsoft YaHei"/>
        <family val="2"/>
        <charset val="134"/>
      </rPr>
      <t>Inspection Type contains 01PQ, 04P, confirmed to be maintainable in SMIDI? How does SMIDI do it when multiple conditions go to maintain Query at once?</t>
    </r>
    <phoneticPr fontId="2" type="noConversion"/>
  </si>
  <si>
    <t>multipe filter</t>
  </si>
  <si>
    <t>Title</t>
    <phoneticPr fontId="2" type="noConversion"/>
  </si>
  <si>
    <t>SMIDI can do</t>
    <phoneticPr fontId="2" type="noConversion"/>
  </si>
  <si>
    <t>SMIDI cannot do</t>
    <phoneticPr fontId="2" type="noConversion"/>
  </si>
  <si>
    <t>Items Number</t>
    <phoneticPr fontId="2" type="noConversion"/>
  </si>
  <si>
    <t>Items number</t>
    <phoneticPr fontId="2" type="noConversion"/>
  </si>
  <si>
    <t>SMIDI can do high level</t>
    <phoneticPr fontId="2" type="noConversion"/>
  </si>
  <si>
    <t>SMIDI cannot do high level</t>
    <phoneticPr fontId="2" type="noConversion"/>
  </si>
  <si>
    <t>effort</t>
    <phoneticPr fontId="2" type="noConversion"/>
  </si>
  <si>
    <t>Extra Effort</t>
    <phoneticPr fontId="2" type="noConversion"/>
  </si>
  <si>
    <t>SMIDI:28 + Cus:27 = 55</t>
    <phoneticPr fontId="2" type="noConversion"/>
  </si>
  <si>
    <t xml:space="preserve">1)  No, read these results is impossible. 
	Only the first test result can be send back.
2)  Yes, configure in SAP
3) Depending on the SAP setup this is possible.  </t>
    <phoneticPr fontId="2" type="noConversion"/>
  </si>
  <si>
    <t>1)  No
2)  Yes
3）Yes
4）Yes</t>
    <phoneticPr fontId="2" type="noConversion"/>
  </si>
  <si>
    <t>4.5.1.9</t>
  </si>
  <si>
    <t>SMIDI cannot get info from seperate table</t>
    <phoneticPr fontId="2" type="noConversion"/>
  </si>
  <si>
    <t>No</t>
    <phoneticPr fontId="2" type="noConversion"/>
  </si>
  <si>
    <t>4.5.1.8</t>
  </si>
  <si>
    <t xml:space="preserve">No
</t>
    <phoneticPr fontId="2" type="noConversion"/>
  </si>
  <si>
    <t>4.5.1.7</t>
  </si>
  <si>
    <t>customer want to sync in real time, but In SMIDI is impossible.</t>
    <phoneticPr fontId="2" type="noConversion"/>
  </si>
  <si>
    <t>4.5.1.6</t>
  </si>
  <si>
    <t>4.5.1.5</t>
  </si>
  <si>
    <t>4.5.1.4</t>
  </si>
  <si>
    <t>4.5.1.3</t>
  </si>
  <si>
    <r>
      <t>solution 1-SMIDI：Add fields from Batch information to QAIVC table,Write directly to the sample table，</t>
    </r>
    <r>
      <rPr>
        <b/>
        <sz val="11"/>
        <color theme="4" tint="-0.499984740745262"/>
        <rFont val="等线"/>
        <family val="3"/>
        <charset val="134"/>
        <scheme val="minor"/>
      </rPr>
      <t>Need confirmation by Henkel</t>
    </r>
    <r>
      <rPr>
        <sz val="11"/>
        <color theme="1"/>
        <rFont val="等线"/>
        <family val="2"/>
        <scheme val="minor"/>
      </rPr>
      <t xml:space="preserve">,--  0days
solution 2:Batch information is a separate entity that needs to be downloaded to the Batch table in QCLAD. -- 4days
solution 3-Cus：Put the Batch field into the JSON string downloaded by lot and write it directly to the sample table；-- 0days
</t>
    </r>
    <phoneticPr fontId="2" type="noConversion"/>
  </si>
  <si>
    <t>Yes, solution 1</t>
    <phoneticPr fontId="2" type="noConversion"/>
  </si>
  <si>
    <t>4.5.1.2</t>
  </si>
  <si>
    <t xml:space="preserve">	
1) Yes
2)  YES
3)  YES</t>
    <phoneticPr fontId="2" type="noConversion"/>
  </si>
  <si>
    <r>
      <t>System shall support download inspection lot from SAP to QCLAD.
1）</t>
    </r>
    <r>
      <rPr>
        <sz val="11"/>
        <color rgb="FFFF0000"/>
        <rFont val="等线 Light"/>
        <family val="3"/>
        <charset val="134"/>
        <scheme val="major"/>
      </rPr>
      <t>Create a sample in QCLAD based on the downloaded Inspection Lot, or change an existing sample (JIT process).</t>
    </r>
    <r>
      <rPr>
        <sz val="11"/>
        <rFont val="等线 Light"/>
        <family val="1"/>
        <scheme val="major"/>
      </rPr>
      <t xml:space="preserve">
2）If the inspection lot in SAP also has multiple activities, then QCLAD needs to create multiple samples.
3）The test item in lot has a field for whether or not to skip the batch (dynamic message), and whether the SMIDI standard function can be written directly to the test table.</t>
    </r>
    <phoneticPr fontId="2" type="noConversion"/>
  </si>
  <si>
    <t>4.5.1.1</t>
  </si>
  <si>
    <t>Customisation- Day</t>
    <phoneticPr fontId="2" type="noConversion"/>
  </si>
  <si>
    <t>SMIDI + Customisation - Day</t>
    <phoneticPr fontId="2" type="noConversion"/>
  </si>
  <si>
    <t>Can be done by SMIDI</t>
    <phoneticPr fontId="2" type="noConversion"/>
  </si>
  <si>
    <t>Priority</t>
    <phoneticPr fontId="2" type="noConversion"/>
  </si>
  <si>
    <t>RTM Reference</t>
    <phoneticPr fontId="2" type="noConversion"/>
  </si>
  <si>
    <t>QM notification Sync</t>
    <phoneticPr fontId="2" type="noConversion"/>
  </si>
  <si>
    <t>Material Sync</t>
    <phoneticPr fontId="2" type="noConversion"/>
  </si>
  <si>
    <t>MIC Sync</t>
    <phoneticPr fontId="2" type="noConversion"/>
  </si>
  <si>
    <t>Inspection plan Sync</t>
    <phoneticPr fontId="2" type="noConversion"/>
  </si>
  <si>
    <t>Results back</t>
  </si>
  <si>
    <t>Specification Sync</t>
    <phoneticPr fontId="2" type="noConversion"/>
  </si>
  <si>
    <t>Inspection lot Sync</t>
    <phoneticPr fontId="2" type="noConversion"/>
  </si>
  <si>
    <t>Plant Sync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</si>
</sst>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11"/>
      <color theme="1"/>
      <name val="Microsoft YaHei"/>
      <family val="2"/>
      <charset val="134"/>
    </font>
    <font>
      <sz val="9"/>
      <name val="等线"/>
      <family val="3"/>
      <charset val="134"/>
      <scheme val="minor"/>
    </font>
    <font>
      <b/>
      <sz val="11"/>
      <color theme="1"/>
      <name val="Microsoft YaHei"/>
      <family val="2"/>
      <charset val="134"/>
    </font>
    <font>
      <sz val="11"/>
      <color rgb="FFFF0000"/>
      <name val="Microsoft YaHei"/>
      <family val="2"/>
    </font>
    <font>
      <sz val="11"/>
      <color theme="1"/>
      <name val="等线"/>
      <family val="2"/>
      <scheme val="minor"/>
    </font>
    <font>
      <sz val="10"/>
      <name val="Arial"/>
      <family val="2"/>
    </font>
    <font>
      <sz val="11"/>
      <name val="等线 Light"/>
      <family val="1"/>
      <scheme val="major"/>
    </font>
    <font>
      <sz val="11"/>
      <name val="等线 Light"/>
      <family val="3"/>
      <charset val="134"/>
      <scheme val="major"/>
    </font>
    <font>
      <b/>
      <sz val="12"/>
      <color theme="1"/>
      <name val="等线"/>
      <family val="3"/>
      <charset val="134"/>
      <scheme val="minor"/>
    </font>
    <font>
      <b/>
      <sz val="11"/>
      <color theme="1"/>
      <name val="等线"/>
      <family val="3"/>
      <charset val="134"/>
      <scheme val="minor"/>
    </font>
    <font>
      <sz val="11"/>
      <color rgb="FFFF0000"/>
      <name val="等线 Light"/>
      <family val="3"/>
      <charset val="134"/>
      <scheme val="major"/>
    </font>
    <font>
      <sz val="11"/>
      <color rgb="FFFF0000"/>
      <name val="等线"/>
      <family val="3"/>
      <charset val="134"/>
      <scheme val="minor"/>
    </font>
    <font>
      <b/>
      <sz val="12"/>
      <color rgb="FFFF0000"/>
      <name val="等线"/>
      <family val="3"/>
      <charset val="134"/>
      <scheme val="minor"/>
    </font>
    <font>
      <sz val="11"/>
      <name val="Cambria"/>
      <family val="1"/>
    </font>
    <font>
      <b/>
      <sz val="11"/>
      <color theme="4" tint="-0.499984740745262"/>
      <name val="等线"/>
      <family val="3"/>
      <charset val="134"/>
      <scheme val="minor"/>
    </font>
    <font>
      <sz val="11"/>
      <color theme="1"/>
      <name val="等线"/>
      <charset val="134"/>
      <scheme val="minor"/>
    </font>
  </fonts>
  <fills count="4">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s>
  <borders count="6">
    <border>
      <left/>
      <right/>
      <top/>
      <bottom/>
      <diagonal/>
    </border>
    <border>
      <left style="medium">
        <color rgb="FFA3A3A3"/>
      </left>
      <right style="medium">
        <color rgb="FFA3A3A3"/>
      </right>
      <top style="medium">
        <color rgb="FFA3A3A3"/>
      </top>
      <bottom style="medium">
        <color rgb="FFA3A3A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5" fillId="0" borderId="0"/>
    <xf numFmtId="0" fontId="6" fillId="0" borderId="0" applyNumberFormat="0" applyFill="0" applyBorder="0" applyAlignment="0"/>
  </cellStyleXfs>
  <cellXfs count="26">
    <xf numFmtId="0" fontId="0" fillId="0" borderId="0" xfId="0"/>
    <xf numFmtId="0" fontId="1" fillId="0" borderId="1" xfId="0" applyFont="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2" xfId="0" applyBorder="1"/>
    <xf numFmtId="0" fontId="7" fillId="0" borderId="2" xfId="0" applyFont="1" applyBorder="1" applyAlignment="1">
      <alignment vertical="center" wrapText="1"/>
    </xf>
    <xf numFmtId="0" fontId="0" fillId="0" borderId="2" xfId="0" applyBorder="1" applyAlignment="1">
      <alignment vertical="center" wrapText="1"/>
    </xf>
    <xf numFmtId="0" fontId="8" fillId="0" borderId="2" xfId="0" applyFont="1" applyBorder="1" applyAlignment="1">
      <alignment vertical="center" wrapText="1"/>
    </xf>
    <xf numFmtId="0" fontId="0" fillId="0" borderId="2" xfId="0" applyBorder="1" applyAlignment="1">
      <alignment horizontal="center" vertical="center"/>
    </xf>
    <xf numFmtId="0" fontId="9" fillId="0" borderId="0" xfId="0" applyFont="1" applyAlignment="1">
      <alignment horizontal="center" vertical="center"/>
    </xf>
    <xf numFmtId="0" fontId="0" fillId="0" borderId="3" xfId="0" applyBorder="1"/>
    <xf numFmtId="0" fontId="8" fillId="0" borderId="3" xfId="0" applyFont="1" applyBorder="1" applyAlignment="1">
      <alignment vertical="center" wrapText="1"/>
    </xf>
    <xf numFmtId="0" fontId="7" fillId="0" borderId="3" xfId="0" applyFont="1" applyBorder="1" applyAlignment="1">
      <alignment vertical="center" wrapText="1"/>
    </xf>
    <xf numFmtId="0" fontId="0" fillId="0" borderId="3" xfId="0" applyBorder="1" applyAlignment="1">
      <alignment vertical="center" wrapText="1"/>
    </xf>
    <xf numFmtId="0" fontId="9" fillId="0" borderId="2" xfId="0" applyFont="1" applyBorder="1" applyAlignment="1">
      <alignment horizontal="center" vertical="center"/>
    </xf>
    <xf numFmtId="0" fontId="10" fillId="0" borderId="0" xfId="0" applyFont="1" applyAlignment="1">
      <alignment horizontal="center"/>
    </xf>
    <xf numFmtId="0" fontId="0" fillId="0" borderId="2" xfId="0" applyBorder="1" applyAlignment="1">
      <alignment wrapText="1"/>
    </xf>
    <xf numFmtId="0" fontId="0" fillId="0" borderId="0" xfId="0" applyAlignment="1">
      <alignment horizontal="left" vertical="center" wrapText="1"/>
    </xf>
    <xf numFmtId="0" fontId="0" fillId="0" borderId="4" xfId="0" applyBorder="1"/>
    <xf numFmtId="0" fontId="10" fillId="3" borderId="0" xfId="0" applyFont="1" applyFill="1" applyAlignment="1">
      <alignment horizontal="center"/>
    </xf>
    <xf numFmtId="0" fontId="0" fillId="0" borderId="0" xfId="0" applyAlignment="1">
      <alignment vertical="center" wrapText="1"/>
    </xf>
    <xf numFmtId="0" fontId="14" fillId="0" borderId="5" xfId="0" applyFont="1" applyBorder="1" applyAlignment="1">
      <alignment horizontal="left" vertical="top" indent="1"/>
    </xf>
    <xf numFmtId="0" fontId="16" fillId="0" borderId="0" xfId="0" applyFont="1"/>
  </cellXfs>
  <cellStyles count="3">
    <cellStyle name="Normal 2" xfId="1" xr:uid="{4EDFAAE6-1718-4CA5-8EC0-2EA7F70210D2}"/>
    <cellStyle name="常规" xfId="0" builtinId="0"/>
    <cellStyle name="常规 2" xfId="2" xr:uid="{F381D8B8-960A-4315-BCBC-9A18445283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Analysis!$B$1</c:f>
              <c:strCache>
                <c:ptCount val="1"/>
                <c:pt idx="0">
                  <c:v>Items Number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C9-411C-80CA-ABAF7F8C75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C9-411C-80CA-ABAF7F8C75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Analysis!$A$2:$A$3</c:f>
              <c:strCache>
                <c:ptCount val="2"/>
                <c:pt idx="0">
                  <c:v>SMIDI can do</c:v>
                </c:pt>
                <c:pt idx="1">
                  <c:v>SMIDI cannot do</c:v>
                </c:pt>
              </c:strCache>
            </c:strRef>
          </c:cat>
          <c:val>
            <c:numRef>
              <c:f>Analysis!$B$2:$B$3</c:f>
              <c:numCache>
                <c:formatCode>General</c:formatCode>
                <c:ptCount val="2"/>
                <c:pt idx="0">
                  <c:v>1</c:v>
                </c:pt>
                <c:pt idx="1">
                  <c:v>9</c:v>
                </c:pt>
              </c:numCache>
            </c:numRef>
          </c:val>
          <c:extLst>
            <c:ext xmlns:c16="http://schemas.microsoft.com/office/drawing/2014/chart" uri="{C3380CC4-5D6E-409C-BE32-E72D297353CC}">
              <c16:uniqueId val="{00000000-230B-4F11-9218-B169A9AFE4B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Analysis!$L$1</c:f>
              <c:strCache>
                <c:ptCount val="1"/>
                <c:pt idx="0">
                  <c:v>Items number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87-49D8-AF32-E0C6777035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7-49D8-AF32-E0C6777035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Analysis!$K$2:$K$3</c:f>
              <c:strCache>
                <c:ptCount val="2"/>
                <c:pt idx="0">
                  <c:v>SMIDI can do high level</c:v>
                </c:pt>
                <c:pt idx="1">
                  <c:v>SMIDI cannot do high level</c:v>
                </c:pt>
              </c:strCache>
            </c:strRef>
          </c:cat>
          <c:val>
            <c:numRef>
              <c:f>Analysis!$L$2:$L$3</c:f>
              <c:numCache>
                <c:formatCode>General</c:formatCode>
                <c:ptCount val="2"/>
                <c:pt idx="0">
                  <c:v>1</c:v>
                </c:pt>
                <c:pt idx="1">
                  <c:v>6</c:v>
                </c:pt>
              </c:numCache>
            </c:numRef>
          </c:val>
          <c:extLst>
            <c:ext xmlns:c16="http://schemas.microsoft.com/office/drawing/2014/chart" uri="{C3380CC4-5D6E-409C-BE32-E72D297353CC}">
              <c16:uniqueId val="{00000000-6984-46E5-87A8-0D14124F4115}"/>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Analysis!$B$25</c:f>
              <c:strCache>
                <c:ptCount val="1"/>
                <c:pt idx="0">
                  <c:v>effort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A7-4595-A82B-D8C699B3EB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A7-4595-A82B-D8C699B3EB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Analysis!$A$26:$A$27</c:f>
              <c:strCache>
                <c:ptCount val="2"/>
                <c:pt idx="0">
                  <c:v>SMIDI can do</c:v>
                </c:pt>
                <c:pt idx="1">
                  <c:v>SMIDI cannot do</c:v>
                </c:pt>
              </c:strCache>
            </c:strRef>
          </c:cat>
          <c:val>
            <c:numRef>
              <c:f>Analysis!$B$26:$B$27</c:f>
              <c:numCache>
                <c:formatCode>General</c:formatCode>
                <c:ptCount val="2"/>
                <c:pt idx="0">
                  <c:v>28</c:v>
                </c:pt>
                <c:pt idx="1">
                  <c:v>32</c:v>
                </c:pt>
              </c:numCache>
            </c:numRef>
          </c:val>
          <c:extLst>
            <c:ext xmlns:c16="http://schemas.microsoft.com/office/drawing/2014/chart" uri="{C3380CC4-5D6E-409C-BE32-E72D297353CC}">
              <c16:uniqueId val="{00000000-7C6D-4B78-A80D-F200CF65827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4</xdr:row>
      <xdr:rowOff>171450</xdr:rowOff>
    </xdr:from>
    <xdr:to>
      <xdr:col>6</xdr:col>
      <xdr:colOff>228600</xdr:colOff>
      <xdr:row>20</xdr:row>
      <xdr:rowOff>19050</xdr:rowOff>
    </xdr:to>
    <xdr:graphicFrame macro="">
      <xdr:nvGraphicFramePr>
        <xdr:cNvPr id="3" name="Chart 2">
          <a:extLst>
            <a:ext uri="{FF2B5EF4-FFF2-40B4-BE49-F238E27FC236}">
              <a16:creationId xmlns:a16="http://schemas.microsoft.com/office/drawing/2014/main" id="{E4A1ED82-1A13-40A2-8810-F92FC2556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590550</xdr:colOff>
      <xdr:row>4</xdr:row>
      <xdr:rowOff>104775</xdr:rowOff>
    </xdr:from>
    <xdr:to>
      <xdr:col>14</xdr:col>
      <xdr:colOff>447675</xdr:colOff>
      <xdr:row>19</xdr:row>
      <xdr:rowOff>133350</xdr:rowOff>
    </xdr:to>
    <xdr:graphicFrame macro="">
      <xdr:nvGraphicFramePr>
        <xdr:cNvPr id="4" name="Chart 3">
          <a:extLst>
            <a:ext uri="{FF2B5EF4-FFF2-40B4-BE49-F238E27FC236}">
              <a16:creationId xmlns:a16="http://schemas.microsoft.com/office/drawing/2014/main" id="{9032733D-EDE6-5350-3E4A-EB8C6A752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28</xdr:row>
      <xdr:rowOff>76200</xdr:rowOff>
    </xdr:from>
    <xdr:to>
      <xdr:col>6</xdr:col>
      <xdr:colOff>190500</xdr:colOff>
      <xdr:row>43</xdr:row>
      <xdr:rowOff>104775</xdr:rowOff>
    </xdr:to>
    <xdr:graphicFrame macro="">
      <xdr:nvGraphicFramePr>
        <xdr:cNvPr id="5" name="Chart 4">
          <a:extLst>
            <a:ext uri="{FF2B5EF4-FFF2-40B4-BE49-F238E27FC236}">
              <a16:creationId xmlns:a16="http://schemas.microsoft.com/office/drawing/2014/main" id="{B6EE28FA-9D7A-7EAA-A7C2-A3EB41D4F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C97B-A037-44DE-A151-BF064AC7AB34}">
  <dimension ref="A1:L27"/>
  <sheetViews>
    <sheetView topLeftCell="A19" workbookViewId="0">
      <selection activeCell="K33" sqref="K33"/>
    </sheetView>
  </sheetViews>
  <sheetFormatPr defaultRowHeight="14.25" x14ac:dyDescent="0.2"/>
  <cols>
    <col min="1" max="1" width="16" customWidth="1"/>
    <col min="11" max="11" width="22.625" customWidth="1"/>
    <col min="12" max="12" width="12.25" customWidth="1"/>
  </cols>
  <sheetData>
    <row r="1" spans="1:12" x14ac:dyDescent="0.2">
      <c r="A1" t="s">
        <v>75</v>
      </c>
      <c r="B1" t="s">
        <v>78</v>
      </c>
      <c r="K1" t="s">
        <v>75</v>
      </c>
      <c r="L1" t="s">
        <v>79</v>
      </c>
    </row>
    <row r="2" spans="1:12" x14ac:dyDescent="0.2">
      <c r="A2" s="5" t="s">
        <v>76</v>
      </c>
      <c r="B2">
        <v>1</v>
      </c>
      <c r="K2" t="s">
        <v>80</v>
      </c>
      <c r="L2">
        <v>1</v>
      </c>
    </row>
    <row r="3" spans="1:12" x14ac:dyDescent="0.2">
      <c r="A3" s="5" t="s">
        <v>77</v>
      </c>
      <c r="B3">
        <v>9</v>
      </c>
      <c r="K3" t="s">
        <v>81</v>
      </c>
      <c r="L3">
        <v>6</v>
      </c>
    </row>
    <row r="25" spans="1:2" x14ac:dyDescent="0.2">
      <c r="A25" t="s">
        <v>75</v>
      </c>
      <c r="B25" t="s">
        <v>82</v>
      </c>
    </row>
    <row r="26" spans="1:2" x14ac:dyDescent="0.2">
      <c r="A26" t="s">
        <v>76</v>
      </c>
      <c r="B26">
        <v>28</v>
      </c>
    </row>
    <row r="27" spans="1:2" x14ac:dyDescent="0.2">
      <c r="A27" t="s">
        <v>77</v>
      </c>
      <c r="B27">
        <v>32</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6C28-DAAC-4726-9BAB-7B60BE922440}">
  <dimension ref="A1:H12"/>
  <sheetViews>
    <sheetView tabSelected="1" zoomScaleNormal="100" workbookViewId="0">
      <pane ySplit="1" topLeftCell="A2" activePane="bottomLeft" state="frozen"/>
      <selection pane="bottomLeft" activeCell="C4" sqref="C4"/>
    </sheetView>
  </sheetViews>
  <sheetFormatPr defaultRowHeight="14.25" x14ac:dyDescent="0.2"/>
  <cols>
    <col min="1" max="1" width="5.875" customWidth="1"/>
    <col min="2" max="2" width="13.625" customWidth="1"/>
    <col min="3" max="3" width="85.5" customWidth="1"/>
    <col min="4" max="4" width="8.125" customWidth="1"/>
    <col min="5" max="5" width="27.375" customWidth="1"/>
    <col min="6" max="6" width="24.5" customWidth="1"/>
    <col min="7" max="7" width="18" customWidth="1"/>
    <col min="8" max="8" width="40.75" customWidth="1"/>
  </cols>
  <sheetData>
    <row r="1" spans="1:8" x14ac:dyDescent="0.2">
      <c r="A1" s="7" t="s">
        <v>0</v>
      </c>
      <c r="B1" s="7" t="s">
        <v>108</v>
      </c>
      <c r="C1" s="7" t="s">
        <v>1</v>
      </c>
      <c r="D1" s="7" t="s">
        <v>107</v>
      </c>
      <c r="E1" s="7" t="s">
        <v>106</v>
      </c>
      <c r="F1" s="19" t="s">
        <v>105</v>
      </c>
      <c r="G1" s="19" t="s">
        <v>104</v>
      </c>
      <c r="H1" s="21" t="s">
        <v>6</v>
      </c>
    </row>
    <row r="2" spans="1:8" ht="85.5" x14ac:dyDescent="0.2">
      <c r="A2" s="7">
        <f t="shared" ref="A2:A10" si="0">ROW()-1</f>
        <v>1</v>
      </c>
      <c r="B2" s="24" t="s">
        <v>103</v>
      </c>
      <c r="C2" s="8" t="s">
        <v>102</v>
      </c>
      <c r="D2" s="8"/>
      <c r="E2" s="9" t="s">
        <v>101</v>
      </c>
      <c r="F2" s="11">
        <v>0</v>
      </c>
      <c r="G2" s="11">
        <v>10</v>
      </c>
    </row>
    <row r="3" spans="1:8" ht="156.75" x14ac:dyDescent="0.2">
      <c r="A3" s="7">
        <f t="shared" si="0"/>
        <v>2</v>
      </c>
      <c r="B3" s="24" t="s">
        <v>100</v>
      </c>
      <c r="C3" s="10" t="s">
        <v>11</v>
      </c>
      <c r="D3" s="10"/>
      <c r="E3" s="9" t="s">
        <v>99</v>
      </c>
      <c r="F3" s="11">
        <v>4</v>
      </c>
      <c r="G3" s="11">
        <v>4</v>
      </c>
      <c r="H3" s="20" t="s">
        <v>98</v>
      </c>
    </row>
    <row r="4" spans="1:8" ht="28.5" x14ac:dyDescent="0.2">
      <c r="A4" s="7">
        <f t="shared" si="0"/>
        <v>3</v>
      </c>
      <c r="B4" s="24" t="s">
        <v>97</v>
      </c>
      <c r="C4" s="10" t="s">
        <v>15</v>
      </c>
      <c r="D4" s="8"/>
      <c r="E4" s="9" t="s">
        <v>89</v>
      </c>
      <c r="F4" s="11">
        <v>3</v>
      </c>
      <c r="G4" s="11">
        <v>3</v>
      </c>
      <c r="H4" s="5" t="s">
        <v>93</v>
      </c>
    </row>
    <row r="5" spans="1:8" ht="28.5" x14ac:dyDescent="0.2">
      <c r="A5" s="7">
        <f t="shared" si="0"/>
        <v>4</v>
      </c>
      <c r="B5" s="24" t="s">
        <v>96</v>
      </c>
      <c r="C5" s="10" t="s">
        <v>17</v>
      </c>
      <c r="D5" s="8"/>
      <c r="E5" s="9" t="s">
        <v>89</v>
      </c>
      <c r="F5" s="11">
        <v>3</v>
      </c>
      <c r="G5" s="11">
        <v>3</v>
      </c>
      <c r="H5" s="5" t="s">
        <v>93</v>
      </c>
    </row>
    <row r="6" spans="1:8" ht="28.5" x14ac:dyDescent="0.2">
      <c r="A6" s="7">
        <f t="shared" si="0"/>
        <v>5</v>
      </c>
      <c r="B6" s="24" t="s">
        <v>95</v>
      </c>
      <c r="C6" s="10" t="s">
        <v>18</v>
      </c>
      <c r="D6" s="8"/>
      <c r="E6" s="9" t="s">
        <v>89</v>
      </c>
      <c r="F6" s="11">
        <v>3</v>
      </c>
      <c r="G6" s="11">
        <v>3</v>
      </c>
      <c r="H6" s="5" t="s">
        <v>93</v>
      </c>
    </row>
    <row r="7" spans="1:8" ht="28.5" x14ac:dyDescent="0.2">
      <c r="A7" s="7">
        <f t="shared" si="0"/>
        <v>6</v>
      </c>
      <c r="B7" s="24" t="s">
        <v>94</v>
      </c>
      <c r="C7" s="10" t="s">
        <v>19</v>
      </c>
      <c r="D7" s="8"/>
      <c r="E7" s="9" t="s">
        <v>89</v>
      </c>
      <c r="F7" s="11">
        <v>3</v>
      </c>
      <c r="G7" s="11">
        <v>3</v>
      </c>
      <c r="H7" s="5" t="s">
        <v>93</v>
      </c>
    </row>
    <row r="8" spans="1:8" ht="28.5" x14ac:dyDescent="0.2">
      <c r="A8" s="7">
        <f t="shared" si="0"/>
        <v>7</v>
      </c>
      <c r="B8" s="24" t="s">
        <v>92</v>
      </c>
      <c r="C8" s="10" t="s">
        <v>20</v>
      </c>
      <c r="D8" s="10"/>
      <c r="E8" s="9" t="s">
        <v>91</v>
      </c>
      <c r="F8" s="11">
        <v>3</v>
      </c>
      <c r="G8" s="11">
        <v>3</v>
      </c>
      <c r="H8" s="5" t="s">
        <v>88</v>
      </c>
    </row>
    <row r="9" spans="1:8" ht="28.5" x14ac:dyDescent="0.2">
      <c r="A9" s="7">
        <f t="shared" si="0"/>
        <v>8</v>
      </c>
      <c r="B9" s="24" t="s">
        <v>90</v>
      </c>
      <c r="C9" s="10" t="s">
        <v>22</v>
      </c>
      <c r="D9" s="10"/>
      <c r="E9" s="9" t="s">
        <v>89</v>
      </c>
      <c r="F9" s="11">
        <v>3</v>
      </c>
      <c r="G9" s="11">
        <v>3</v>
      </c>
      <c r="H9" s="5" t="s">
        <v>88</v>
      </c>
    </row>
    <row r="10" spans="1:8" ht="114" x14ac:dyDescent="0.2">
      <c r="A10" s="7">
        <f t="shared" si="0"/>
        <v>9</v>
      </c>
      <c r="B10" s="24" t="s">
        <v>87</v>
      </c>
      <c r="C10" s="10" t="s">
        <v>23</v>
      </c>
      <c r="D10" s="8"/>
      <c r="E10" s="9" t="s">
        <v>86</v>
      </c>
      <c r="F10" s="11">
        <v>5</v>
      </c>
      <c r="G10" s="11">
        <v>6</v>
      </c>
      <c r="H10" s="23" t="s">
        <v>85</v>
      </c>
    </row>
    <row r="11" spans="1:8" ht="15.75" x14ac:dyDescent="0.2">
      <c r="E11" s="12" t="s">
        <v>27</v>
      </c>
      <c r="F11" s="17" t="s">
        <v>84</v>
      </c>
      <c r="G11" s="17">
        <f>SUM(G2:G10)</f>
        <v>38</v>
      </c>
      <c r="H11" s="5"/>
    </row>
    <row r="12" spans="1:8" ht="15.75" x14ac:dyDescent="0.2">
      <c r="E12" s="12" t="s">
        <v>83</v>
      </c>
      <c r="F12" s="22">
        <v>27</v>
      </c>
      <c r="G12" s="22">
        <v>10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C66B-ABEF-407A-9976-2E4DEB5019D8}">
  <dimension ref="E1:E8"/>
  <sheetViews>
    <sheetView workbookViewId="0">
      <selection activeCell="E10" sqref="E10"/>
    </sheetView>
  </sheetViews>
  <sheetFormatPr defaultRowHeight="14.25" x14ac:dyDescent="0.2"/>
  <cols>
    <col min="5" max="5" width="18.375" customWidth="1"/>
  </cols>
  <sheetData>
    <row r="1" spans="5:5" x14ac:dyDescent="0.2">
      <c r="E1" s="25" t="s">
        <v>116</v>
      </c>
    </row>
    <row r="2" spans="5:5" x14ac:dyDescent="0.2">
      <c r="E2" s="25" t="s">
        <v>109</v>
      </c>
    </row>
    <row r="3" spans="5:5" x14ac:dyDescent="0.2">
      <c r="E3" s="25" t="s">
        <v>110</v>
      </c>
    </row>
    <row r="4" spans="5:5" x14ac:dyDescent="0.2">
      <c r="E4" s="25" t="s">
        <v>111</v>
      </c>
    </row>
    <row r="5" spans="5:5" x14ac:dyDescent="0.2">
      <c r="E5" s="25" t="s">
        <v>112</v>
      </c>
    </row>
    <row r="6" spans="5:5" x14ac:dyDescent="0.2">
      <c r="E6" s="25" t="s">
        <v>114</v>
      </c>
    </row>
    <row r="7" spans="5:5" x14ac:dyDescent="0.2">
      <c r="E7" s="25" t="s">
        <v>115</v>
      </c>
    </row>
    <row r="8" spans="5:5" x14ac:dyDescent="0.2">
      <c r="E8" s="25" t="s">
        <v>113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69CC-2C8D-4384-B82C-A3B07A5FAC0A}">
  <dimension ref="A1:G13"/>
  <sheetViews>
    <sheetView zoomScaleNormal="100" workbookViewId="0">
      <pane ySplit="1" topLeftCell="A2" activePane="bottomLeft" state="frozen"/>
      <selection pane="bottomLeft" activeCell="A2" sqref="A2:XFD2"/>
    </sheetView>
  </sheetViews>
  <sheetFormatPr defaultRowHeight="14.25" x14ac:dyDescent="0.2"/>
  <cols>
    <col min="2" max="2" width="85.5" customWidth="1"/>
    <col min="3" max="3" width="13.125" customWidth="1"/>
    <col min="4" max="4" width="34.875" customWidth="1"/>
    <col min="5" max="5" width="29" customWidth="1"/>
    <col min="6" max="6" width="16.125" customWidth="1"/>
    <col min="7" max="7" width="40.75" customWidth="1"/>
  </cols>
  <sheetData>
    <row r="1" spans="1:7" ht="42.75" x14ac:dyDescent="0.2">
      <c r="A1" s="7" t="s">
        <v>0</v>
      </c>
      <c r="B1" s="7" t="s">
        <v>1</v>
      </c>
      <c r="C1" s="7" t="s">
        <v>2</v>
      </c>
      <c r="D1" s="7" t="s">
        <v>3</v>
      </c>
      <c r="E1" s="19" t="s">
        <v>4</v>
      </c>
      <c r="F1" s="19" t="s">
        <v>5</v>
      </c>
      <c r="G1" s="21" t="s">
        <v>6</v>
      </c>
    </row>
    <row r="2" spans="1:7" ht="114" x14ac:dyDescent="0.2">
      <c r="A2" s="7">
        <f>ROW()-1</f>
        <v>1</v>
      </c>
      <c r="B2" s="8" t="s">
        <v>7</v>
      </c>
      <c r="C2" s="8" t="s">
        <v>8</v>
      </c>
      <c r="D2" s="9" t="s">
        <v>9</v>
      </c>
      <c r="E2" s="11" t="s">
        <v>10</v>
      </c>
      <c r="F2" s="11">
        <v>10</v>
      </c>
    </row>
    <row r="3" spans="1:7" ht="156.75" x14ac:dyDescent="0.2">
      <c r="A3" s="7">
        <f t="shared" ref="A3:A11" si="0">ROW()-1</f>
        <v>2</v>
      </c>
      <c r="B3" s="10" t="s">
        <v>11</v>
      </c>
      <c r="C3" s="10" t="s">
        <v>12</v>
      </c>
      <c r="D3" s="9" t="s">
        <v>13</v>
      </c>
      <c r="E3" s="11">
        <v>4</v>
      </c>
      <c r="F3" s="11">
        <v>4</v>
      </c>
      <c r="G3" s="20" t="s">
        <v>14</v>
      </c>
    </row>
    <row r="4" spans="1:7" ht="28.5" x14ac:dyDescent="0.2">
      <c r="A4" s="7">
        <f t="shared" si="0"/>
        <v>3</v>
      </c>
      <c r="B4" s="10" t="s">
        <v>15</v>
      </c>
      <c r="C4" s="8" t="s">
        <v>8</v>
      </c>
      <c r="D4" s="9" t="s">
        <v>16</v>
      </c>
      <c r="E4" s="11">
        <v>3</v>
      </c>
      <c r="F4" s="11">
        <v>3</v>
      </c>
    </row>
    <row r="5" spans="1:7" ht="28.5" x14ac:dyDescent="0.2">
      <c r="A5" s="7">
        <f t="shared" si="0"/>
        <v>4</v>
      </c>
      <c r="B5" s="10" t="s">
        <v>17</v>
      </c>
      <c r="C5" s="8" t="s">
        <v>8</v>
      </c>
      <c r="D5" s="9" t="s">
        <v>16</v>
      </c>
      <c r="E5" s="11">
        <v>3</v>
      </c>
      <c r="F5" s="11">
        <v>3</v>
      </c>
    </row>
    <row r="6" spans="1:7" ht="28.5" x14ac:dyDescent="0.2">
      <c r="A6" s="7">
        <f t="shared" si="0"/>
        <v>5</v>
      </c>
      <c r="B6" s="10" t="s">
        <v>18</v>
      </c>
      <c r="C6" s="8" t="s">
        <v>8</v>
      </c>
      <c r="D6" s="9" t="s">
        <v>16</v>
      </c>
      <c r="E6" s="11">
        <v>3</v>
      </c>
      <c r="F6" s="11">
        <v>3</v>
      </c>
    </row>
    <row r="7" spans="1:7" ht="28.5" x14ac:dyDescent="0.2">
      <c r="A7" s="7">
        <f t="shared" si="0"/>
        <v>6</v>
      </c>
      <c r="B7" s="10" t="s">
        <v>19</v>
      </c>
      <c r="C7" s="8" t="s">
        <v>8</v>
      </c>
      <c r="D7" s="9" t="s">
        <v>16</v>
      </c>
      <c r="E7" s="11">
        <v>3</v>
      </c>
      <c r="F7" s="11">
        <v>3</v>
      </c>
    </row>
    <row r="8" spans="1:7" ht="28.5" x14ac:dyDescent="0.2">
      <c r="A8" s="7">
        <f t="shared" si="0"/>
        <v>7</v>
      </c>
      <c r="B8" s="10" t="s">
        <v>20</v>
      </c>
      <c r="C8" s="10" t="s">
        <v>12</v>
      </c>
      <c r="D8" s="9" t="s">
        <v>21</v>
      </c>
      <c r="E8" s="11">
        <v>3</v>
      </c>
      <c r="F8" s="11">
        <v>3</v>
      </c>
    </row>
    <row r="9" spans="1:7" ht="28.5" x14ac:dyDescent="0.2">
      <c r="A9" s="7">
        <f t="shared" si="0"/>
        <v>8</v>
      </c>
      <c r="B9" s="10" t="s">
        <v>22</v>
      </c>
      <c r="C9" s="10" t="s">
        <v>12</v>
      </c>
      <c r="D9" s="9" t="s">
        <v>21</v>
      </c>
      <c r="E9" s="11">
        <v>3</v>
      </c>
      <c r="F9" s="11">
        <v>3</v>
      </c>
    </row>
    <row r="10" spans="1:7" ht="114" x14ac:dyDescent="0.2">
      <c r="A10" s="7">
        <f t="shared" si="0"/>
        <v>9</v>
      </c>
      <c r="B10" s="10" t="s">
        <v>23</v>
      </c>
      <c r="C10" s="8" t="s">
        <v>8</v>
      </c>
      <c r="D10" s="9" t="s">
        <v>24</v>
      </c>
      <c r="E10" s="11">
        <v>6</v>
      </c>
      <c r="F10" s="11">
        <v>6</v>
      </c>
    </row>
    <row r="11" spans="1:7" ht="28.5" x14ac:dyDescent="0.2">
      <c r="A11" s="13">
        <f t="shared" si="0"/>
        <v>10</v>
      </c>
      <c r="B11" s="14" t="s">
        <v>25</v>
      </c>
      <c r="C11" s="15" t="s">
        <v>8</v>
      </c>
      <c r="D11" s="16" t="s">
        <v>26</v>
      </c>
      <c r="E11" s="11">
        <v>4</v>
      </c>
      <c r="F11" s="11">
        <v>4</v>
      </c>
    </row>
    <row r="12" spans="1:7" ht="15.75" x14ac:dyDescent="0.2">
      <c r="D12" s="12" t="s">
        <v>27</v>
      </c>
      <c r="E12" s="17" t="s">
        <v>28</v>
      </c>
      <c r="F12" s="17">
        <f>SUM(F2:F11)</f>
        <v>42</v>
      </c>
      <c r="G12" s="5"/>
    </row>
    <row r="13" spans="1:7" x14ac:dyDescent="0.2">
      <c r="F13" s="18"/>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opLeftCell="A3" workbookViewId="0">
      <selection activeCell="C11" sqref="C11"/>
    </sheetView>
  </sheetViews>
  <sheetFormatPr defaultColWidth="27.5" defaultRowHeight="14.25" x14ac:dyDescent="0.2"/>
  <cols>
    <col min="1" max="1" width="7.625" style="6" customWidth="1"/>
    <col min="2" max="2" width="67.75" style="5" customWidth="1"/>
    <col min="3" max="3" width="66.125" style="5" customWidth="1"/>
    <col min="4" max="4" width="13.375" style="5" customWidth="1"/>
    <col min="5" max="5" width="39" style="5" customWidth="1"/>
    <col min="6" max="6" width="11.625" style="5" customWidth="1"/>
    <col min="7" max="16384" width="27.5" style="5"/>
  </cols>
  <sheetData>
    <row r="1" spans="1:6" ht="17.25" thickBot="1" x14ac:dyDescent="0.25">
      <c r="A1" s="3" t="s">
        <v>29</v>
      </c>
      <c r="B1" s="2" t="s">
        <v>30</v>
      </c>
      <c r="C1" s="2" t="s">
        <v>31</v>
      </c>
      <c r="D1" s="2" t="s">
        <v>32</v>
      </c>
      <c r="E1" s="2" t="s">
        <v>33</v>
      </c>
      <c r="F1" s="2" t="s">
        <v>34</v>
      </c>
    </row>
    <row r="2" spans="1:6" ht="88.9" customHeight="1" thickBot="1" x14ac:dyDescent="0.25">
      <c r="A2" s="4">
        <v>1</v>
      </c>
      <c r="B2" s="1" t="s">
        <v>35</v>
      </c>
      <c r="C2" s="1" t="s">
        <v>36</v>
      </c>
      <c r="D2" s="1" t="s">
        <v>37</v>
      </c>
      <c r="E2" s="1" t="s">
        <v>38</v>
      </c>
      <c r="F2" s="1" t="s">
        <v>39</v>
      </c>
    </row>
    <row r="3" spans="1:6" ht="66.75" thickBot="1" x14ac:dyDescent="0.25">
      <c r="A3" s="4">
        <v>2</v>
      </c>
      <c r="B3" s="1" t="s">
        <v>40</v>
      </c>
      <c r="C3" s="1" t="s">
        <v>41</v>
      </c>
      <c r="D3" s="1" t="s">
        <v>42</v>
      </c>
      <c r="E3" s="1" t="s">
        <v>43</v>
      </c>
      <c r="F3" s="1" t="s">
        <v>42</v>
      </c>
    </row>
    <row r="4" spans="1:6" ht="50.25" thickBot="1" x14ac:dyDescent="0.25">
      <c r="A4" s="4">
        <v>3</v>
      </c>
      <c r="B4" s="1" t="s">
        <v>44</v>
      </c>
      <c r="C4" s="1" t="s">
        <v>45</v>
      </c>
      <c r="D4" s="1" t="s">
        <v>46</v>
      </c>
      <c r="E4" s="1" t="s">
        <v>47</v>
      </c>
      <c r="F4" s="1" t="s">
        <v>48</v>
      </c>
    </row>
    <row r="5" spans="1:6" ht="83.25" thickBot="1" x14ac:dyDescent="0.25">
      <c r="A5" s="4">
        <v>4</v>
      </c>
      <c r="B5" s="1" t="s">
        <v>49</v>
      </c>
      <c r="C5" s="1" t="s">
        <v>50</v>
      </c>
      <c r="D5" s="1" t="s">
        <v>51</v>
      </c>
      <c r="E5" s="1" t="s">
        <v>52</v>
      </c>
      <c r="F5" s="1" t="s">
        <v>48</v>
      </c>
    </row>
    <row r="6" spans="1:6" ht="50.25" thickBot="1" x14ac:dyDescent="0.25">
      <c r="A6" s="4">
        <v>5</v>
      </c>
      <c r="B6" s="1" t="s">
        <v>53</v>
      </c>
      <c r="C6" s="1" t="s">
        <v>54</v>
      </c>
      <c r="D6" s="1" t="s">
        <v>46</v>
      </c>
      <c r="E6" s="1" t="s">
        <v>55</v>
      </c>
      <c r="F6" s="1" t="s">
        <v>48</v>
      </c>
    </row>
    <row r="7" spans="1:6" ht="33.75" thickBot="1" x14ac:dyDescent="0.25">
      <c r="A7" s="4">
        <v>6</v>
      </c>
      <c r="B7" s="1" t="s">
        <v>56</v>
      </c>
      <c r="C7" s="1" t="s">
        <v>57</v>
      </c>
      <c r="D7" s="1" t="s">
        <v>58</v>
      </c>
      <c r="E7" s="1" t="s">
        <v>59</v>
      </c>
      <c r="F7" s="1" t="s">
        <v>48</v>
      </c>
    </row>
    <row r="8" spans="1:6" ht="33.75" thickBot="1" x14ac:dyDescent="0.25">
      <c r="A8" s="4">
        <v>7</v>
      </c>
      <c r="B8" s="1" t="s">
        <v>60</v>
      </c>
      <c r="C8" s="1" t="s">
        <v>61</v>
      </c>
      <c r="D8" s="1" t="s">
        <v>62</v>
      </c>
      <c r="E8" s="1" t="s">
        <v>59</v>
      </c>
      <c r="F8" s="1" t="s">
        <v>48</v>
      </c>
    </row>
    <row r="9" spans="1:6" ht="33.75" thickBot="1" x14ac:dyDescent="0.25">
      <c r="A9" s="4">
        <v>8</v>
      </c>
      <c r="B9" s="1" t="s">
        <v>63</v>
      </c>
      <c r="C9" s="1" t="s">
        <v>64</v>
      </c>
      <c r="D9" s="1" t="s">
        <v>62</v>
      </c>
      <c r="E9" s="1" t="s">
        <v>65</v>
      </c>
      <c r="F9" s="1" t="s">
        <v>48</v>
      </c>
    </row>
    <row r="10" spans="1:6" ht="33.75" thickBot="1" x14ac:dyDescent="0.25">
      <c r="A10" s="4">
        <v>9</v>
      </c>
      <c r="B10" s="1" t="s">
        <v>66</v>
      </c>
      <c r="C10" s="1" t="s">
        <v>67</v>
      </c>
      <c r="D10" s="1" t="s">
        <v>46</v>
      </c>
      <c r="E10" s="1" t="s">
        <v>68</v>
      </c>
      <c r="F10" s="1" t="s">
        <v>48</v>
      </c>
    </row>
    <row r="11" spans="1:6" ht="33.75" thickBot="1" x14ac:dyDescent="0.25">
      <c r="A11" s="4">
        <v>10</v>
      </c>
      <c r="B11" s="1" t="s">
        <v>69</v>
      </c>
      <c r="C11" s="1" t="s">
        <v>70</v>
      </c>
      <c r="D11" s="1" t="s">
        <v>46</v>
      </c>
      <c r="E11" s="1" t="s">
        <v>71</v>
      </c>
      <c r="F11" s="1" t="s">
        <v>48</v>
      </c>
    </row>
    <row r="12" spans="1:6" ht="50.25" thickBot="1" x14ac:dyDescent="0.25">
      <c r="A12" s="4">
        <v>11</v>
      </c>
      <c r="B12" s="1" t="s">
        <v>72</v>
      </c>
      <c r="C12" s="1" t="s">
        <v>73</v>
      </c>
      <c r="D12" s="1" t="s">
        <v>46</v>
      </c>
      <c r="E12" s="1" t="s">
        <v>74</v>
      </c>
      <c r="F12" s="1" t="s">
        <v>48</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9CD6C807-34B6-45AB-8625-6346050FD97D}"/>
</file>

<file path=customXml/itemProps2.xml><?xml version="1.0" encoding="utf-8"?>
<ds:datastoreItem xmlns:ds="http://schemas.openxmlformats.org/officeDocument/2006/customXml" ds:itemID="{95D5A3DF-9B8E-437F-9F4C-889365AAC1B6}">
  <ds:schemaRefs>
    <ds:schemaRef ds:uri="http://schemas.microsoft.com/sharepoint/v3/contenttype/forms"/>
  </ds:schemaRefs>
</ds:datastoreItem>
</file>

<file path=customXml/itemProps3.xml><?xml version="1.0" encoding="utf-8"?>
<ds:datastoreItem xmlns:ds="http://schemas.openxmlformats.org/officeDocument/2006/customXml" ds:itemID="{DA97FA38-FD55-4C10-8497-2FBCBC3394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Analysis</vt:lpstr>
      <vt:lpstr>To customer</vt:lpstr>
      <vt:lpstr>Sheet2</vt:lpstr>
      <vt:lpstr>Sheet1</vt:lpstr>
      <vt:lpstr>SMIDI Discussion_0725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Mengran Xiao</dc:creator>
  <cp:keywords/>
  <dc:description/>
  <cp:lastModifiedBy>Zhang, Zhenjuan</cp:lastModifiedBy>
  <cp:revision/>
  <dcterms:created xsi:type="dcterms:W3CDTF">2015-06-05T18:17:20Z</dcterms:created>
  <dcterms:modified xsi:type="dcterms:W3CDTF">2024-08-07T09:35:12Z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