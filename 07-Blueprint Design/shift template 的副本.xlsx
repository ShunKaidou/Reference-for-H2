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F:\张振娟工作文件夹\Henkel 汉高\蓝图\"/>
    </mc:Choice>
  </mc:AlternateContent>
  <xr:revisionPtr revIDLastSave="0" documentId="8_{ABA08783-1032-446D-B7FC-8FD30C66598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tion" sheetId="25" r:id="rId1"/>
    <sheet name="Shift Arrangement  Henkel" sheetId="24" r:id="rId2"/>
    <sheet name=" Outsourcing Daily Worhing Hrs" sheetId="26" r:id="rId3"/>
  </sheets>
  <definedNames>
    <definedName name="_xlnm._FilterDatabase" localSheetId="1" hidden="1">'Shift Arrangement  Henkel'!$A$5:$I$70</definedName>
    <definedName name="_xlnm.Print_Area" localSheetId="1">'Shift Arrangement  Henkel'!$A$1:$CF$74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7" i="24" l="1"/>
  <c r="CH16" i="24"/>
  <c r="CH17" i="24"/>
  <c r="CH18" i="24"/>
  <c r="CH19" i="24"/>
  <c r="CH20" i="24"/>
  <c r="CH21" i="24"/>
  <c r="CH22" i="24"/>
  <c r="CH23" i="24"/>
  <c r="CH24" i="24"/>
  <c r="CH25" i="24"/>
  <c r="CH26" i="24"/>
  <c r="CH27" i="24"/>
  <c r="CH28" i="24"/>
  <c r="CH29" i="24"/>
  <c r="CH30" i="24"/>
  <c r="CH31" i="24"/>
  <c r="CH32" i="24"/>
  <c r="CH33" i="24"/>
  <c r="CH34" i="24"/>
  <c r="CH35" i="24"/>
  <c r="CH36" i="24"/>
  <c r="CH37" i="24"/>
  <c r="CH38" i="24"/>
  <c r="CH39" i="24"/>
  <c r="CH40" i="24"/>
  <c r="CH41" i="24"/>
  <c r="CH42" i="24"/>
  <c r="CH43" i="24"/>
  <c r="CH44" i="24"/>
  <c r="CH45" i="24"/>
  <c r="CH46" i="24"/>
  <c r="CH47" i="24"/>
  <c r="CH48" i="24"/>
  <c r="CH49" i="24"/>
  <c r="CH50" i="24"/>
  <c r="CH51" i="24"/>
  <c r="CH52" i="24"/>
  <c r="CH53" i="24"/>
  <c r="CH54" i="24"/>
  <c r="CH55" i="24"/>
  <c r="CH56" i="24"/>
  <c r="CH57" i="24"/>
  <c r="CH58" i="24"/>
  <c r="CH59" i="24"/>
  <c r="CH60" i="24"/>
  <c r="CH61" i="24"/>
  <c r="CH62" i="24"/>
  <c r="CH63" i="24"/>
  <c r="CH64" i="24"/>
  <c r="CH65" i="24"/>
  <c r="CH66" i="24"/>
  <c r="CH67" i="24"/>
  <c r="CH68" i="24"/>
  <c r="CH69" i="24"/>
  <c r="CH70" i="24"/>
  <c r="CR12" i="24"/>
  <c r="CQ12" i="24"/>
  <c r="CP12" i="24"/>
  <c r="CO12" i="24"/>
  <c r="CN12" i="24"/>
  <c r="CM12" i="24"/>
  <c r="CL12" i="24"/>
  <c r="CK12" i="24"/>
  <c r="CH12" i="24" s="1"/>
  <c r="CE12" i="24"/>
  <c r="CD12" i="24"/>
  <c r="CC12" i="24"/>
  <c r="CB12" i="24"/>
  <c r="CA12" i="24"/>
  <c r="BZ12" i="24"/>
  <c r="BY12" i="24"/>
  <c r="BX12" i="24"/>
  <c r="BW12" i="24"/>
  <c r="BV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H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CF12" i="24" l="1" a="1"/>
  <c r="CF12" i="24" s="1"/>
  <c r="AT12" i="24"/>
  <c r="CJ12" i="24"/>
  <c r="AN6" i="26"/>
  <c r="CL70" i="24" l="1"/>
  <c r="CL69" i="24"/>
  <c r="CL68" i="24"/>
  <c r="CL67" i="24"/>
  <c r="CL66" i="24"/>
  <c r="CL65" i="24"/>
  <c r="CL64" i="24"/>
  <c r="CL63" i="24"/>
  <c r="CL62" i="24"/>
  <c r="CL61" i="24"/>
  <c r="CL60" i="24"/>
  <c r="CL59" i="24"/>
  <c r="CL58" i="24"/>
  <c r="CL57" i="24"/>
  <c r="CL56" i="24"/>
  <c r="CL55" i="24"/>
  <c r="CL54" i="24"/>
  <c r="CL53" i="24"/>
  <c r="CL52" i="24"/>
  <c r="CL51" i="24"/>
  <c r="CL50" i="24"/>
  <c r="CL49" i="24"/>
  <c r="CL48" i="24"/>
  <c r="CL47" i="24"/>
  <c r="CL46" i="24"/>
  <c r="CL45" i="24"/>
  <c r="CL44" i="24"/>
  <c r="CL43" i="24"/>
  <c r="CL42" i="24"/>
  <c r="CL41" i="24"/>
  <c r="CL40" i="24"/>
  <c r="CL39" i="24"/>
  <c r="CL38" i="24"/>
  <c r="CL37" i="24"/>
  <c r="CL36" i="24"/>
  <c r="CL35" i="24"/>
  <c r="CL34" i="24"/>
  <c r="CL33" i="24"/>
  <c r="CL32" i="24"/>
  <c r="CL31" i="24"/>
  <c r="CL30" i="24"/>
  <c r="CL29" i="24"/>
  <c r="CL28" i="24"/>
  <c r="CL27" i="24"/>
  <c r="CJ27" i="24" s="1"/>
  <c r="CL26" i="24"/>
  <c r="CL25" i="24"/>
  <c r="CL24" i="24"/>
  <c r="CL23" i="24"/>
  <c r="CL22" i="24"/>
  <c r="CL21" i="24"/>
  <c r="CL20" i="24"/>
  <c r="CL19" i="24"/>
  <c r="CL18" i="24"/>
  <c r="CL17" i="24"/>
  <c r="CL16" i="24"/>
  <c r="CL15" i="24"/>
  <c r="CL11" i="24"/>
  <c r="CL14" i="24"/>
  <c r="CL10" i="24"/>
  <c r="CL8" i="24"/>
  <c r="CL13" i="24"/>
  <c r="CL9" i="24"/>
  <c r="CM7" i="24"/>
  <c r="CL7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BS13" i="24"/>
  <c r="BT13" i="24"/>
  <c r="BU13" i="24"/>
  <c r="BV13" i="24"/>
  <c r="BW13" i="24"/>
  <c r="BX13" i="24"/>
  <c r="BY13" i="24"/>
  <c r="BZ13" i="24"/>
  <c r="CA13" i="24"/>
  <c r="CB13" i="24"/>
  <c r="CC13" i="24"/>
  <c r="CD13" i="24"/>
  <c r="CE13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BS10" i="24"/>
  <c r="BT10" i="24"/>
  <c r="BU10" i="24"/>
  <c r="BV10" i="24"/>
  <c r="BW10" i="24"/>
  <c r="BX10" i="24"/>
  <c r="BY10" i="24"/>
  <c r="BZ10" i="24"/>
  <c r="CA10" i="24"/>
  <c r="CB10" i="24"/>
  <c r="CC10" i="24"/>
  <c r="CD10" i="24"/>
  <c r="CE10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BS14" i="24"/>
  <c r="BT14" i="24"/>
  <c r="BU14" i="24"/>
  <c r="BV14" i="24"/>
  <c r="BW14" i="24"/>
  <c r="BX14" i="24"/>
  <c r="BY14" i="24"/>
  <c r="BZ14" i="24"/>
  <c r="CA14" i="24"/>
  <c r="CB14" i="24"/>
  <c r="CC14" i="24"/>
  <c r="CD14" i="24"/>
  <c r="CE14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BS11" i="24"/>
  <c r="BT11" i="24"/>
  <c r="BU11" i="24"/>
  <c r="BV11" i="24"/>
  <c r="BW11" i="24"/>
  <c r="BX11" i="24"/>
  <c r="BY11" i="24"/>
  <c r="BZ11" i="24"/>
  <c r="CA11" i="24"/>
  <c r="CB11" i="24"/>
  <c r="CC11" i="24"/>
  <c r="CD11" i="24"/>
  <c r="CE11" i="24"/>
  <c r="AU15" i="24"/>
  <c r="AV15" i="24"/>
  <c r="AW15" i="24"/>
  <c r="AX15" i="24"/>
  <c r="AY15" i="24"/>
  <c r="AZ15" i="24"/>
  <c r="BA15" i="24"/>
  <c r="BB15" i="24"/>
  <c r="BC15" i="24"/>
  <c r="BD15" i="24"/>
  <c r="BE15" i="24"/>
  <c r="BF15" i="24"/>
  <c r="BG15" i="24"/>
  <c r="BH15" i="24"/>
  <c r="BI15" i="24"/>
  <c r="BJ15" i="24"/>
  <c r="BK15" i="24"/>
  <c r="BL15" i="24"/>
  <c r="BM15" i="24"/>
  <c r="BN15" i="24"/>
  <c r="BO15" i="24"/>
  <c r="BP15" i="24"/>
  <c r="BQ15" i="24"/>
  <c r="BR15" i="24"/>
  <c r="BS15" i="24"/>
  <c r="BT15" i="24"/>
  <c r="BU15" i="24"/>
  <c r="BV15" i="24"/>
  <c r="BW15" i="24"/>
  <c r="BX15" i="24"/>
  <c r="BY15" i="24"/>
  <c r="BZ15" i="24"/>
  <c r="CA15" i="24"/>
  <c r="CB15" i="24"/>
  <c r="CC15" i="24"/>
  <c r="CD15" i="24"/>
  <c r="CE15" i="24"/>
  <c r="AU16" i="24"/>
  <c r="AV16" i="24"/>
  <c r="AW16" i="24"/>
  <c r="AX16" i="24"/>
  <c r="AY16" i="24"/>
  <c r="AZ16" i="24"/>
  <c r="BA16" i="24"/>
  <c r="BB16" i="24"/>
  <c r="BC16" i="24"/>
  <c r="BD16" i="24"/>
  <c r="BE16" i="24"/>
  <c r="BF16" i="24"/>
  <c r="BG16" i="24"/>
  <c r="BH16" i="24"/>
  <c r="BI16" i="24"/>
  <c r="BJ16" i="24"/>
  <c r="BK16" i="24"/>
  <c r="BL16" i="24"/>
  <c r="BM16" i="24"/>
  <c r="BN16" i="24"/>
  <c r="BO16" i="24"/>
  <c r="BP16" i="24"/>
  <c r="BQ16" i="24"/>
  <c r="BR16" i="24"/>
  <c r="BS16" i="24"/>
  <c r="BT16" i="24"/>
  <c r="BU16" i="24"/>
  <c r="BV16" i="24"/>
  <c r="BW16" i="24"/>
  <c r="BX16" i="24"/>
  <c r="BY16" i="24"/>
  <c r="BZ16" i="24"/>
  <c r="CA16" i="24"/>
  <c r="CB16" i="24"/>
  <c r="CC16" i="24"/>
  <c r="CD16" i="24"/>
  <c r="CE16" i="24"/>
  <c r="AU17" i="24"/>
  <c r="AV17" i="24"/>
  <c r="AW17" i="24"/>
  <c r="AX17" i="24"/>
  <c r="AY17" i="24"/>
  <c r="AZ17" i="24"/>
  <c r="BA17" i="24"/>
  <c r="BB17" i="24"/>
  <c r="BC17" i="24"/>
  <c r="BD17" i="24"/>
  <c r="BE17" i="24"/>
  <c r="BF17" i="24"/>
  <c r="BG17" i="24"/>
  <c r="BH17" i="24"/>
  <c r="BI17" i="24"/>
  <c r="BJ17" i="24"/>
  <c r="BK17" i="24"/>
  <c r="BL17" i="24"/>
  <c r="BM17" i="24"/>
  <c r="BN17" i="24"/>
  <c r="BO17" i="24"/>
  <c r="BP17" i="24"/>
  <c r="BQ17" i="24"/>
  <c r="BR17" i="24"/>
  <c r="BS17" i="24"/>
  <c r="BT17" i="24"/>
  <c r="BU17" i="24"/>
  <c r="BV17" i="24"/>
  <c r="BW17" i="24"/>
  <c r="BX17" i="24"/>
  <c r="BY17" i="24"/>
  <c r="BZ17" i="24"/>
  <c r="CA17" i="24"/>
  <c r="CB17" i="24"/>
  <c r="CC17" i="24"/>
  <c r="CD17" i="24"/>
  <c r="CE17" i="24"/>
  <c r="AU18" i="24"/>
  <c r="AV18" i="24"/>
  <c r="AW18" i="24"/>
  <c r="AX18" i="24"/>
  <c r="AY18" i="24"/>
  <c r="AZ18" i="24"/>
  <c r="BA18" i="24"/>
  <c r="BB18" i="24"/>
  <c r="BC18" i="24"/>
  <c r="BD18" i="24"/>
  <c r="BE18" i="24"/>
  <c r="BF18" i="24"/>
  <c r="BG18" i="24"/>
  <c r="BH18" i="24"/>
  <c r="BI18" i="24"/>
  <c r="BJ18" i="24"/>
  <c r="BK18" i="24"/>
  <c r="BL18" i="24"/>
  <c r="BM18" i="24"/>
  <c r="BN18" i="24"/>
  <c r="BO18" i="24"/>
  <c r="BP18" i="24"/>
  <c r="BQ18" i="24"/>
  <c r="BR18" i="24"/>
  <c r="BS18" i="24"/>
  <c r="BT18" i="24"/>
  <c r="BU18" i="24"/>
  <c r="BV18" i="24"/>
  <c r="BW18" i="24"/>
  <c r="BX18" i="24"/>
  <c r="BY18" i="24"/>
  <c r="BZ18" i="24"/>
  <c r="CA18" i="24"/>
  <c r="CB18" i="24"/>
  <c r="CC18" i="24"/>
  <c r="CD18" i="24"/>
  <c r="CE18" i="24"/>
  <c r="AU19" i="24"/>
  <c r="AV19" i="24"/>
  <c r="AW19" i="24"/>
  <c r="AX19" i="24"/>
  <c r="AY19" i="24"/>
  <c r="AZ19" i="24"/>
  <c r="BA19" i="24"/>
  <c r="BB19" i="24"/>
  <c r="BC19" i="24"/>
  <c r="BD19" i="24"/>
  <c r="BE19" i="24"/>
  <c r="BF19" i="24"/>
  <c r="BG19" i="24"/>
  <c r="BH19" i="24"/>
  <c r="BI19" i="24"/>
  <c r="BJ19" i="24"/>
  <c r="BK19" i="24"/>
  <c r="BL19" i="24"/>
  <c r="BM19" i="24"/>
  <c r="BN19" i="24"/>
  <c r="BO19" i="24"/>
  <c r="BP19" i="24"/>
  <c r="BQ19" i="24"/>
  <c r="BR19" i="24"/>
  <c r="BS19" i="24"/>
  <c r="BT19" i="24"/>
  <c r="BU19" i="24"/>
  <c r="BV19" i="24"/>
  <c r="BW19" i="24"/>
  <c r="BX19" i="24"/>
  <c r="BY19" i="24"/>
  <c r="BZ19" i="24"/>
  <c r="CA19" i="24"/>
  <c r="CB19" i="24"/>
  <c r="CC19" i="24"/>
  <c r="CD19" i="24"/>
  <c r="CE19" i="24"/>
  <c r="AU20" i="24"/>
  <c r="AV20" i="24"/>
  <c r="AW20" i="24"/>
  <c r="AX20" i="24"/>
  <c r="AY20" i="24"/>
  <c r="AZ20" i="24"/>
  <c r="BA20" i="24"/>
  <c r="BB20" i="24"/>
  <c r="BC20" i="24"/>
  <c r="BD20" i="24"/>
  <c r="BE20" i="24"/>
  <c r="BF20" i="24"/>
  <c r="BG20" i="24"/>
  <c r="BH20" i="24"/>
  <c r="BI20" i="24"/>
  <c r="BJ20" i="24"/>
  <c r="BK20" i="24"/>
  <c r="BL20" i="24"/>
  <c r="BM20" i="24"/>
  <c r="BN20" i="24"/>
  <c r="BO20" i="24"/>
  <c r="BP20" i="24"/>
  <c r="BQ20" i="24"/>
  <c r="BR20" i="24"/>
  <c r="BS20" i="24"/>
  <c r="BT20" i="24"/>
  <c r="BU20" i="24"/>
  <c r="BV20" i="24"/>
  <c r="BW20" i="24"/>
  <c r="BX20" i="24"/>
  <c r="BY20" i="24"/>
  <c r="BZ20" i="24"/>
  <c r="CA20" i="24"/>
  <c r="CB20" i="24"/>
  <c r="CC20" i="24"/>
  <c r="CD20" i="24"/>
  <c r="CE20" i="24"/>
  <c r="AU21" i="24"/>
  <c r="AV21" i="24"/>
  <c r="AW21" i="24"/>
  <c r="AX21" i="24"/>
  <c r="AY21" i="24"/>
  <c r="AZ21" i="24"/>
  <c r="BA21" i="24"/>
  <c r="BB21" i="24"/>
  <c r="BC21" i="24"/>
  <c r="BD21" i="24"/>
  <c r="BE21" i="24"/>
  <c r="BF21" i="24"/>
  <c r="BG21" i="24"/>
  <c r="BH21" i="24"/>
  <c r="BI21" i="24"/>
  <c r="BJ21" i="24"/>
  <c r="BK21" i="24"/>
  <c r="BL21" i="24"/>
  <c r="BM21" i="24"/>
  <c r="BN21" i="24"/>
  <c r="BO21" i="24"/>
  <c r="BP21" i="24"/>
  <c r="BQ21" i="24"/>
  <c r="BR21" i="24"/>
  <c r="BS21" i="24"/>
  <c r="BT21" i="24"/>
  <c r="BU21" i="24"/>
  <c r="BV21" i="24"/>
  <c r="BW21" i="24"/>
  <c r="BX21" i="24"/>
  <c r="BY21" i="24"/>
  <c r="BZ21" i="24"/>
  <c r="CA21" i="24"/>
  <c r="CB21" i="24"/>
  <c r="CC21" i="24"/>
  <c r="CD21" i="24"/>
  <c r="CE21" i="24"/>
  <c r="AU22" i="24"/>
  <c r="AV22" i="24"/>
  <c r="AW22" i="24"/>
  <c r="AX22" i="24"/>
  <c r="AY22" i="24"/>
  <c r="AZ22" i="24"/>
  <c r="BA22" i="24"/>
  <c r="BB22" i="24"/>
  <c r="BC22" i="24"/>
  <c r="BD22" i="24"/>
  <c r="BE22" i="24"/>
  <c r="BF22" i="24"/>
  <c r="BG22" i="24"/>
  <c r="BH22" i="24"/>
  <c r="BI22" i="24"/>
  <c r="BJ22" i="24"/>
  <c r="BK22" i="24"/>
  <c r="BL22" i="24"/>
  <c r="BM22" i="24"/>
  <c r="BN22" i="24"/>
  <c r="BO22" i="24"/>
  <c r="BP22" i="24"/>
  <c r="BQ22" i="24"/>
  <c r="BR22" i="24"/>
  <c r="BS22" i="24"/>
  <c r="BT22" i="24"/>
  <c r="BU22" i="24"/>
  <c r="BV22" i="24"/>
  <c r="BW22" i="24"/>
  <c r="BX22" i="24"/>
  <c r="BY22" i="24"/>
  <c r="BZ22" i="24"/>
  <c r="CA22" i="24"/>
  <c r="CB22" i="24"/>
  <c r="CC22" i="24"/>
  <c r="CD22" i="24"/>
  <c r="CE22" i="24"/>
  <c r="AU23" i="24"/>
  <c r="AV23" i="24"/>
  <c r="AW23" i="24"/>
  <c r="AX23" i="24"/>
  <c r="AY23" i="24"/>
  <c r="AZ23" i="24"/>
  <c r="BA23" i="24"/>
  <c r="BB23" i="24"/>
  <c r="BC23" i="24"/>
  <c r="BD23" i="24"/>
  <c r="BE23" i="24"/>
  <c r="BF23" i="24"/>
  <c r="BG23" i="24"/>
  <c r="BH23" i="24"/>
  <c r="BI23" i="24"/>
  <c r="BJ23" i="24"/>
  <c r="BK23" i="24"/>
  <c r="BL23" i="24"/>
  <c r="BM23" i="24"/>
  <c r="BN23" i="24"/>
  <c r="BO23" i="24"/>
  <c r="BP23" i="24"/>
  <c r="BQ23" i="24"/>
  <c r="BR23" i="24"/>
  <c r="BS23" i="24"/>
  <c r="BT23" i="24"/>
  <c r="BU23" i="24"/>
  <c r="BV23" i="24"/>
  <c r="BW23" i="24"/>
  <c r="BX23" i="24"/>
  <c r="BY23" i="24"/>
  <c r="BZ23" i="24"/>
  <c r="CA23" i="24"/>
  <c r="CB23" i="24"/>
  <c r="CC23" i="24"/>
  <c r="CD23" i="24"/>
  <c r="CE23" i="24"/>
  <c r="AU24" i="24"/>
  <c r="AV24" i="24"/>
  <c r="AW24" i="24"/>
  <c r="AX24" i="24"/>
  <c r="AY24" i="24"/>
  <c r="AZ24" i="24"/>
  <c r="BA24" i="24"/>
  <c r="BB24" i="24"/>
  <c r="BC24" i="24"/>
  <c r="BD24" i="24"/>
  <c r="BE24" i="24"/>
  <c r="BF24" i="24"/>
  <c r="BG24" i="24"/>
  <c r="BH24" i="24"/>
  <c r="BI24" i="24"/>
  <c r="BJ24" i="24"/>
  <c r="BK24" i="24"/>
  <c r="BL24" i="24"/>
  <c r="BM24" i="24"/>
  <c r="BN24" i="24"/>
  <c r="BO24" i="24"/>
  <c r="BP24" i="24"/>
  <c r="BQ24" i="24"/>
  <c r="BR24" i="24"/>
  <c r="BS24" i="24"/>
  <c r="BT24" i="24"/>
  <c r="BU24" i="24"/>
  <c r="BV24" i="24"/>
  <c r="BW24" i="24"/>
  <c r="BX24" i="24"/>
  <c r="BY24" i="24"/>
  <c r="BZ24" i="24"/>
  <c r="CA24" i="24"/>
  <c r="CB24" i="24"/>
  <c r="CC24" i="24"/>
  <c r="CD24" i="24"/>
  <c r="CE24" i="24"/>
  <c r="AU25" i="24"/>
  <c r="AV25" i="24"/>
  <c r="AW25" i="24"/>
  <c r="AX25" i="24"/>
  <c r="AY25" i="24"/>
  <c r="AZ25" i="24"/>
  <c r="BA25" i="24"/>
  <c r="BB25" i="24"/>
  <c r="BC25" i="24"/>
  <c r="BD25" i="24"/>
  <c r="BE25" i="24"/>
  <c r="BF25" i="24"/>
  <c r="BG25" i="24"/>
  <c r="BH25" i="24"/>
  <c r="BI25" i="24"/>
  <c r="BJ25" i="24"/>
  <c r="BK25" i="24"/>
  <c r="BL25" i="24"/>
  <c r="BM25" i="24"/>
  <c r="BN25" i="24"/>
  <c r="BO25" i="24"/>
  <c r="BP25" i="24"/>
  <c r="BQ25" i="24"/>
  <c r="BR25" i="24"/>
  <c r="BS25" i="24"/>
  <c r="BT25" i="24"/>
  <c r="BU25" i="24"/>
  <c r="BV25" i="24"/>
  <c r="BW25" i="24"/>
  <c r="BX25" i="24"/>
  <c r="BY25" i="24"/>
  <c r="BZ25" i="24"/>
  <c r="CA25" i="24"/>
  <c r="CB25" i="24"/>
  <c r="CC25" i="24"/>
  <c r="CD25" i="24"/>
  <c r="CE25" i="24"/>
  <c r="AU26" i="24"/>
  <c r="AV26" i="24"/>
  <c r="AW26" i="24"/>
  <c r="AX26" i="24"/>
  <c r="AY26" i="24"/>
  <c r="AZ26" i="24"/>
  <c r="BA26" i="24"/>
  <c r="BB26" i="24"/>
  <c r="BC26" i="24"/>
  <c r="BD26" i="24"/>
  <c r="BE26" i="24"/>
  <c r="BF26" i="24"/>
  <c r="BG26" i="24"/>
  <c r="BH26" i="24"/>
  <c r="BI26" i="24"/>
  <c r="BJ26" i="24"/>
  <c r="BK26" i="24"/>
  <c r="BL26" i="24"/>
  <c r="BM26" i="24"/>
  <c r="BN26" i="24"/>
  <c r="BO26" i="24"/>
  <c r="BP26" i="24"/>
  <c r="BQ26" i="24"/>
  <c r="BR26" i="24"/>
  <c r="BS26" i="24"/>
  <c r="BT26" i="24"/>
  <c r="BU26" i="24"/>
  <c r="BV26" i="24"/>
  <c r="BW26" i="24"/>
  <c r="BX26" i="24"/>
  <c r="BY26" i="24"/>
  <c r="BZ26" i="24"/>
  <c r="CA26" i="24"/>
  <c r="CB26" i="24"/>
  <c r="CC26" i="24"/>
  <c r="CD26" i="24"/>
  <c r="CE26" i="24"/>
  <c r="AU27" i="24"/>
  <c r="AV27" i="24"/>
  <c r="AW27" i="24"/>
  <c r="AX27" i="24"/>
  <c r="AY27" i="24"/>
  <c r="AZ27" i="24"/>
  <c r="BA27" i="24"/>
  <c r="BB27" i="24"/>
  <c r="BC27" i="24"/>
  <c r="BD27" i="24"/>
  <c r="BE27" i="24"/>
  <c r="BF27" i="24"/>
  <c r="BG27" i="24"/>
  <c r="BH27" i="24"/>
  <c r="BI27" i="24"/>
  <c r="BJ27" i="24"/>
  <c r="BK27" i="24"/>
  <c r="BL27" i="24"/>
  <c r="BM27" i="24"/>
  <c r="BN27" i="24"/>
  <c r="BO27" i="24"/>
  <c r="BP27" i="24"/>
  <c r="BQ27" i="24"/>
  <c r="BR27" i="24"/>
  <c r="BS27" i="24"/>
  <c r="BT27" i="24"/>
  <c r="BU27" i="24"/>
  <c r="BV27" i="24"/>
  <c r="BW27" i="24"/>
  <c r="BX27" i="24"/>
  <c r="BY27" i="24"/>
  <c r="BZ27" i="24"/>
  <c r="CA27" i="24"/>
  <c r="CB27" i="24"/>
  <c r="CC27" i="24"/>
  <c r="CD27" i="24"/>
  <c r="CE27" i="24"/>
  <c r="AU28" i="24"/>
  <c r="AV28" i="24"/>
  <c r="AW28" i="24"/>
  <c r="AX28" i="24"/>
  <c r="AY28" i="24"/>
  <c r="AZ28" i="24"/>
  <c r="BA28" i="24"/>
  <c r="BB28" i="24"/>
  <c r="BC28" i="24"/>
  <c r="BD28" i="24"/>
  <c r="BE28" i="24"/>
  <c r="BF28" i="24"/>
  <c r="BG28" i="24"/>
  <c r="BH28" i="24"/>
  <c r="BI28" i="24"/>
  <c r="BJ28" i="24"/>
  <c r="BK28" i="24"/>
  <c r="BL28" i="24"/>
  <c r="BM28" i="24"/>
  <c r="BN28" i="24"/>
  <c r="BO28" i="24"/>
  <c r="BP28" i="24"/>
  <c r="BQ28" i="24"/>
  <c r="BR28" i="24"/>
  <c r="BS28" i="24"/>
  <c r="BT28" i="24"/>
  <c r="BU28" i="24"/>
  <c r="BV28" i="24"/>
  <c r="BW28" i="24"/>
  <c r="BX28" i="24"/>
  <c r="BY28" i="24"/>
  <c r="BZ28" i="24"/>
  <c r="CA28" i="24"/>
  <c r="CB28" i="24"/>
  <c r="CC28" i="24"/>
  <c r="CD28" i="24"/>
  <c r="CE28" i="24"/>
  <c r="AU29" i="24"/>
  <c r="AV29" i="24"/>
  <c r="AW29" i="24"/>
  <c r="AX29" i="24"/>
  <c r="AY29" i="24"/>
  <c r="AZ29" i="24"/>
  <c r="BA29" i="24"/>
  <c r="BB29" i="24"/>
  <c r="BC29" i="24"/>
  <c r="BD29" i="24"/>
  <c r="BE29" i="24"/>
  <c r="BF29" i="24"/>
  <c r="BG29" i="24"/>
  <c r="BH29" i="24"/>
  <c r="BI29" i="24"/>
  <c r="BJ29" i="24"/>
  <c r="BK29" i="24"/>
  <c r="BL29" i="24"/>
  <c r="BM29" i="24"/>
  <c r="BN29" i="24"/>
  <c r="BO29" i="24"/>
  <c r="BP29" i="24"/>
  <c r="BQ29" i="24"/>
  <c r="BR29" i="24"/>
  <c r="BS29" i="24"/>
  <c r="BT29" i="24"/>
  <c r="BU29" i="24"/>
  <c r="BV29" i="24"/>
  <c r="BW29" i="24"/>
  <c r="BX29" i="24"/>
  <c r="BY29" i="24"/>
  <c r="BZ29" i="24"/>
  <c r="CA29" i="24"/>
  <c r="CB29" i="24"/>
  <c r="CC29" i="24"/>
  <c r="CD29" i="24"/>
  <c r="CE29" i="24"/>
  <c r="AU30" i="24"/>
  <c r="AV30" i="24"/>
  <c r="AW30" i="24"/>
  <c r="AX30" i="24"/>
  <c r="AY30" i="24"/>
  <c r="AZ30" i="24"/>
  <c r="BA30" i="24"/>
  <c r="BB30" i="24"/>
  <c r="BC30" i="24"/>
  <c r="BD30" i="24"/>
  <c r="BE30" i="24"/>
  <c r="BF30" i="24"/>
  <c r="BG30" i="24"/>
  <c r="BH30" i="24"/>
  <c r="BI30" i="24"/>
  <c r="BJ30" i="24"/>
  <c r="BK30" i="24"/>
  <c r="BL30" i="24"/>
  <c r="BM30" i="24"/>
  <c r="BN30" i="24"/>
  <c r="BO30" i="24"/>
  <c r="BP30" i="24"/>
  <c r="BQ30" i="24"/>
  <c r="BR30" i="24"/>
  <c r="BS30" i="24"/>
  <c r="BT30" i="24"/>
  <c r="BU30" i="24"/>
  <c r="BV30" i="24"/>
  <c r="BW30" i="24"/>
  <c r="BX30" i="24"/>
  <c r="BY30" i="24"/>
  <c r="BZ30" i="24"/>
  <c r="CA30" i="24"/>
  <c r="CB30" i="24"/>
  <c r="CC30" i="24"/>
  <c r="CD30" i="24"/>
  <c r="CE30" i="24"/>
  <c r="AU31" i="24"/>
  <c r="AV31" i="24"/>
  <c r="AW31" i="24"/>
  <c r="AX31" i="24"/>
  <c r="AY31" i="24"/>
  <c r="AZ31" i="24"/>
  <c r="BA31" i="24"/>
  <c r="BB31" i="24"/>
  <c r="BC31" i="24"/>
  <c r="BD31" i="24"/>
  <c r="BE31" i="24"/>
  <c r="BF31" i="24"/>
  <c r="BG31" i="24"/>
  <c r="BH31" i="24"/>
  <c r="BI31" i="24"/>
  <c r="BJ31" i="24"/>
  <c r="BK31" i="24"/>
  <c r="BL31" i="24"/>
  <c r="BM31" i="24"/>
  <c r="BN31" i="24"/>
  <c r="BO31" i="24"/>
  <c r="BP31" i="24"/>
  <c r="BQ31" i="24"/>
  <c r="BR31" i="24"/>
  <c r="BS31" i="24"/>
  <c r="BT31" i="24"/>
  <c r="BU31" i="24"/>
  <c r="BV31" i="24"/>
  <c r="BW31" i="24"/>
  <c r="BX31" i="24"/>
  <c r="BY31" i="24"/>
  <c r="BZ31" i="24"/>
  <c r="CA31" i="24"/>
  <c r="CB31" i="24"/>
  <c r="CC31" i="24"/>
  <c r="CD31" i="24"/>
  <c r="CE31" i="24"/>
  <c r="AU32" i="24"/>
  <c r="AV32" i="24"/>
  <c r="AW32" i="24"/>
  <c r="AX32" i="24"/>
  <c r="AY32" i="24"/>
  <c r="AZ32" i="24"/>
  <c r="BA32" i="24"/>
  <c r="BB32" i="24"/>
  <c r="BC32" i="24"/>
  <c r="BD32" i="24"/>
  <c r="BE32" i="24"/>
  <c r="BF32" i="24"/>
  <c r="BG32" i="24"/>
  <c r="BH32" i="24"/>
  <c r="BI32" i="24"/>
  <c r="BJ32" i="24"/>
  <c r="BK32" i="24"/>
  <c r="BL32" i="24"/>
  <c r="BM32" i="24"/>
  <c r="BN32" i="24"/>
  <c r="BO32" i="24"/>
  <c r="BP32" i="24"/>
  <c r="BQ32" i="24"/>
  <c r="BR32" i="24"/>
  <c r="BS32" i="24"/>
  <c r="BT32" i="24"/>
  <c r="BU32" i="24"/>
  <c r="BV32" i="24"/>
  <c r="BW32" i="24"/>
  <c r="BX32" i="24"/>
  <c r="BY32" i="24"/>
  <c r="BZ32" i="24"/>
  <c r="CA32" i="24"/>
  <c r="CB32" i="24"/>
  <c r="CC32" i="24"/>
  <c r="CD32" i="24"/>
  <c r="CE32" i="24"/>
  <c r="AU33" i="24"/>
  <c r="AV33" i="24"/>
  <c r="AW33" i="24"/>
  <c r="AX33" i="24"/>
  <c r="AY33" i="24"/>
  <c r="AZ33" i="24"/>
  <c r="BA33" i="24"/>
  <c r="BB33" i="24"/>
  <c r="BC33" i="24"/>
  <c r="BD33" i="24"/>
  <c r="BE33" i="24"/>
  <c r="BF33" i="24"/>
  <c r="BG33" i="24"/>
  <c r="BH33" i="24"/>
  <c r="BI33" i="24"/>
  <c r="BJ33" i="24"/>
  <c r="BK33" i="24"/>
  <c r="BL33" i="24"/>
  <c r="BM33" i="24"/>
  <c r="BN33" i="24"/>
  <c r="BO33" i="24"/>
  <c r="BP33" i="24"/>
  <c r="BQ33" i="24"/>
  <c r="BR33" i="24"/>
  <c r="BS33" i="24"/>
  <c r="BT33" i="24"/>
  <c r="BU33" i="24"/>
  <c r="BV33" i="24"/>
  <c r="BW33" i="24"/>
  <c r="BX33" i="24"/>
  <c r="BY33" i="24"/>
  <c r="BZ33" i="24"/>
  <c r="CA33" i="24"/>
  <c r="CB33" i="24"/>
  <c r="CC33" i="24"/>
  <c r="CD33" i="24"/>
  <c r="CE33" i="24"/>
  <c r="AU34" i="24"/>
  <c r="AV34" i="24"/>
  <c r="AW34" i="24"/>
  <c r="AX34" i="24"/>
  <c r="AY34" i="24"/>
  <c r="AZ34" i="24"/>
  <c r="BA34" i="24"/>
  <c r="BB34" i="24"/>
  <c r="BC34" i="24"/>
  <c r="BD34" i="24"/>
  <c r="BE34" i="24"/>
  <c r="BF34" i="24"/>
  <c r="BG34" i="24"/>
  <c r="BH34" i="24"/>
  <c r="BI34" i="24"/>
  <c r="BJ34" i="24"/>
  <c r="BK34" i="24"/>
  <c r="BL34" i="24"/>
  <c r="BM34" i="24"/>
  <c r="BN34" i="24"/>
  <c r="BO34" i="24"/>
  <c r="BP34" i="24"/>
  <c r="BQ34" i="24"/>
  <c r="BR34" i="24"/>
  <c r="BS34" i="24"/>
  <c r="BT34" i="24"/>
  <c r="BU34" i="24"/>
  <c r="BV34" i="24"/>
  <c r="BW34" i="24"/>
  <c r="BX34" i="24"/>
  <c r="BY34" i="24"/>
  <c r="BZ34" i="24"/>
  <c r="CA34" i="24"/>
  <c r="CB34" i="24"/>
  <c r="CC34" i="24"/>
  <c r="CD34" i="24"/>
  <c r="CE34" i="24"/>
  <c r="AU35" i="24"/>
  <c r="AV35" i="24"/>
  <c r="AW35" i="24"/>
  <c r="AX35" i="24"/>
  <c r="AY35" i="24"/>
  <c r="AZ35" i="24"/>
  <c r="BA35" i="24"/>
  <c r="BB35" i="24"/>
  <c r="BC35" i="24"/>
  <c r="BD35" i="24"/>
  <c r="BE35" i="24"/>
  <c r="BF35" i="24"/>
  <c r="BG35" i="24"/>
  <c r="BH35" i="24"/>
  <c r="BI35" i="24"/>
  <c r="BJ35" i="24"/>
  <c r="BK35" i="24"/>
  <c r="BL35" i="24"/>
  <c r="BM35" i="24"/>
  <c r="BN35" i="24"/>
  <c r="BO35" i="24"/>
  <c r="BP35" i="24"/>
  <c r="BQ35" i="24"/>
  <c r="BR35" i="24"/>
  <c r="BS35" i="24"/>
  <c r="BT35" i="24"/>
  <c r="BU35" i="24"/>
  <c r="BV35" i="24"/>
  <c r="BW35" i="24"/>
  <c r="BX35" i="24"/>
  <c r="BY35" i="24"/>
  <c r="BZ35" i="24"/>
  <c r="CA35" i="24"/>
  <c r="CB35" i="24"/>
  <c r="CC35" i="24"/>
  <c r="CD35" i="24"/>
  <c r="CE35" i="24"/>
  <c r="AU36" i="24"/>
  <c r="AV36" i="24"/>
  <c r="AW36" i="24"/>
  <c r="AX36" i="24"/>
  <c r="AY36" i="24"/>
  <c r="AZ36" i="24"/>
  <c r="BA36" i="24"/>
  <c r="BB36" i="24"/>
  <c r="BC36" i="24"/>
  <c r="BD36" i="24"/>
  <c r="BE36" i="24"/>
  <c r="BF36" i="24"/>
  <c r="BG36" i="24"/>
  <c r="BH36" i="24"/>
  <c r="BI36" i="24"/>
  <c r="BJ36" i="24"/>
  <c r="BK36" i="24"/>
  <c r="BL36" i="24"/>
  <c r="BM36" i="24"/>
  <c r="BN36" i="24"/>
  <c r="BO36" i="24"/>
  <c r="BP36" i="24"/>
  <c r="BQ36" i="24"/>
  <c r="BR36" i="24"/>
  <c r="BS36" i="24"/>
  <c r="BT36" i="24"/>
  <c r="BU36" i="24"/>
  <c r="BV36" i="24"/>
  <c r="BW36" i="24"/>
  <c r="BX36" i="24"/>
  <c r="BY36" i="24"/>
  <c r="BZ36" i="24"/>
  <c r="CA36" i="24"/>
  <c r="CB36" i="24"/>
  <c r="CC36" i="24"/>
  <c r="CD36" i="24"/>
  <c r="CE36" i="24"/>
  <c r="AU37" i="24"/>
  <c r="AV37" i="24"/>
  <c r="AW37" i="24"/>
  <c r="AX37" i="24"/>
  <c r="AY37" i="24"/>
  <c r="AZ37" i="24"/>
  <c r="BA37" i="24"/>
  <c r="BB37" i="24"/>
  <c r="BC37" i="24"/>
  <c r="BD37" i="24"/>
  <c r="BE37" i="24"/>
  <c r="BF37" i="24"/>
  <c r="BG37" i="24"/>
  <c r="BH37" i="24"/>
  <c r="BI37" i="24"/>
  <c r="BJ37" i="24"/>
  <c r="BK37" i="24"/>
  <c r="BL37" i="24"/>
  <c r="BM37" i="24"/>
  <c r="BN37" i="24"/>
  <c r="BO37" i="24"/>
  <c r="BP37" i="24"/>
  <c r="BQ37" i="24"/>
  <c r="BR37" i="24"/>
  <c r="BS37" i="24"/>
  <c r="BT37" i="24"/>
  <c r="BU37" i="24"/>
  <c r="BV37" i="24"/>
  <c r="BW37" i="24"/>
  <c r="BX37" i="24"/>
  <c r="BY37" i="24"/>
  <c r="BZ37" i="24"/>
  <c r="CA37" i="24"/>
  <c r="CB37" i="24"/>
  <c r="CC37" i="24"/>
  <c r="CD37" i="24"/>
  <c r="CE37" i="24"/>
  <c r="AU38" i="24"/>
  <c r="AV38" i="24"/>
  <c r="AW38" i="24"/>
  <c r="AX38" i="24"/>
  <c r="AY38" i="24"/>
  <c r="AZ38" i="24"/>
  <c r="BA38" i="24"/>
  <c r="BB38" i="24"/>
  <c r="BC38" i="24"/>
  <c r="BD38" i="24"/>
  <c r="BE38" i="24"/>
  <c r="BF38" i="24"/>
  <c r="BG38" i="24"/>
  <c r="BH38" i="24"/>
  <c r="BI38" i="24"/>
  <c r="BJ38" i="24"/>
  <c r="BK38" i="24"/>
  <c r="BL38" i="24"/>
  <c r="BM38" i="24"/>
  <c r="BN38" i="24"/>
  <c r="BO38" i="24"/>
  <c r="BP38" i="24"/>
  <c r="BQ38" i="24"/>
  <c r="BR38" i="24"/>
  <c r="BS38" i="24"/>
  <c r="BT38" i="24"/>
  <c r="BU38" i="24"/>
  <c r="BV38" i="24"/>
  <c r="BW38" i="24"/>
  <c r="BX38" i="24"/>
  <c r="BY38" i="24"/>
  <c r="BZ38" i="24"/>
  <c r="CA38" i="24"/>
  <c r="CB38" i="24"/>
  <c r="CC38" i="24"/>
  <c r="CD38" i="24"/>
  <c r="CE38" i="24"/>
  <c r="AU39" i="24"/>
  <c r="AV39" i="24"/>
  <c r="AW39" i="24"/>
  <c r="AX39" i="24"/>
  <c r="AY39" i="24"/>
  <c r="AZ39" i="24"/>
  <c r="BA39" i="24"/>
  <c r="BB39" i="24"/>
  <c r="BC39" i="24"/>
  <c r="BD39" i="24"/>
  <c r="BE39" i="24"/>
  <c r="BF39" i="24"/>
  <c r="BG39" i="24"/>
  <c r="BH39" i="24"/>
  <c r="BI39" i="24"/>
  <c r="BJ39" i="24"/>
  <c r="BK39" i="24"/>
  <c r="BL39" i="24"/>
  <c r="BM39" i="24"/>
  <c r="BN39" i="24"/>
  <c r="BO39" i="24"/>
  <c r="BP39" i="24"/>
  <c r="BQ39" i="24"/>
  <c r="BR39" i="24"/>
  <c r="BS39" i="24"/>
  <c r="BT39" i="24"/>
  <c r="BU39" i="24"/>
  <c r="BV39" i="24"/>
  <c r="BW39" i="24"/>
  <c r="BX39" i="24"/>
  <c r="BY39" i="24"/>
  <c r="BZ39" i="24"/>
  <c r="CA39" i="24"/>
  <c r="CB39" i="24"/>
  <c r="CC39" i="24"/>
  <c r="CD39" i="24"/>
  <c r="CE39" i="24"/>
  <c r="AU40" i="24"/>
  <c r="AV40" i="24"/>
  <c r="AW40" i="24"/>
  <c r="AX40" i="24"/>
  <c r="AY40" i="24"/>
  <c r="AZ40" i="24"/>
  <c r="BA40" i="24"/>
  <c r="BB40" i="24"/>
  <c r="BC40" i="24"/>
  <c r="BD40" i="24"/>
  <c r="BE40" i="24"/>
  <c r="BF40" i="24"/>
  <c r="BG40" i="24"/>
  <c r="BH40" i="24"/>
  <c r="BI40" i="24"/>
  <c r="BJ40" i="24"/>
  <c r="BK40" i="24"/>
  <c r="BL40" i="24"/>
  <c r="BM40" i="24"/>
  <c r="BN40" i="24"/>
  <c r="BO40" i="24"/>
  <c r="BP40" i="24"/>
  <c r="BQ40" i="24"/>
  <c r="BR40" i="24"/>
  <c r="BS40" i="24"/>
  <c r="BT40" i="24"/>
  <c r="BU40" i="24"/>
  <c r="BV40" i="24"/>
  <c r="BW40" i="24"/>
  <c r="BX40" i="24"/>
  <c r="BY40" i="24"/>
  <c r="BZ40" i="24"/>
  <c r="CA40" i="24"/>
  <c r="CB40" i="24"/>
  <c r="CC40" i="24"/>
  <c r="CD40" i="24"/>
  <c r="CE40" i="24"/>
  <c r="AU41" i="24"/>
  <c r="AV41" i="24"/>
  <c r="AW41" i="24"/>
  <c r="AX41" i="24"/>
  <c r="AY41" i="24"/>
  <c r="AZ41" i="24"/>
  <c r="BA41" i="24"/>
  <c r="BB41" i="24"/>
  <c r="BC41" i="24"/>
  <c r="BD41" i="24"/>
  <c r="BE41" i="24"/>
  <c r="BF41" i="24"/>
  <c r="BG41" i="24"/>
  <c r="BH41" i="24"/>
  <c r="BI41" i="24"/>
  <c r="BJ41" i="24"/>
  <c r="BK41" i="24"/>
  <c r="BL41" i="24"/>
  <c r="BM41" i="24"/>
  <c r="BN41" i="24"/>
  <c r="BO41" i="24"/>
  <c r="BP41" i="24"/>
  <c r="BQ41" i="24"/>
  <c r="BR41" i="24"/>
  <c r="BS41" i="24"/>
  <c r="BT41" i="24"/>
  <c r="BU41" i="24"/>
  <c r="BV41" i="24"/>
  <c r="BW41" i="24"/>
  <c r="BX41" i="24"/>
  <c r="BY41" i="24"/>
  <c r="BZ41" i="24"/>
  <c r="CA41" i="24"/>
  <c r="CB41" i="24"/>
  <c r="CC41" i="24"/>
  <c r="CD41" i="24"/>
  <c r="CE41" i="24"/>
  <c r="AU42" i="24"/>
  <c r="AV42" i="24"/>
  <c r="AW42" i="24"/>
  <c r="AX42" i="24"/>
  <c r="AY42" i="24"/>
  <c r="AZ42" i="24"/>
  <c r="BA42" i="24"/>
  <c r="BB42" i="24"/>
  <c r="BC42" i="24"/>
  <c r="BD42" i="24"/>
  <c r="BE42" i="24"/>
  <c r="BF42" i="24"/>
  <c r="BG42" i="24"/>
  <c r="BH42" i="24"/>
  <c r="BI42" i="24"/>
  <c r="BJ42" i="24"/>
  <c r="BK42" i="24"/>
  <c r="BL42" i="24"/>
  <c r="BM42" i="24"/>
  <c r="BN42" i="24"/>
  <c r="BO42" i="24"/>
  <c r="BP42" i="24"/>
  <c r="BQ42" i="24"/>
  <c r="BR42" i="24"/>
  <c r="BS42" i="24"/>
  <c r="BT42" i="24"/>
  <c r="BU42" i="24"/>
  <c r="BV42" i="24"/>
  <c r="BW42" i="24"/>
  <c r="BX42" i="24"/>
  <c r="BY42" i="24"/>
  <c r="BZ42" i="24"/>
  <c r="CA42" i="24"/>
  <c r="CB42" i="24"/>
  <c r="CC42" i="24"/>
  <c r="CD42" i="24"/>
  <c r="CE42" i="24"/>
  <c r="AU43" i="24"/>
  <c r="AV43" i="24"/>
  <c r="AW43" i="24"/>
  <c r="AX43" i="24"/>
  <c r="AY43" i="24"/>
  <c r="AZ43" i="24"/>
  <c r="BA43" i="24"/>
  <c r="BB43" i="24"/>
  <c r="BC43" i="24"/>
  <c r="BD43" i="24"/>
  <c r="BE43" i="24"/>
  <c r="BF43" i="24"/>
  <c r="BG43" i="24"/>
  <c r="BH43" i="24"/>
  <c r="BI43" i="24"/>
  <c r="BJ43" i="24"/>
  <c r="BK43" i="24"/>
  <c r="BL43" i="24"/>
  <c r="BM43" i="24"/>
  <c r="BN43" i="24"/>
  <c r="BO43" i="24"/>
  <c r="BP43" i="24"/>
  <c r="BQ43" i="24"/>
  <c r="BR43" i="24"/>
  <c r="BS43" i="24"/>
  <c r="BT43" i="24"/>
  <c r="BU43" i="24"/>
  <c r="BV43" i="24"/>
  <c r="BW43" i="24"/>
  <c r="BX43" i="24"/>
  <c r="BY43" i="24"/>
  <c r="BZ43" i="24"/>
  <c r="CA43" i="24"/>
  <c r="CB43" i="24"/>
  <c r="CC43" i="24"/>
  <c r="CD43" i="24"/>
  <c r="CE43" i="24"/>
  <c r="AU44" i="24"/>
  <c r="AV44" i="24"/>
  <c r="AW44" i="24"/>
  <c r="AX44" i="24"/>
  <c r="AY44" i="24"/>
  <c r="AZ44" i="24"/>
  <c r="BA44" i="24"/>
  <c r="BB44" i="24"/>
  <c r="BC44" i="24"/>
  <c r="BD44" i="24"/>
  <c r="BE44" i="24"/>
  <c r="BF44" i="24"/>
  <c r="BG44" i="24"/>
  <c r="BH44" i="24"/>
  <c r="BI44" i="24"/>
  <c r="BJ44" i="24"/>
  <c r="BK44" i="24"/>
  <c r="BL44" i="24"/>
  <c r="BM44" i="24"/>
  <c r="BN44" i="24"/>
  <c r="BO44" i="24"/>
  <c r="BP44" i="24"/>
  <c r="BQ44" i="24"/>
  <c r="BR44" i="24"/>
  <c r="BS44" i="24"/>
  <c r="BT44" i="24"/>
  <c r="BU44" i="24"/>
  <c r="BV44" i="24"/>
  <c r="BW44" i="24"/>
  <c r="BX44" i="24"/>
  <c r="BY44" i="24"/>
  <c r="BZ44" i="24"/>
  <c r="CA44" i="24"/>
  <c r="CB44" i="24"/>
  <c r="CC44" i="24"/>
  <c r="CD44" i="24"/>
  <c r="CE44" i="24"/>
  <c r="AU45" i="24"/>
  <c r="AV45" i="24"/>
  <c r="AW45" i="24"/>
  <c r="AX45" i="24"/>
  <c r="AY45" i="24"/>
  <c r="AZ45" i="24"/>
  <c r="BA45" i="24"/>
  <c r="BB45" i="24"/>
  <c r="BC45" i="24"/>
  <c r="BD45" i="24"/>
  <c r="BE45" i="24"/>
  <c r="BF45" i="24"/>
  <c r="BG45" i="24"/>
  <c r="BH45" i="24"/>
  <c r="BI45" i="24"/>
  <c r="BJ45" i="24"/>
  <c r="BK45" i="24"/>
  <c r="BL45" i="24"/>
  <c r="BM45" i="24"/>
  <c r="BN45" i="24"/>
  <c r="BO45" i="24"/>
  <c r="BP45" i="24"/>
  <c r="BQ45" i="24"/>
  <c r="BR45" i="24"/>
  <c r="BS45" i="24"/>
  <c r="BT45" i="24"/>
  <c r="BU45" i="24"/>
  <c r="BV45" i="24"/>
  <c r="BW45" i="24"/>
  <c r="BX45" i="24"/>
  <c r="BY45" i="24"/>
  <c r="BZ45" i="24"/>
  <c r="CA45" i="24"/>
  <c r="CB45" i="24"/>
  <c r="CC45" i="24"/>
  <c r="CD45" i="24"/>
  <c r="CE45" i="24"/>
  <c r="AU46" i="24"/>
  <c r="AV46" i="24"/>
  <c r="AW46" i="24"/>
  <c r="AX46" i="24"/>
  <c r="AY46" i="24"/>
  <c r="AZ46" i="24"/>
  <c r="BA46" i="24"/>
  <c r="BB46" i="24"/>
  <c r="BC46" i="24"/>
  <c r="BD46" i="24"/>
  <c r="BE46" i="24"/>
  <c r="BF46" i="24"/>
  <c r="BG46" i="24"/>
  <c r="BH46" i="24"/>
  <c r="BI46" i="24"/>
  <c r="BJ46" i="24"/>
  <c r="BK46" i="24"/>
  <c r="BL46" i="24"/>
  <c r="BM46" i="24"/>
  <c r="BN46" i="24"/>
  <c r="BO46" i="24"/>
  <c r="BP46" i="24"/>
  <c r="BQ46" i="24"/>
  <c r="BR46" i="24"/>
  <c r="BS46" i="24"/>
  <c r="BT46" i="24"/>
  <c r="BU46" i="24"/>
  <c r="BV46" i="24"/>
  <c r="BW46" i="24"/>
  <c r="BX46" i="24"/>
  <c r="BY46" i="24"/>
  <c r="BZ46" i="24"/>
  <c r="CA46" i="24"/>
  <c r="CB46" i="24"/>
  <c r="CC46" i="24"/>
  <c r="CD46" i="24"/>
  <c r="CE46" i="24"/>
  <c r="AU47" i="24"/>
  <c r="AV47" i="24"/>
  <c r="AW47" i="24"/>
  <c r="AX47" i="24"/>
  <c r="AY47" i="24"/>
  <c r="AZ47" i="24"/>
  <c r="BA47" i="24"/>
  <c r="BB47" i="24"/>
  <c r="BC47" i="24"/>
  <c r="BD47" i="24"/>
  <c r="BE47" i="24"/>
  <c r="BF47" i="24"/>
  <c r="BG47" i="24"/>
  <c r="BH47" i="24"/>
  <c r="BI47" i="24"/>
  <c r="BJ47" i="24"/>
  <c r="BK47" i="24"/>
  <c r="BL47" i="24"/>
  <c r="BM47" i="24"/>
  <c r="BN47" i="24"/>
  <c r="BO47" i="24"/>
  <c r="BP47" i="24"/>
  <c r="BQ47" i="24"/>
  <c r="BR47" i="24"/>
  <c r="BS47" i="24"/>
  <c r="BT47" i="24"/>
  <c r="BU47" i="24"/>
  <c r="BV47" i="24"/>
  <c r="BW47" i="24"/>
  <c r="BX47" i="24"/>
  <c r="BY47" i="24"/>
  <c r="BZ47" i="24"/>
  <c r="CA47" i="24"/>
  <c r="CB47" i="24"/>
  <c r="CC47" i="24"/>
  <c r="CD47" i="24"/>
  <c r="CE47" i="24"/>
  <c r="AU48" i="24"/>
  <c r="AV48" i="24"/>
  <c r="AW48" i="24"/>
  <c r="AX48" i="24"/>
  <c r="AY48" i="24"/>
  <c r="AZ48" i="24"/>
  <c r="BA48" i="24"/>
  <c r="BB48" i="24"/>
  <c r="BC48" i="24"/>
  <c r="BD48" i="24"/>
  <c r="BE48" i="24"/>
  <c r="BF48" i="24"/>
  <c r="BG48" i="24"/>
  <c r="BH48" i="24"/>
  <c r="BI48" i="24"/>
  <c r="BJ48" i="24"/>
  <c r="BK48" i="24"/>
  <c r="BL48" i="24"/>
  <c r="BM48" i="24"/>
  <c r="BN48" i="24"/>
  <c r="BO48" i="24"/>
  <c r="BP48" i="24"/>
  <c r="BQ48" i="24"/>
  <c r="BR48" i="24"/>
  <c r="BS48" i="24"/>
  <c r="BT48" i="24"/>
  <c r="BU48" i="24"/>
  <c r="BV48" i="24"/>
  <c r="BW48" i="24"/>
  <c r="BX48" i="24"/>
  <c r="BY48" i="24"/>
  <c r="BZ48" i="24"/>
  <c r="CA48" i="24"/>
  <c r="CB48" i="24"/>
  <c r="CC48" i="24"/>
  <c r="CD48" i="24"/>
  <c r="CE48" i="24"/>
  <c r="AU49" i="24"/>
  <c r="AV49" i="24"/>
  <c r="AW49" i="24"/>
  <c r="AX49" i="24"/>
  <c r="AY49" i="24"/>
  <c r="AZ49" i="24"/>
  <c r="BA49" i="24"/>
  <c r="BB49" i="24"/>
  <c r="BC49" i="24"/>
  <c r="BD49" i="24"/>
  <c r="BE49" i="24"/>
  <c r="BF49" i="24"/>
  <c r="BG49" i="24"/>
  <c r="BH49" i="24"/>
  <c r="BI49" i="24"/>
  <c r="BJ49" i="24"/>
  <c r="BK49" i="24"/>
  <c r="BL49" i="24"/>
  <c r="BM49" i="24"/>
  <c r="BN49" i="24"/>
  <c r="BO49" i="24"/>
  <c r="BP49" i="24"/>
  <c r="BQ49" i="24"/>
  <c r="BR49" i="24"/>
  <c r="BS49" i="24"/>
  <c r="BT49" i="24"/>
  <c r="BU49" i="24"/>
  <c r="BV49" i="24"/>
  <c r="BW49" i="24"/>
  <c r="BX49" i="24"/>
  <c r="BY49" i="24"/>
  <c r="BZ49" i="24"/>
  <c r="CA49" i="24"/>
  <c r="CB49" i="24"/>
  <c r="CC49" i="24"/>
  <c r="CD49" i="24"/>
  <c r="CE49" i="24"/>
  <c r="AU50" i="24"/>
  <c r="AV50" i="24"/>
  <c r="AW50" i="24"/>
  <c r="AX50" i="24"/>
  <c r="AY50" i="24"/>
  <c r="AZ50" i="24"/>
  <c r="BA50" i="24"/>
  <c r="BB50" i="24"/>
  <c r="BC50" i="24"/>
  <c r="BD50" i="24"/>
  <c r="BE50" i="24"/>
  <c r="BF50" i="24"/>
  <c r="BG50" i="24"/>
  <c r="BH50" i="24"/>
  <c r="BI50" i="24"/>
  <c r="BJ50" i="24"/>
  <c r="BK50" i="24"/>
  <c r="BL50" i="24"/>
  <c r="BM50" i="24"/>
  <c r="BN50" i="24"/>
  <c r="BO50" i="24"/>
  <c r="BP50" i="24"/>
  <c r="BQ50" i="24"/>
  <c r="BR50" i="24"/>
  <c r="BS50" i="24"/>
  <c r="BT50" i="24"/>
  <c r="BU50" i="24"/>
  <c r="BV50" i="24"/>
  <c r="BW50" i="24"/>
  <c r="BX50" i="24"/>
  <c r="BY50" i="24"/>
  <c r="BZ50" i="24"/>
  <c r="CA50" i="24"/>
  <c r="CB50" i="24"/>
  <c r="CC50" i="24"/>
  <c r="CD50" i="24"/>
  <c r="CE50" i="24"/>
  <c r="AU51" i="24"/>
  <c r="AV51" i="24"/>
  <c r="AW51" i="24"/>
  <c r="AX51" i="24"/>
  <c r="AY51" i="24"/>
  <c r="AZ51" i="24"/>
  <c r="BA51" i="24"/>
  <c r="BB51" i="24"/>
  <c r="BC51" i="24"/>
  <c r="BD51" i="24"/>
  <c r="BE51" i="24"/>
  <c r="BF51" i="24"/>
  <c r="BG51" i="24"/>
  <c r="BH51" i="24"/>
  <c r="BI51" i="24"/>
  <c r="BJ51" i="24"/>
  <c r="BK51" i="24"/>
  <c r="BL51" i="24"/>
  <c r="BM51" i="24"/>
  <c r="BN51" i="24"/>
  <c r="BO51" i="24"/>
  <c r="BP51" i="24"/>
  <c r="BQ51" i="24"/>
  <c r="BR51" i="24"/>
  <c r="BS51" i="24"/>
  <c r="BT51" i="24"/>
  <c r="BU51" i="24"/>
  <c r="BV51" i="24"/>
  <c r="BW51" i="24"/>
  <c r="BX51" i="24"/>
  <c r="BY51" i="24"/>
  <c r="BZ51" i="24"/>
  <c r="CA51" i="24"/>
  <c r="CB51" i="24"/>
  <c r="CC51" i="24"/>
  <c r="CD51" i="24"/>
  <c r="CE51" i="24"/>
  <c r="AU52" i="24"/>
  <c r="AV52" i="24"/>
  <c r="AW52" i="24"/>
  <c r="AX52" i="24"/>
  <c r="AY52" i="24"/>
  <c r="AZ52" i="24"/>
  <c r="BA52" i="24"/>
  <c r="BB52" i="24"/>
  <c r="BC52" i="24"/>
  <c r="BD52" i="24"/>
  <c r="BE52" i="24"/>
  <c r="BF52" i="24"/>
  <c r="BG52" i="24"/>
  <c r="BH52" i="24"/>
  <c r="BI52" i="24"/>
  <c r="BJ52" i="24"/>
  <c r="BK52" i="24"/>
  <c r="BL52" i="24"/>
  <c r="BM52" i="24"/>
  <c r="BN52" i="24"/>
  <c r="BO52" i="24"/>
  <c r="BP52" i="24"/>
  <c r="BQ52" i="24"/>
  <c r="BR52" i="24"/>
  <c r="BS52" i="24"/>
  <c r="BT52" i="24"/>
  <c r="BU52" i="24"/>
  <c r="BV52" i="24"/>
  <c r="BW52" i="24"/>
  <c r="BX52" i="24"/>
  <c r="BY52" i="24"/>
  <c r="BZ52" i="24"/>
  <c r="CA52" i="24"/>
  <c r="CB52" i="24"/>
  <c r="CC52" i="24"/>
  <c r="CD52" i="24"/>
  <c r="CE52" i="24"/>
  <c r="AU53" i="24"/>
  <c r="AV53" i="24"/>
  <c r="AW53" i="24"/>
  <c r="AX53" i="24"/>
  <c r="AY53" i="24"/>
  <c r="AZ53" i="24"/>
  <c r="BA53" i="24"/>
  <c r="BB53" i="24"/>
  <c r="BC53" i="24"/>
  <c r="BD53" i="24"/>
  <c r="BE53" i="24"/>
  <c r="BF53" i="24"/>
  <c r="BG53" i="24"/>
  <c r="BH53" i="24"/>
  <c r="BI53" i="24"/>
  <c r="BJ53" i="24"/>
  <c r="BK53" i="24"/>
  <c r="BL53" i="24"/>
  <c r="BM53" i="24"/>
  <c r="BN53" i="24"/>
  <c r="BO53" i="24"/>
  <c r="BP53" i="24"/>
  <c r="BQ53" i="24"/>
  <c r="BR53" i="24"/>
  <c r="BS53" i="24"/>
  <c r="BT53" i="24"/>
  <c r="BU53" i="24"/>
  <c r="BV53" i="24"/>
  <c r="BW53" i="24"/>
  <c r="BX53" i="24"/>
  <c r="BY53" i="24"/>
  <c r="BZ53" i="24"/>
  <c r="CA53" i="24"/>
  <c r="CB53" i="24"/>
  <c r="CC53" i="24"/>
  <c r="CD53" i="24"/>
  <c r="CE53" i="24"/>
  <c r="AU54" i="24"/>
  <c r="AV54" i="24"/>
  <c r="AW54" i="24"/>
  <c r="AX54" i="24"/>
  <c r="AY54" i="24"/>
  <c r="AZ54" i="24"/>
  <c r="BA54" i="24"/>
  <c r="BB54" i="24"/>
  <c r="BC54" i="24"/>
  <c r="BD54" i="24"/>
  <c r="BE54" i="24"/>
  <c r="BF54" i="24"/>
  <c r="BG54" i="24"/>
  <c r="BH54" i="24"/>
  <c r="BI54" i="24"/>
  <c r="BJ54" i="24"/>
  <c r="BK54" i="24"/>
  <c r="BL54" i="24"/>
  <c r="BM54" i="24"/>
  <c r="BN54" i="24"/>
  <c r="BO54" i="24"/>
  <c r="BP54" i="24"/>
  <c r="BQ54" i="24"/>
  <c r="BR54" i="24"/>
  <c r="BS54" i="24"/>
  <c r="BT54" i="24"/>
  <c r="BU54" i="24"/>
  <c r="BV54" i="24"/>
  <c r="BW54" i="24"/>
  <c r="BX54" i="24"/>
  <c r="BY54" i="24"/>
  <c r="BZ54" i="24"/>
  <c r="CA54" i="24"/>
  <c r="CB54" i="24"/>
  <c r="CC54" i="24"/>
  <c r="CD54" i="24"/>
  <c r="CE54" i="24"/>
  <c r="AU55" i="24"/>
  <c r="AV55" i="24"/>
  <c r="AW55" i="24"/>
  <c r="AX55" i="24"/>
  <c r="AY55" i="24"/>
  <c r="AZ55" i="24"/>
  <c r="BA55" i="24"/>
  <c r="BB55" i="24"/>
  <c r="BC55" i="24"/>
  <c r="BD55" i="24"/>
  <c r="BE55" i="24"/>
  <c r="BF55" i="24"/>
  <c r="BG55" i="24"/>
  <c r="BH55" i="24"/>
  <c r="BI55" i="24"/>
  <c r="BJ55" i="24"/>
  <c r="BK55" i="24"/>
  <c r="BL55" i="24"/>
  <c r="BM55" i="24"/>
  <c r="BN55" i="24"/>
  <c r="BO55" i="24"/>
  <c r="BP55" i="24"/>
  <c r="BQ55" i="24"/>
  <c r="BR55" i="24"/>
  <c r="BS55" i="24"/>
  <c r="BT55" i="24"/>
  <c r="BU55" i="24"/>
  <c r="BV55" i="24"/>
  <c r="BW55" i="24"/>
  <c r="BX55" i="24"/>
  <c r="BY55" i="24"/>
  <c r="BZ55" i="24"/>
  <c r="CA55" i="24"/>
  <c r="CB55" i="24"/>
  <c r="CC55" i="24"/>
  <c r="CD55" i="24"/>
  <c r="CE55" i="24"/>
  <c r="AU56" i="24"/>
  <c r="AV56" i="24"/>
  <c r="AW56" i="24"/>
  <c r="AX56" i="24"/>
  <c r="AY56" i="24"/>
  <c r="AZ56" i="24"/>
  <c r="BA56" i="24"/>
  <c r="BB56" i="24"/>
  <c r="BC56" i="24"/>
  <c r="BD56" i="24"/>
  <c r="BE56" i="24"/>
  <c r="BF56" i="24"/>
  <c r="BG56" i="24"/>
  <c r="BH56" i="24"/>
  <c r="BI56" i="24"/>
  <c r="BJ56" i="24"/>
  <c r="BK56" i="24"/>
  <c r="BL56" i="24"/>
  <c r="BM56" i="24"/>
  <c r="BN56" i="24"/>
  <c r="BO56" i="24"/>
  <c r="BP56" i="24"/>
  <c r="BQ56" i="24"/>
  <c r="BR56" i="24"/>
  <c r="BS56" i="24"/>
  <c r="BT56" i="24"/>
  <c r="BU56" i="24"/>
  <c r="BV56" i="24"/>
  <c r="BW56" i="24"/>
  <c r="BX56" i="24"/>
  <c r="BY56" i="24"/>
  <c r="BZ56" i="24"/>
  <c r="CA56" i="24"/>
  <c r="CB56" i="24"/>
  <c r="CC56" i="24"/>
  <c r="CD56" i="24"/>
  <c r="CE56" i="24"/>
  <c r="AU57" i="24"/>
  <c r="AV57" i="24"/>
  <c r="AW57" i="24"/>
  <c r="AX57" i="24"/>
  <c r="AY57" i="24"/>
  <c r="AZ57" i="24"/>
  <c r="BA57" i="24"/>
  <c r="BB57" i="24"/>
  <c r="BC57" i="24"/>
  <c r="BD57" i="24"/>
  <c r="BE57" i="24"/>
  <c r="BF57" i="24"/>
  <c r="BG57" i="24"/>
  <c r="BH57" i="24"/>
  <c r="BI57" i="24"/>
  <c r="BJ57" i="24"/>
  <c r="BK57" i="24"/>
  <c r="BL57" i="24"/>
  <c r="BM57" i="24"/>
  <c r="BN57" i="24"/>
  <c r="BO57" i="24"/>
  <c r="BP57" i="24"/>
  <c r="BQ57" i="24"/>
  <c r="BR57" i="24"/>
  <c r="BS57" i="24"/>
  <c r="BT57" i="24"/>
  <c r="BU57" i="24"/>
  <c r="BV57" i="24"/>
  <c r="BW57" i="24"/>
  <c r="BX57" i="24"/>
  <c r="BY57" i="24"/>
  <c r="BZ57" i="24"/>
  <c r="CA57" i="24"/>
  <c r="CB57" i="24"/>
  <c r="CC57" i="24"/>
  <c r="CD57" i="24"/>
  <c r="CE57" i="24"/>
  <c r="AU58" i="24"/>
  <c r="AV58" i="24"/>
  <c r="AW58" i="24"/>
  <c r="AX58" i="24"/>
  <c r="AY58" i="24"/>
  <c r="AZ58" i="24"/>
  <c r="BA58" i="24"/>
  <c r="BB58" i="24"/>
  <c r="BC58" i="24"/>
  <c r="BD58" i="24"/>
  <c r="BE58" i="24"/>
  <c r="BF58" i="24"/>
  <c r="BG58" i="24"/>
  <c r="BH58" i="24"/>
  <c r="BI58" i="24"/>
  <c r="BJ58" i="24"/>
  <c r="BK58" i="24"/>
  <c r="BL58" i="24"/>
  <c r="BM58" i="24"/>
  <c r="BN58" i="24"/>
  <c r="BO58" i="24"/>
  <c r="BP58" i="24"/>
  <c r="BQ58" i="24"/>
  <c r="BR58" i="24"/>
  <c r="BS58" i="24"/>
  <c r="BT58" i="24"/>
  <c r="BU58" i="24"/>
  <c r="BV58" i="24"/>
  <c r="BW58" i="24"/>
  <c r="BX58" i="24"/>
  <c r="BY58" i="24"/>
  <c r="BZ58" i="24"/>
  <c r="CA58" i="24"/>
  <c r="CB58" i="24"/>
  <c r="CC58" i="24"/>
  <c r="CD58" i="24"/>
  <c r="CE58" i="24"/>
  <c r="AU59" i="24"/>
  <c r="AV59" i="24"/>
  <c r="AW59" i="24"/>
  <c r="AX59" i="24"/>
  <c r="AY59" i="24"/>
  <c r="AZ59" i="24"/>
  <c r="BA59" i="24"/>
  <c r="BB59" i="24"/>
  <c r="BC59" i="24"/>
  <c r="BD59" i="24"/>
  <c r="BE59" i="24"/>
  <c r="BF59" i="24"/>
  <c r="BG59" i="24"/>
  <c r="BH59" i="24"/>
  <c r="BI59" i="24"/>
  <c r="BJ59" i="24"/>
  <c r="BK59" i="24"/>
  <c r="BL59" i="24"/>
  <c r="BM59" i="24"/>
  <c r="BN59" i="24"/>
  <c r="BO59" i="24"/>
  <c r="BP59" i="24"/>
  <c r="BQ59" i="24"/>
  <c r="BR59" i="24"/>
  <c r="BS59" i="24"/>
  <c r="BT59" i="24"/>
  <c r="BU59" i="24"/>
  <c r="BV59" i="24"/>
  <c r="BW59" i="24"/>
  <c r="BX59" i="24"/>
  <c r="BY59" i="24"/>
  <c r="BZ59" i="24"/>
  <c r="CA59" i="24"/>
  <c r="CB59" i="24"/>
  <c r="CC59" i="24"/>
  <c r="CD59" i="24"/>
  <c r="CE59" i="24"/>
  <c r="AU60" i="24"/>
  <c r="AV60" i="24"/>
  <c r="AW60" i="24"/>
  <c r="AX60" i="24"/>
  <c r="AY60" i="24"/>
  <c r="AZ60" i="24"/>
  <c r="BA60" i="24"/>
  <c r="BB60" i="24"/>
  <c r="BC60" i="24"/>
  <c r="BD60" i="24"/>
  <c r="BE60" i="24"/>
  <c r="BF60" i="24"/>
  <c r="BG60" i="24"/>
  <c r="BH60" i="24"/>
  <c r="BI60" i="24"/>
  <c r="BJ60" i="24"/>
  <c r="BK60" i="24"/>
  <c r="BL60" i="24"/>
  <c r="BM60" i="24"/>
  <c r="BN60" i="24"/>
  <c r="BO60" i="24"/>
  <c r="BP60" i="24"/>
  <c r="BQ60" i="24"/>
  <c r="BR60" i="24"/>
  <c r="BS60" i="24"/>
  <c r="BT60" i="24"/>
  <c r="BU60" i="24"/>
  <c r="BV60" i="24"/>
  <c r="BW60" i="24"/>
  <c r="BX60" i="24"/>
  <c r="BY60" i="24"/>
  <c r="BZ60" i="24"/>
  <c r="CA60" i="24"/>
  <c r="CB60" i="24"/>
  <c r="CC60" i="24"/>
  <c r="CD60" i="24"/>
  <c r="CE60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G61" i="24"/>
  <c r="BH61" i="24"/>
  <c r="BI61" i="24"/>
  <c r="BJ61" i="24"/>
  <c r="BK61" i="24"/>
  <c r="BL61" i="24"/>
  <c r="BM61" i="24"/>
  <c r="BN61" i="24"/>
  <c r="BO61" i="24"/>
  <c r="BP61" i="24"/>
  <c r="BQ61" i="24"/>
  <c r="BR61" i="24"/>
  <c r="BS61" i="24"/>
  <c r="BT61" i="24"/>
  <c r="BU61" i="24"/>
  <c r="BV61" i="24"/>
  <c r="BW61" i="24"/>
  <c r="BX61" i="24"/>
  <c r="BY61" i="24"/>
  <c r="BZ61" i="24"/>
  <c r="CA61" i="24"/>
  <c r="CB61" i="24"/>
  <c r="CC61" i="24"/>
  <c r="CD61" i="24"/>
  <c r="CE61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G62" i="24"/>
  <c r="BH62" i="24"/>
  <c r="BI62" i="24"/>
  <c r="BJ62" i="24"/>
  <c r="BK62" i="24"/>
  <c r="BL62" i="24"/>
  <c r="BM62" i="24"/>
  <c r="BN62" i="24"/>
  <c r="BO62" i="24"/>
  <c r="BP62" i="24"/>
  <c r="BQ62" i="24"/>
  <c r="BR62" i="24"/>
  <c r="BS62" i="24"/>
  <c r="BT62" i="24"/>
  <c r="BU62" i="24"/>
  <c r="BV62" i="24"/>
  <c r="BW62" i="24"/>
  <c r="BX62" i="24"/>
  <c r="BY62" i="24"/>
  <c r="BZ62" i="24"/>
  <c r="CA62" i="24"/>
  <c r="CB62" i="24"/>
  <c r="CC62" i="24"/>
  <c r="CD62" i="24"/>
  <c r="CE62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G63" i="24"/>
  <c r="BH63" i="24"/>
  <c r="BI63" i="24"/>
  <c r="BJ63" i="24"/>
  <c r="BK63" i="24"/>
  <c r="BL63" i="24"/>
  <c r="BM63" i="24"/>
  <c r="BN63" i="24"/>
  <c r="BO63" i="24"/>
  <c r="BP63" i="24"/>
  <c r="BQ63" i="24"/>
  <c r="BR63" i="24"/>
  <c r="BS63" i="24"/>
  <c r="BT63" i="24"/>
  <c r="BU63" i="24"/>
  <c r="BV63" i="24"/>
  <c r="BW63" i="24"/>
  <c r="BX63" i="24"/>
  <c r="BY63" i="24"/>
  <c r="BZ63" i="24"/>
  <c r="CA63" i="24"/>
  <c r="CB63" i="24"/>
  <c r="CC63" i="24"/>
  <c r="CD63" i="24"/>
  <c r="CE63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G64" i="24"/>
  <c r="BH64" i="24"/>
  <c r="BI64" i="24"/>
  <c r="BJ64" i="24"/>
  <c r="BK64" i="24"/>
  <c r="BL64" i="24"/>
  <c r="BM64" i="24"/>
  <c r="BN64" i="24"/>
  <c r="BO64" i="24"/>
  <c r="BP64" i="24"/>
  <c r="BQ64" i="24"/>
  <c r="BR64" i="24"/>
  <c r="BS64" i="24"/>
  <c r="BT64" i="24"/>
  <c r="BU64" i="24"/>
  <c r="BV64" i="24"/>
  <c r="BW64" i="24"/>
  <c r="BX64" i="24"/>
  <c r="BY64" i="24"/>
  <c r="BZ64" i="24"/>
  <c r="CA64" i="24"/>
  <c r="CB64" i="24"/>
  <c r="CC64" i="24"/>
  <c r="CD64" i="24"/>
  <c r="CE64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G65" i="24"/>
  <c r="BH65" i="24"/>
  <c r="BI65" i="24"/>
  <c r="BJ65" i="24"/>
  <c r="BK65" i="24"/>
  <c r="BL65" i="24"/>
  <c r="BM65" i="24"/>
  <c r="BN65" i="24"/>
  <c r="BO65" i="24"/>
  <c r="BP65" i="24"/>
  <c r="BQ65" i="24"/>
  <c r="BR65" i="24"/>
  <c r="BS65" i="24"/>
  <c r="BT65" i="24"/>
  <c r="BU65" i="24"/>
  <c r="BV65" i="24"/>
  <c r="BW65" i="24"/>
  <c r="BX65" i="24"/>
  <c r="BY65" i="24"/>
  <c r="BZ65" i="24"/>
  <c r="CA65" i="24"/>
  <c r="CB65" i="24"/>
  <c r="CC65" i="24"/>
  <c r="CD65" i="24"/>
  <c r="CE65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G66" i="24"/>
  <c r="BH66" i="24"/>
  <c r="BI66" i="24"/>
  <c r="BJ66" i="24"/>
  <c r="BK66" i="24"/>
  <c r="BL66" i="24"/>
  <c r="BM66" i="24"/>
  <c r="BN66" i="24"/>
  <c r="BO66" i="24"/>
  <c r="BP66" i="24"/>
  <c r="BQ66" i="24"/>
  <c r="BR66" i="24"/>
  <c r="BS66" i="24"/>
  <c r="BT66" i="24"/>
  <c r="BU66" i="24"/>
  <c r="BV66" i="24"/>
  <c r="BW66" i="24"/>
  <c r="BX66" i="24"/>
  <c r="BY66" i="24"/>
  <c r="BZ66" i="24"/>
  <c r="CA66" i="24"/>
  <c r="CB66" i="24"/>
  <c r="CC66" i="24"/>
  <c r="CD66" i="24"/>
  <c r="CE66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G67" i="24"/>
  <c r="BH67" i="24"/>
  <c r="BI67" i="24"/>
  <c r="BJ67" i="24"/>
  <c r="BK67" i="24"/>
  <c r="BL67" i="24"/>
  <c r="BM67" i="24"/>
  <c r="BN67" i="24"/>
  <c r="BO67" i="24"/>
  <c r="BP67" i="24"/>
  <c r="BQ67" i="24"/>
  <c r="BR67" i="24"/>
  <c r="BS67" i="24"/>
  <c r="BT67" i="24"/>
  <c r="BU67" i="24"/>
  <c r="BV67" i="24"/>
  <c r="BW67" i="24"/>
  <c r="BX67" i="24"/>
  <c r="BY67" i="24"/>
  <c r="BZ67" i="24"/>
  <c r="CA67" i="24"/>
  <c r="CB67" i="24"/>
  <c r="CC67" i="24"/>
  <c r="CD67" i="24"/>
  <c r="CE67" i="24"/>
  <c r="AU68" i="24"/>
  <c r="AV68" i="24"/>
  <c r="AW68" i="24"/>
  <c r="AX68" i="24"/>
  <c r="AY68" i="24"/>
  <c r="AZ68" i="24"/>
  <c r="BA68" i="24"/>
  <c r="BB68" i="24"/>
  <c r="BC68" i="24"/>
  <c r="BD68" i="24"/>
  <c r="BE68" i="24"/>
  <c r="BF68" i="24"/>
  <c r="BG68" i="24"/>
  <c r="BH68" i="24"/>
  <c r="BI68" i="24"/>
  <c r="BJ68" i="24"/>
  <c r="BK68" i="24"/>
  <c r="BL68" i="24"/>
  <c r="BM68" i="24"/>
  <c r="BN68" i="24"/>
  <c r="BO68" i="24"/>
  <c r="BP68" i="24"/>
  <c r="BQ68" i="24"/>
  <c r="BR68" i="24"/>
  <c r="BS68" i="24"/>
  <c r="BT68" i="24"/>
  <c r="BU68" i="24"/>
  <c r="BV68" i="24"/>
  <c r="BW68" i="24"/>
  <c r="BX68" i="24"/>
  <c r="BY68" i="24"/>
  <c r="BZ68" i="24"/>
  <c r="CA68" i="24"/>
  <c r="CB68" i="24"/>
  <c r="CC68" i="24"/>
  <c r="CD68" i="24"/>
  <c r="CE68" i="24"/>
  <c r="AU69" i="24"/>
  <c r="AV69" i="24"/>
  <c r="AW69" i="24"/>
  <c r="AX69" i="24"/>
  <c r="AY69" i="24"/>
  <c r="AZ69" i="24"/>
  <c r="BA69" i="24"/>
  <c r="BB69" i="24"/>
  <c r="BC69" i="24"/>
  <c r="BD69" i="24"/>
  <c r="BE69" i="24"/>
  <c r="BF69" i="24"/>
  <c r="BG69" i="24"/>
  <c r="BH69" i="24"/>
  <c r="BI69" i="24"/>
  <c r="BJ69" i="24"/>
  <c r="BK69" i="24"/>
  <c r="BL69" i="24"/>
  <c r="BM69" i="24"/>
  <c r="BN69" i="24"/>
  <c r="BO69" i="24"/>
  <c r="BP69" i="24"/>
  <c r="BQ69" i="24"/>
  <c r="BR69" i="24"/>
  <c r="BS69" i="24"/>
  <c r="BT69" i="24"/>
  <c r="BU69" i="24"/>
  <c r="BV69" i="24"/>
  <c r="BW69" i="24"/>
  <c r="BX69" i="24"/>
  <c r="BY69" i="24"/>
  <c r="BZ69" i="24"/>
  <c r="CA69" i="24"/>
  <c r="CB69" i="24"/>
  <c r="CC69" i="24"/>
  <c r="CD69" i="24"/>
  <c r="CE69" i="24"/>
  <c r="AU70" i="24"/>
  <c r="AV70" i="24"/>
  <c r="AW70" i="24"/>
  <c r="AX70" i="24"/>
  <c r="AY70" i="24"/>
  <c r="AZ70" i="24"/>
  <c r="BA70" i="24"/>
  <c r="BB70" i="24"/>
  <c r="BC70" i="24"/>
  <c r="BD70" i="24"/>
  <c r="BE70" i="24"/>
  <c r="BF70" i="24"/>
  <c r="BG70" i="24"/>
  <c r="BH70" i="24"/>
  <c r="BI70" i="24"/>
  <c r="BJ70" i="24"/>
  <c r="BK70" i="24"/>
  <c r="BL70" i="24"/>
  <c r="BM70" i="24"/>
  <c r="BN70" i="24"/>
  <c r="BO70" i="24"/>
  <c r="BP70" i="24"/>
  <c r="BQ70" i="24"/>
  <c r="BR70" i="24"/>
  <c r="BS70" i="24"/>
  <c r="BT70" i="24"/>
  <c r="BU70" i="24"/>
  <c r="BV70" i="24"/>
  <c r="BW70" i="24"/>
  <c r="BX70" i="24"/>
  <c r="BY70" i="24"/>
  <c r="BZ70" i="24"/>
  <c r="CA70" i="24"/>
  <c r="CB70" i="24"/>
  <c r="CC70" i="24"/>
  <c r="CD70" i="24"/>
  <c r="CE70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AU7" i="24"/>
  <c r="CF23" i="24" a="1"/>
  <c r="CF23" i="24" s="1"/>
  <c r="CK7" i="24"/>
  <c r="CN7" i="24"/>
  <c r="CO7" i="24"/>
  <c r="CP7" i="24"/>
  <c r="CQ7" i="24"/>
  <c r="CR7" i="24"/>
  <c r="CK9" i="24"/>
  <c r="CH9" i="24" s="1"/>
  <c r="CM9" i="24"/>
  <c r="CN9" i="24"/>
  <c r="CO9" i="24"/>
  <c r="CP9" i="24"/>
  <c r="CQ9" i="24"/>
  <c r="CR9" i="24"/>
  <c r="CK13" i="24"/>
  <c r="CM13" i="24"/>
  <c r="CN13" i="24"/>
  <c r="CO13" i="24"/>
  <c r="CP13" i="24"/>
  <c r="CQ13" i="24"/>
  <c r="CR13" i="24"/>
  <c r="CK8" i="24"/>
  <c r="CM8" i="24"/>
  <c r="CN8" i="24"/>
  <c r="CO8" i="24"/>
  <c r="CP8" i="24"/>
  <c r="CQ8" i="24"/>
  <c r="CR8" i="24"/>
  <c r="CK10" i="24"/>
  <c r="CH10" i="24" s="1"/>
  <c r="CM10" i="24"/>
  <c r="CN10" i="24"/>
  <c r="CO10" i="24"/>
  <c r="CP10" i="24"/>
  <c r="CQ10" i="24"/>
  <c r="CR10" i="24"/>
  <c r="CK14" i="24"/>
  <c r="CM14" i="24"/>
  <c r="CN14" i="24"/>
  <c r="CO14" i="24"/>
  <c r="CP14" i="24"/>
  <c r="CQ14" i="24"/>
  <c r="CR14" i="24"/>
  <c r="CK11" i="24"/>
  <c r="CM11" i="24"/>
  <c r="CN11" i="24"/>
  <c r="CO11" i="24"/>
  <c r="CP11" i="24"/>
  <c r="CQ11" i="24"/>
  <c r="CR11" i="24"/>
  <c r="CK15" i="24"/>
  <c r="CM15" i="24"/>
  <c r="CN15" i="24"/>
  <c r="CO15" i="24"/>
  <c r="CP15" i="24"/>
  <c r="CQ15" i="24"/>
  <c r="CR15" i="24"/>
  <c r="CK16" i="24"/>
  <c r="CM16" i="24"/>
  <c r="CN16" i="24"/>
  <c r="CO16" i="24"/>
  <c r="CP16" i="24"/>
  <c r="CQ16" i="24"/>
  <c r="CR16" i="24"/>
  <c r="CK17" i="24"/>
  <c r="CM17" i="24"/>
  <c r="CN17" i="24"/>
  <c r="CO17" i="24"/>
  <c r="CP17" i="24"/>
  <c r="CQ17" i="24"/>
  <c r="CR17" i="24"/>
  <c r="CK18" i="24"/>
  <c r="CM18" i="24"/>
  <c r="CN18" i="24"/>
  <c r="CO18" i="24"/>
  <c r="CP18" i="24"/>
  <c r="CQ18" i="24"/>
  <c r="CR18" i="24"/>
  <c r="CK19" i="24"/>
  <c r="CM19" i="24"/>
  <c r="CN19" i="24"/>
  <c r="CO19" i="24"/>
  <c r="CP19" i="24"/>
  <c r="CQ19" i="24"/>
  <c r="CR19" i="24"/>
  <c r="CK20" i="24"/>
  <c r="CM20" i="24"/>
  <c r="CN20" i="24"/>
  <c r="CO20" i="24"/>
  <c r="CP20" i="24"/>
  <c r="CQ20" i="24"/>
  <c r="CR20" i="24"/>
  <c r="CK21" i="24"/>
  <c r="CM21" i="24"/>
  <c r="CN21" i="24"/>
  <c r="CO21" i="24"/>
  <c r="CP21" i="24"/>
  <c r="CQ21" i="24"/>
  <c r="CR21" i="24"/>
  <c r="CK22" i="24"/>
  <c r="CM22" i="24"/>
  <c r="CN22" i="24"/>
  <c r="CO22" i="24"/>
  <c r="CP22" i="24"/>
  <c r="CQ22" i="24"/>
  <c r="CR22" i="24"/>
  <c r="CK23" i="24"/>
  <c r="CM23" i="24"/>
  <c r="CN23" i="24"/>
  <c r="CO23" i="24"/>
  <c r="CP23" i="24"/>
  <c r="CQ23" i="24"/>
  <c r="CR23" i="24"/>
  <c r="CK24" i="24"/>
  <c r="CM24" i="24"/>
  <c r="CN24" i="24"/>
  <c r="CO24" i="24"/>
  <c r="CP24" i="24"/>
  <c r="CQ24" i="24"/>
  <c r="CR24" i="24"/>
  <c r="CK25" i="24"/>
  <c r="CM25" i="24"/>
  <c r="CN25" i="24"/>
  <c r="CO25" i="24"/>
  <c r="CP25" i="24"/>
  <c r="CQ25" i="24"/>
  <c r="CR25" i="24"/>
  <c r="CK26" i="24"/>
  <c r="CM26" i="24"/>
  <c r="CN26" i="24"/>
  <c r="CO26" i="24"/>
  <c r="CP26" i="24"/>
  <c r="CQ26" i="24"/>
  <c r="CR26" i="24"/>
  <c r="CK27" i="24"/>
  <c r="CM27" i="24"/>
  <c r="CN27" i="24"/>
  <c r="CO27" i="24"/>
  <c r="CP27" i="24"/>
  <c r="CQ27" i="24"/>
  <c r="CR27" i="24"/>
  <c r="CK28" i="24"/>
  <c r="CJ28" i="24" s="1"/>
  <c r="CM28" i="24"/>
  <c r="CN28" i="24"/>
  <c r="CO28" i="24"/>
  <c r="CP28" i="24"/>
  <c r="CQ28" i="24"/>
  <c r="CR28" i="24"/>
  <c r="CK29" i="24"/>
  <c r="CM29" i="24"/>
  <c r="CN29" i="24"/>
  <c r="CO29" i="24"/>
  <c r="CP29" i="24"/>
  <c r="CQ29" i="24"/>
  <c r="CR29" i="24"/>
  <c r="CK30" i="24"/>
  <c r="CM30" i="24"/>
  <c r="CN30" i="24"/>
  <c r="CO30" i="24"/>
  <c r="CP30" i="24"/>
  <c r="CQ30" i="24"/>
  <c r="CR30" i="24"/>
  <c r="CK31" i="24"/>
  <c r="CM31" i="24"/>
  <c r="CN31" i="24"/>
  <c r="CO31" i="24"/>
  <c r="CP31" i="24"/>
  <c r="CQ31" i="24"/>
  <c r="CR31" i="24"/>
  <c r="CK32" i="24"/>
  <c r="CM32" i="24"/>
  <c r="CN32" i="24"/>
  <c r="CO32" i="24"/>
  <c r="CP32" i="24"/>
  <c r="CQ32" i="24"/>
  <c r="CR32" i="24"/>
  <c r="CK33" i="24"/>
  <c r="CM33" i="24"/>
  <c r="CN33" i="24"/>
  <c r="CO33" i="24"/>
  <c r="CP33" i="24"/>
  <c r="CQ33" i="24"/>
  <c r="CR33" i="24"/>
  <c r="CK34" i="24"/>
  <c r="CM34" i="24"/>
  <c r="CN34" i="24"/>
  <c r="CO34" i="24"/>
  <c r="CP34" i="24"/>
  <c r="CQ34" i="24"/>
  <c r="CR34" i="24"/>
  <c r="CK35" i="24"/>
  <c r="CM35" i="24"/>
  <c r="CN35" i="24"/>
  <c r="CO35" i="24"/>
  <c r="CP35" i="24"/>
  <c r="CQ35" i="24"/>
  <c r="CR35" i="24"/>
  <c r="CK36" i="24"/>
  <c r="CM36" i="24"/>
  <c r="CN36" i="24"/>
  <c r="CO36" i="24"/>
  <c r="CP36" i="24"/>
  <c r="CQ36" i="24"/>
  <c r="CR36" i="24"/>
  <c r="CK37" i="24"/>
  <c r="CM37" i="24"/>
  <c r="CN37" i="24"/>
  <c r="CO37" i="24"/>
  <c r="CP37" i="24"/>
  <c r="CQ37" i="24"/>
  <c r="CR37" i="24"/>
  <c r="CK38" i="24"/>
  <c r="CM38" i="24"/>
  <c r="CN38" i="24"/>
  <c r="CO38" i="24"/>
  <c r="CP38" i="24"/>
  <c r="CQ38" i="24"/>
  <c r="CR38" i="24"/>
  <c r="CK39" i="24"/>
  <c r="CM39" i="24"/>
  <c r="CN39" i="24"/>
  <c r="CO39" i="24"/>
  <c r="CP39" i="24"/>
  <c r="CQ39" i="24"/>
  <c r="CR39" i="24"/>
  <c r="CK40" i="24"/>
  <c r="CM40" i="24"/>
  <c r="CN40" i="24"/>
  <c r="CO40" i="24"/>
  <c r="CP40" i="24"/>
  <c r="CQ40" i="24"/>
  <c r="CR40" i="24"/>
  <c r="CK41" i="24"/>
  <c r="CM41" i="24"/>
  <c r="CN41" i="24"/>
  <c r="CO41" i="24"/>
  <c r="CP41" i="24"/>
  <c r="CQ41" i="24"/>
  <c r="CR41" i="24"/>
  <c r="CK42" i="24"/>
  <c r="CM42" i="24"/>
  <c r="CN42" i="24"/>
  <c r="CO42" i="24"/>
  <c r="CP42" i="24"/>
  <c r="CQ42" i="24"/>
  <c r="CR42" i="24"/>
  <c r="CK43" i="24"/>
  <c r="CM43" i="24"/>
  <c r="CN43" i="24"/>
  <c r="CO43" i="24"/>
  <c r="CP43" i="24"/>
  <c r="CQ43" i="24"/>
  <c r="CR43" i="24"/>
  <c r="CK44" i="24"/>
  <c r="CM44" i="24"/>
  <c r="CN44" i="24"/>
  <c r="CO44" i="24"/>
  <c r="CP44" i="24"/>
  <c r="CQ44" i="24"/>
  <c r="CR44" i="24"/>
  <c r="CK45" i="24"/>
  <c r="CM45" i="24"/>
  <c r="CN45" i="24"/>
  <c r="CO45" i="24"/>
  <c r="CP45" i="24"/>
  <c r="CQ45" i="24"/>
  <c r="CR45" i="24"/>
  <c r="CK46" i="24"/>
  <c r="CM46" i="24"/>
  <c r="CN46" i="24"/>
  <c r="CO46" i="24"/>
  <c r="CP46" i="24"/>
  <c r="CQ46" i="24"/>
  <c r="CR46" i="24"/>
  <c r="CK47" i="24"/>
  <c r="CM47" i="24"/>
  <c r="CN47" i="24"/>
  <c r="CO47" i="24"/>
  <c r="CP47" i="24"/>
  <c r="CQ47" i="24"/>
  <c r="CR47" i="24"/>
  <c r="CK48" i="24"/>
  <c r="CM48" i="24"/>
  <c r="CN48" i="24"/>
  <c r="CO48" i="24"/>
  <c r="CP48" i="24"/>
  <c r="CQ48" i="24"/>
  <c r="CR48" i="24"/>
  <c r="CK49" i="24"/>
  <c r="CM49" i="24"/>
  <c r="CN49" i="24"/>
  <c r="CO49" i="24"/>
  <c r="CP49" i="24"/>
  <c r="CQ49" i="24"/>
  <c r="CR49" i="24"/>
  <c r="CK50" i="24"/>
  <c r="CM50" i="24"/>
  <c r="CN50" i="24"/>
  <c r="CO50" i="24"/>
  <c r="CP50" i="24"/>
  <c r="CQ50" i="24"/>
  <c r="CR50" i="24"/>
  <c r="CK51" i="24"/>
  <c r="CM51" i="24"/>
  <c r="CN51" i="24"/>
  <c r="CO51" i="24"/>
  <c r="CP51" i="24"/>
  <c r="CQ51" i="24"/>
  <c r="CR51" i="24"/>
  <c r="CK52" i="24"/>
  <c r="CM52" i="24"/>
  <c r="CN52" i="24"/>
  <c r="CO52" i="24"/>
  <c r="CP52" i="24"/>
  <c r="CQ52" i="24"/>
  <c r="CR52" i="24"/>
  <c r="CK53" i="24"/>
  <c r="CM53" i="24"/>
  <c r="CN53" i="24"/>
  <c r="CO53" i="24"/>
  <c r="CP53" i="24"/>
  <c r="CQ53" i="24"/>
  <c r="CR53" i="24"/>
  <c r="CK54" i="24"/>
  <c r="CM54" i="24"/>
  <c r="CN54" i="24"/>
  <c r="CO54" i="24"/>
  <c r="CP54" i="24"/>
  <c r="CQ54" i="24"/>
  <c r="CR54" i="24"/>
  <c r="CK55" i="24"/>
  <c r="CM55" i="24"/>
  <c r="CN55" i="24"/>
  <c r="CO55" i="24"/>
  <c r="CP55" i="24"/>
  <c r="CQ55" i="24"/>
  <c r="CR55" i="24"/>
  <c r="CK56" i="24"/>
  <c r="CM56" i="24"/>
  <c r="CN56" i="24"/>
  <c r="CO56" i="24"/>
  <c r="CP56" i="24"/>
  <c r="CQ56" i="24"/>
  <c r="CR56" i="24"/>
  <c r="CK57" i="24"/>
  <c r="CM57" i="24"/>
  <c r="CN57" i="24"/>
  <c r="CO57" i="24"/>
  <c r="CP57" i="24"/>
  <c r="CQ57" i="24"/>
  <c r="CR57" i="24"/>
  <c r="CK58" i="24"/>
  <c r="CM58" i="24"/>
  <c r="CN58" i="24"/>
  <c r="CO58" i="24"/>
  <c r="CP58" i="24"/>
  <c r="CQ58" i="24"/>
  <c r="CR58" i="24"/>
  <c r="CK59" i="24"/>
  <c r="CM59" i="24"/>
  <c r="CN59" i="24"/>
  <c r="CO59" i="24"/>
  <c r="CP59" i="24"/>
  <c r="CQ59" i="24"/>
  <c r="CR59" i="24"/>
  <c r="CK60" i="24"/>
  <c r="CJ60" i="24" s="1"/>
  <c r="CM60" i="24"/>
  <c r="CN60" i="24"/>
  <c r="CO60" i="24"/>
  <c r="CP60" i="24"/>
  <c r="CQ60" i="24"/>
  <c r="CR60" i="24"/>
  <c r="CK61" i="24"/>
  <c r="CM61" i="24"/>
  <c r="CN61" i="24"/>
  <c r="CO61" i="24"/>
  <c r="CP61" i="24"/>
  <c r="CQ61" i="24"/>
  <c r="CR61" i="24"/>
  <c r="CK62" i="24"/>
  <c r="CM62" i="24"/>
  <c r="CN62" i="24"/>
  <c r="CO62" i="24"/>
  <c r="CP62" i="24"/>
  <c r="CQ62" i="24"/>
  <c r="CR62" i="24"/>
  <c r="CK63" i="24"/>
  <c r="CM63" i="24"/>
  <c r="CN63" i="24"/>
  <c r="CO63" i="24"/>
  <c r="CP63" i="24"/>
  <c r="CQ63" i="24"/>
  <c r="CR63" i="24"/>
  <c r="CK64" i="24"/>
  <c r="CM64" i="24"/>
  <c r="CN64" i="24"/>
  <c r="CO64" i="24"/>
  <c r="CP64" i="24"/>
  <c r="CQ64" i="24"/>
  <c r="CR64" i="24"/>
  <c r="CK65" i="24"/>
  <c r="CM65" i="24"/>
  <c r="CN65" i="24"/>
  <c r="CO65" i="24"/>
  <c r="CP65" i="24"/>
  <c r="CQ65" i="24"/>
  <c r="CR65" i="24"/>
  <c r="CK66" i="24"/>
  <c r="CM66" i="24"/>
  <c r="CN66" i="24"/>
  <c r="CO66" i="24"/>
  <c r="CP66" i="24"/>
  <c r="CQ66" i="24"/>
  <c r="CR66" i="24"/>
  <c r="CK67" i="24"/>
  <c r="CM67" i="24"/>
  <c r="CN67" i="24"/>
  <c r="CO67" i="24"/>
  <c r="CP67" i="24"/>
  <c r="CQ67" i="24"/>
  <c r="CR67" i="24"/>
  <c r="CK68" i="24"/>
  <c r="CM68" i="24"/>
  <c r="CN68" i="24"/>
  <c r="CO68" i="24"/>
  <c r="CP68" i="24"/>
  <c r="CQ68" i="24"/>
  <c r="CR68" i="24"/>
  <c r="CK69" i="24"/>
  <c r="CM69" i="24"/>
  <c r="CN69" i="24"/>
  <c r="CO69" i="24"/>
  <c r="CP69" i="24"/>
  <c r="CQ69" i="24"/>
  <c r="CR69" i="24"/>
  <c r="CK70" i="24"/>
  <c r="CM70" i="24"/>
  <c r="CN70" i="24"/>
  <c r="CO70" i="24"/>
  <c r="CP70" i="24"/>
  <c r="CQ70" i="24"/>
  <c r="CR70" i="24"/>
  <c r="AO9" i="24"/>
  <c r="AO13" i="24"/>
  <c r="AO8" i="24"/>
  <c r="AO10" i="24"/>
  <c r="AO14" i="24"/>
  <c r="AO11" i="24"/>
  <c r="AO15" i="24"/>
  <c r="AO16" i="24"/>
  <c r="AO17" i="24"/>
  <c r="AT17" i="24" s="1"/>
  <c r="AO18" i="24"/>
  <c r="AO19" i="24"/>
  <c r="AO20" i="24"/>
  <c r="AO21" i="24"/>
  <c r="AO22" i="24"/>
  <c r="AO23" i="24"/>
  <c r="AO24" i="24"/>
  <c r="AO25" i="24"/>
  <c r="AO26" i="24"/>
  <c r="AO27" i="24"/>
  <c r="AO28" i="24"/>
  <c r="AO29" i="24"/>
  <c r="AO30" i="24"/>
  <c r="AO31" i="24"/>
  <c r="AO32" i="24"/>
  <c r="AO33" i="24"/>
  <c r="AT33" i="24" s="1"/>
  <c r="AO34" i="24"/>
  <c r="AO35" i="24"/>
  <c r="AO36" i="24"/>
  <c r="AO37" i="24"/>
  <c r="AT37" i="24" s="1"/>
  <c r="AO38" i="24"/>
  <c r="AO39" i="24"/>
  <c r="AO40" i="24"/>
  <c r="AO41" i="24"/>
  <c r="AO42" i="24"/>
  <c r="AO43" i="24"/>
  <c r="AO44" i="24"/>
  <c r="AO45" i="24"/>
  <c r="AO46" i="24"/>
  <c r="AO47" i="24"/>
  <c r="AO48" i="24"/>
  <c r="AO49" i="24"/>
  <c r="AT49" i="24" s="1"/>
  <c r="AO50" i="24"/>
  <c r="AO51" i="24"/>
  <c r="AO52" i="24"/>
  <c r="AO53" i="24"/>
  <c r="AT53" i="24" s="1"/>
  <c r="AO54" i="24"/>
  <c r="AO55" i="24"/>
  <c r="AO56" i="24"/>
  <c r="AO57" i="24"/>
  <c r="AO58" i="24"/>
  <c r="AO59" i="24"/>
  <c r="AO60" i="24"/>
  <c r="AO61" i="24"/>
  <c r="AO62" i="24"/>
  <c r="AO63" i="24"/>
  <c r="AO64" i="24"/>
  <c r="AO65" i="24"/>
  <c r="AT65" i="24" s="1"/>
  <c r="AO66" i="24"/>
  <c r="AO67" i="24"/>
  <c r="AO68" i="24"/>
  <c r="AO69" i="24"/>
  <c r="AO70" i="24"/>
  <c r="AO7" i="24"/>
  <c r="AS9" i="24"/>
  <c r="AS13" i="24"/>
  <c r="AS8" i="24"/>
  <c r="AS10" i="24"/>
  <c r="AS14" i="24"/>
  <c r="AS11" i="24"/>
  <c r="AS15" i="24"/>
  <c r="AS16" i="24"/>
  <c r="AS17" i="24"/>
  <c r="AS18" i="24"/>
  <c r="AS19" i="24"/>
  <c r="AS20" i="24"/>
  <c r="AS21" i="24"/>
  <c r="AS22" i="24"/>
  <c r="AS23" i="24"/>
  <c r="AS24" i="24"/>
  <c r="AS25" i="24"/>
  <c r="AS26" i="24"/>
  <c r="AS27" i="24"/>
  <c r="AS28" i="24"/>
  <c r="AS29" i="24"/>
  <c r="AS30" i="24"/>
  <c r="AS31" i="24"/>
  <c r="AS32" i="24"/>
  <c r="AS33" i="24"/>
  <c r="AS34" i="24"/>
  <c r="AS35" i="24"/>
  <c r="AS36" i="24"/>
  <c r="AS37" i="24"/>
  <c r="AS38" i="24"/>
  <c r="AS39" i="24"/>
  <c r="AS40" i="24"/>
  <c r="AS41" i="24"/>
  <c r="AS42" i="24"/>
  <c r="AS43" i="24"/>
  <c r="AS44" i="24"/>
  <c r="AS45" i="24"/>
  <c r="AS46" i="24"/>
  <c r="AS47" i="24"/>
  <c r="AS48" i="24"/>
  <c r="AS49" i="24"/>
  <c r="AS50" i="24"/>
  <c r="AS51" i="24"/>
  <c r="AS52" i="24"/>
  <c r="AS53" i="24"/>
  <c r="AS54" i="24"/>
  <c r="AS55" i="24"/>
  <c r="AS56" i="24"/>
  <c r="AS57" i="24"/>
  <c r="AS58" i="24"/>
  <c r="AS59" i="24"/>
  <c r="AS60" i="24"/>
  <c r="AS61" i="24"/>
  <c r="AS62" i="24"/>
  <c r="AS63" i="24"/>
  <c r="AS64" i="24"/>
  <c r="AS65" i="24"/>
  <c r="AS66" i="24"/>
  <c r="AS67" i="24"/>
  <c r="AS68" i="24"/>
  <c r="AS69" i="24"/>
  <c r="AS70" i="24"/>
  <c r="AR9" i="24"/>
  <c r="AR13" i="24"/>
  <c r="AR8" i="24"/>
  <c r="AR10" i="24"/>
  <c r="AR14" i="24"/>
  <c r="AR11" i="24"/>
  <c r="AR15" i="24"/>
  <c r="AR16" i="24"/>
  <c r="AR17" i="24"/>
  <c r="AR18" i="24"/>
  <c r="AR19" i="24"/>
  <c r="AR20" i="24"/>
  <c r="AR21" i="24"/>
  <c r="AR22" i="24"/>
  <c r="AR23" i="24"/>
  <c r="AR24" i="24"/>
  <c r="AR25" i="24"/>
  <c r="AR26" i="24"/>
  <c r="AR27" i="24"/>
  <c r="AR28" i="24"/>
  <c r="AR29" i="24"/>
  <c r="AR30" i="24"/>
  <c r="AR31" i="24"/>
  <c r="AR32" i="24"/>
  <c r="AR33" i="24"/>
  <c r="AR34" i="24"/>
  <c r="AR35" i="24"/>
  <c r="AR36" i="24"/>
  <c r="AR37" i="24"/>
  <c r="AR38" i="24"/>
  <c r="AR39" i="24"/>
  <c r="AR40" i="24"/>
  <c r="AR41" i="24"/>
  <c r="AR42" i="24"/>
  <c r="AR43" i="24"/>
  <c r="AR44" i="24"/>
  <c r="AR45" i="24"/>
  <c r="AR46" i="24"/>
  <c r="AR47" i="24"/>
  <c r="AR48" i="24"/>
  <c r="AR49" i="24"/>
  <c r="AR50" i="24"/>
  <c r="AR51" i="24"/>
  <c r="AR52" i="24"/>
  <c r="AR53" i="24"/>
  <c r="AR54" i="24"/>
  <c r="AR55" i="24"/>
  <c r="AR56" i="24"/>
  <c r="AR57" i="24"/>
  <c r="AR58" i="24"/>
  <c r="AR59" i="24"/>
  <c r="AR60" i="24"/>
  <c r="AR61" i="24"/>
  <c r="AR62" i="24"/>
  <c r="AR63" i="24"/>
  <c r="AR64" i="24"/>
  <c r="AR65" i="24"/>
  <c r="AR66" i="24"/>
  <c r="AR67" i="24"/>
  <c r="AR68" i="24"/>
  <c r="AR69" i="24"/>
  <c r="AR70" i="24"/>
  <c r="AQ9" i="24"/>
  <c r="AQ13" i="24"/>
  <c r="AQ8" i="24"/>
  <c r="AQ10" i="24"/>
  <c r="AQ14" i="24"/>
  <c r="AQ11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T26" i="24" s="1"/>
  <c r="AQ27" i="24"/>
  <c r="AQ28" i="24"/>
  <c r="AQ29" i="24"/>
  <c r="AQ30" i="24"/>
  <c r="AQ31" i="24"/>
  <c r="AQ32" i="24"/>
  <c r="AQ33" i="24"/>
  <c r="AQ34" i="24"/>
  <c r="AT34" i="24" s="1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T50" i="24" s="1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T62" i="24" s="1"/>
  <c r="AQ63" i="24"/>
  <c r="AQ64" i="24"/>
  <c r="AQ65" i="24"/>
  <c r="AQ66" i="24"/>
  <c r="AT66" i="24" s="1"/>
  <c r="AQ67" i="24"/>
  <c r="AQ68" i="24"/>
  <c r="AQ69" i="24"/>
  <c r="AQ70" i="24"/>
  <c r="AP9" i="24"/>
  <c r="AP13" i="24"/>
  <c r="AP8" i="24"/>
  <c r="AP10" i="24"/>
  <c r="AP14" i="24"/>
  <c r="AP11" i="24"/>
  <c r="AP15" i="24"/>
  <c r="AP16" i="24"/>
  <c r="AP17" i="24"/>
  <c r="AP18" i="24"/>
  <c r="AP19" i="24"/>
  <c r="AP20" i="24"/>
  <c r="AT20" i="24" s="1"/>
  <c r="AP21" i="24"/>
  <c r="AP22" i="24"/>
  <c r="AP23" i="24"/>
  <c r="AT23" i="24" s="1"/>
  <c r="AP24" i="24"/>
  <c r="AT24" i="24" s="1"/>
  <c r="AP25" i="24"/>
  <c r="AP26" i="24"/>
  <c r="AP27" i="24"/>
  <c r="AT27" i="24" s="1"/>
  <c r="AP28" i="24"/>
  <c r="AP29" i="24"/>
  <c r="AP30" i="24"/>
  <c r="AP31" i="24"/>
  <c r="AT31" i="24" s="1"/>
  <c r="AP32" i="24"/>
  <c r="AP33" i="24"/>
  <c r="AP34" i="24"/>
  <c r="AP35" i="24"/>
  <c r="AP36" i="24"/>
  <c r="AP37" i="24"/>
  <c r="AP38" i="24"/>
  <c r="AP39" i="24"/>
  <c r="AT39" i="24" s="1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T51" i="24" s="1"/>
  <c r="AP52" i="24"/>
  <c r="AP53" i="24"/>
  <c r="AP54" i="24"/>
  <c r="AP55" i="24"/>
  <c r="AT55" i="24" s="1"/>
  <c r="AP56" i="24"/>
  <c r="AP57" i="24"/>
  <c r="AP58" i="24"/>
  <c r="AP59" i="24"/>
  <c r="AT59" i="24" s="1"/>
  <c r="AP60" i="24"/>
  <c r="AP61" i="24"/>
  <c r="AP62" i="24"/>
  <c r="AP63" i="24"/>
  <c r="AT63" i="24" s="1"/>
  <c r="AP64" i="24"/>
  <c r="AP65" i="24"/>
  <c r="AP66" i="24"/>
  <c r="AP67" i="24"/>
  <c r="AP68" i="24"/>
  <c r="AP69" i="24"/>
  <c r="AP70" i="24"/>
  <c r="AS7" i="24"/>
  <c r="AR7" i="24"/>
  <c r="AQ7" i="24"/>
  <c r="AP7" i="24"/>
  <c r="AT35" i="24"/>
  <c r="CH13" i="24" l="1"/>
  <c r="CJ13" i="24" s="1"/>
  <c r="CH15" i="24"/>
  <c r="CJ15" i="24" s="1"/>
  <c r="AT15" i="24"/>
  <c r="CH14" i="24"/>
  <c r="CJ14" i="24" s="1"/>
  <c r="CH11" i="24"/>
  <c r="CJ11" i="24" s="1"/>
  <c r="CF7" i="24" a="1"/>
  <c r="CF7" i="24" s="1"/>
  <c r="CH8" i="24"/>
  <c r="CJ8" i="24" s="1"/>
  <c r="CH7" i="24"/>
  <c r="CJ7" i="24" s="1"/>
  <c r="CJ54" i="24"/>
  <c r="CJ42" i="24"/>
  <c r="CJ20" i="24"/>
  <c r="CJ58" i="24"/>
  <c r="CJ26" i="24"/>
  <c r="CF26" i="24" a="1"/>
  <c r="CF26" i="24" s="1"/>
  <c r="AT64" i="24"/>
  <c r="CJ52" i="24"/>
  <c r="CJ44" i="24"/>
  <c r="CJ36" i="24"/>
  <c r="CF54" i="24" a="1"/>
  <c r="CF54" i="24" s="1"/>
  <c r="CJ59" i="24"/>
  <c r="AT48" i="24"/>
  <c r="AT28" i="24"/>
  <c r="CJ38" i="24"/>
  <c r="CJ66" i="24"/>
  <c r="CJ34" i="24"/>
  <c r="CJ22" i="24"/>
  <c r="CF57" i="24" a="1"/>
  <c r="CF57" i="24" s="1"/>
  <c r="AT67" i="24"/>
  <c r="CJ68" i="24"/>
  <c r="CF20" i="24" a="1"/>
  <c r="CF20" i="24" s="1"/>
  <c r="CJ46" i="24"/>
  <c r="CF65" i="24" a="1"/>
  <c r="CF65" i="24" s="1"/>
  <c r="CF42" i="24" a="1"/>
  <c r="CF42" i="24" s="1"/>
  <c r="CF41" i="24" a="1"/>
  <c r="CF41" i="24" s="1"/>
  <c r="CF39" i="24" a="1"/>
  <c r="CF39" i="24" s="1"/>
  <c r="CF37" i="24" a="1"/>
  <c r="CF37" i="24" s="1"/>
  <c r="CJ30" i="24"/>
  <c r="CF63" i="24" a="1"/>
  <c r="CF63" i="24" s="1"/>
  <c r="CF59" i="24" a="1"/>
  <c r="CF59" i="24" s="1"/>
  <c r="CF31" i="24" a="1"/>
  <c r="CF31" i="24" s="1"/>
  <c r="CF16" i="24" a="1"/>
  <c r="CF16" i="24" s="1"/>
  <c r="AT32" i="24"/>
  <c r="AT46" i="24"/>
  <c r="AT36" i="24"/>
  <c r="CJ70" i="24"/>
  <c r="CJ62" i="24"/>
  <c r="AT60" i="24"/>
  <c r="AT56" i="24"/>
  <c r="AT52" i="24"/>
  <c r="CJ67" i="24"/>
  <c r="CJ63" i="24"/>
  <c r="CJ55" i="24"/>
  <c r="CJ51" i="24"/>
  <c r="CJ50" i="24"/>
  <c r="CJ47" i="24"/>
  <c r="CJ43" i="24"/>
  <c r="CJ39" i="24"/>
  <c r="CJ35" i="24"/>
  <c r="CJ31" i="24"/>
  <c r="CJ23" i="24"/>
  <c r="CJ19" i="24"/>
  <c r="CJ18" i="24"/>
  <c r="AT69" i="24"/>
  <c r="AT41" i="24"/>
  <c r="AT45" i="24"/>
  <c r="AT29" i="24"/>
  <c r="CJ64" i="24"/>
  <c r="CJ56" i="24"/>
  <c r="CJ48" i="24"/>
  <c r="CJ40" i="24"/>
  <c r="AT61" i="24"/>
  <c r="AT19" i="24"/>
  <c r="CJ65" i="24"/>
  <c r="CJ57" i="24"/>
  <c r="CJ49" i="24"/>
  <c r="CJ41" i="24"/>
  <c r="CJ37" i="24"/>
  <c r="CJ29" i="24"/>
  <c r="CJ25" i="24"/>
  <c r="CJ24" i="24"/>
  <c r="CJ16" i="24"/>
  <c r="CF9" i="24" a="1"/>
  <c r="CF9" i="24" s="1"/>
  <c r="AT47" i="24"/>
  <c r="AT40" i="24"/>
  <c r="CF70" i="24" a="1"/>
  <c r="CF70" i="24" s="1"/>
  <c r="CF69" i="24" a="1"/>
  <c r="CF69" i="24" s="1"/>
  <c r="CF68" i="24" a="1"/>
  <c r="CF68" i="24" s="1"/>
  <c r="CF67" i="24" a="1"/>
  <c r="CF67" i="24" s="1"/>
  <c r="CF66" i="24" a="1"/>
  <c r="CF66" i="24" s="1"/>
  <c r="CF64" i="24" a="1"/>
  <c r="CF64" i="24" s="1"/>
  <c r="CF62" i="24" a="1"/>
  <c r="CF62" i="24" s="1"/>
  <c r="CF61" i="24" a="1"/>
  <c r="CF61" i="24" s="1"/>
  <c r="CF60" i="24" a="1"/>
  <c r="CF60" i="24" s="1"/>
  <c r="CF58" i="24" a="1"/>
  <c r="CF58" i="24" s="1"/>
  <c r="CF56" i="24" a="1"/>
  <c r="CF56" i="24" s="1"/>
  <c r="CF55" i="24" a="1"/>
  <c r="CF55" i="24" s="1"/>
  <c r="CF53" i="24" a="1"/>
  <c r="CF53" i="24" s="1"/>
  <c r="CF52" i="24" a="1"/>
  <c r="CF52" i="24" s="1"/>
  <c r="CF51" i="24" a="1"/>
  <c r="CF51" i="24" s="1"/>
  <c r="CF50" i="24" a="1"/>
  <c r="CF50" i="24" s="1"/>
  <c r="CF49" i="24" a="1"/>
  <c r="CF49" i="24" s="1"/>
  <c r="CF48" i="24" a="1"/>
  <c r="CF48" i="24" s="1"/>
  <c r="CF47" i="24" a="1"/>
  <c r="CF47" i="24" s="1"/>
  <c r="CF46" i="24" a="1"/>
  <c r="CF46" i="24" s="1"/>
  <c r="CF45" i="24" a="1"/>
  <c r="CF45" i="24" s="1"/>
  <c r="CF44" i="24" a="1"/>
  <c r="CF44" i="24" s="1"/>
  <c r="CF43" i="24" a="1"/>
  <c r="CF43" i="24" s="1"/>
  <c r="CF40" i="24" a="1"/>
  <c r="CF40" i="24" s="1"/>
  <c r="CF38" i="24" a="1"/>
  <c r="CF38" i="24" s="1"/>
  <c r="CF36" i="24" a="1"/>
  <c r="CF36" i="24" s="1"/>
  <c r="CF35" i="24" a="1"/>
  <c r="CF35" i="24" s="1"/>
  <c r="CF34" i="24" a="1"/>
  <c r="CF34" i="24" s="1"/>
  <c r="CF33" i="24" a="1"/>
  <c r="CF33" i="24" s="1"/>
  <c r="CF32" i="24" a="1"/>
  <c r="CF32" i="24" s="1"/>
  <c r="CF30" i="24" a="1"/>
  <c r="CF30" i="24" s="1"/>
  <c r="CF29" i="24" a="1"/>
  <c r="CF29" i="24" s="1"/>
  <c r="CF28" i="24" a="1"/>
  <c r="CF28" i="24" s="1"/>
  <c r="CF27" i="24" a="1"/>
  <c r="CF27" i="24" s="1"/>
  <c r="CF25" i="24" a="1"/>
  <c r="CF25" i="24" s="1"/>
  <c r="CF24" i="24" a="1"/>
  <c r="CF24" i="24" s="1"/>
  <c r="CF22" i="24" a="1"/>
  <c r="CF22" i="24" s="1"/>
  <c r="CF21" i="24" a="1"/>
  <c r="CF21" i="24" s="1"/>
  <c r="CF19" i="24" a="1"/>
  <c r="CF19" i="24" s="1"/>
  <c r="CF18" i="24" a="1"/>
  <c r="CF18" i="24" s="1"/>
  <c r="CF17" i="24" a="1"/>
  <c r="CF17" i="24" s="1"/>
  <c r="CF15" i="24" a="1"/>
  <c r="CF15" i="24" s="1"/>
  <c r="AT25" i="24"/>
  <c r="CJ69" i="24"/>
  <c r="CJ61" i="24"/>
  <c r="CJ53" i="24"/>
  <c r="CJ45" i="24"/>
  <c r="CJ33" i="24"/>
  <c r="CJ32" i="24"/>
  <c r="CJ21" i="24"/>
  <c r="CJ17" i="24"/>
  <c r="AT44" i="24"/>
  <c r="AT68" i="24"/>
  <c r="AT16" i="24"/>
  <c r="AT57" i="24"/>
  <c r="AT43" i="24"/>
  <c r="AT21" i="24"/>
  <c r="AT70" i="24"/>
  <c r="AT58" i="24"/>
  <c r="AT54" i="24"/>
  <c r="AT42" i="24"/>
  <c r="AT38" i="24"/>
  <c r="AT30" i="24"/>
  <c r="AT22" i="24"/>
  <c r="AT18" i="24"/>
  <c r="CF11" i="24" a="1"/>
  <c r="CF11" i="24" s="1"/>
  <c r="AT11" i="24"/>
  <c r="CF14" i="24" a="1"/>
  <c r="CF14" i="24" s="1"/>
  <c r="AT14" i="24"/>
  <c r="AT8" i="24"/>
  <c r="AT13" i="24"/>
  <c r="CJ9" i="24"/>
  <c r="CF13" i="24" a="1"/>
  <c r="CF13" i="24" s="1"/>
  <c r="CJ10" i="24"/>
  <c r="AT10" i="24"/>
  <c r="CF10" i="24" a="1"/>
  <c r="CF10" i="24" s="1"/>
  <c r="AT9" i="24"/>
  <c r="CF8" i="24" a="1"/>
  <c r="CF8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Sally Shi</author>
  </authors>
  <commentList>
    <comment ref="AT5" authorId="0" shapeId="0" xr:uid="{8E3DE0F4-BC74-4F7C-A8CE-64D45E8E2540}">
      <text>
        <r>
          <rPr>
            <b/>
            <sz val="9"/>
            <color indexed="81"/>
            <rFont val="宋体"/>
            <family val="3"/>
            <charset val="134"/>
          </rPr>
          <t>每自然周工作小时数小于等于60</t>
        </r>
      </text>
    </comment>
    <comment ref="CF5" authorId="0" shapeId="0" xr:uid="{52172008-6028-4353-B40C-B8A077E10EE0}">
      <text>
        <r>
          <rPr>
            <b/>
            <sz val="9"/>
            <color indexed="81"/>
            <rFont val="宋体"/>
            <family val="3"/>
            <charset val="134"/>
          </rPr>
          <t>最大连续工作天数小于7天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H5" authorId="0" shapeId="0" xr:uid="{FB216EDE-E7C1-4414-A693-6468AEDC6A65}">
      <text>
        <r>
          <rPr>
            <b/>
            <sz val="9"/>
            <color indexed="81"/>
            <rFont val="宋体"/>
            <family val="3"/>
            <charset val="134"/>
          </rPr>
          <t>Sally Shi:不包含假期，员工实际工作的工时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I5" authorId="0" shapeId="0" xr:uid="{5EA0DE3D-5962-406D-A151-B3A11CE5BB6F}">
      <text>
        <r>
          <rPr>
            <b/>
            <sz val="9"/>
            <color indexed="81"/>
            <rFont val="宋体"/>
            <family val="3"/>
            <charset val="134"/>
          </rPr>
          <t>Sally Shi:扣除国定假及双休日的应出勤工时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J5" authorId="0" shapeId="0" xr:uid="{1BDA0EF4-EA21-443F-80F6-B2A1958B4476}">
      <text>
        <r>
          <rPr>
            <b/>
            <sz val="9"/>
            <color indexed="81"/>
            <rFont val="宋体"/>
            <family val="3"/>
            <charset val="134"/>
          </rPr>
          <t>Sally Shi:加班小时总数，包含国定假加班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<sst xmlns="http://schemas.openxmlformats.org/spreadsheetml/2006/main" count="310" uniqueCount="99">
  <si>
    <r>
      <t>Approved by Manager</t>
    </r>
    <r>
      <rPr>
        <sz val="11"/>
        <color indexed="8"/>
        <rFont val="宋体"/>
        <family val="3"/>
        <charset val="134"/>
      </rPr>
      <t>：</t>
    </r>
    <phoneticPr fontId="13" type="noConversion"/>
  </si>
  <si>
    <r>
      <t>Date</t>
    </r>
    <r>
      <rPr>
        <sz val="11"/>
        <color indexed="8"/>
        <rFont val="宋体"/>
        <family val="3"/>
        <charset val="134"/>
      </rPr>
      <t>：</t>
    </r>
    <phoneticPr fontId="13" type="noConversion"/>
  </si>
  <si>
    <r>
      <t xml:space="preserve">Site Shift Arrangement  Form </t>
    </r>
    <r>
      <rPr>
        <b/>
        <sz val="9"/>
        <color indexed="8"/>
        <rFont val="微软雅黑"/>
        <family val="2"/>
        <charset val="134"/>
      </rPr>
      <t>工厂排班表</t>
    </r>
    <phoneticPr fontId="5" type="noConversion"/>
  </si>
  <si>
    <t>Sun</t>
  </si>
  <si>
    <t>Mon</t>
  </si>
  <si>
    <t>Tue</t>
  </si>
  <si>
    <t>Wed</t>
  </si>
  <si>
    <t>Thu</t>
  </si>
  <si>
    <t>Fri</t>
  </si>
  <si>
    <t>Sat</t>
  </si>
  <si>
    <r>
      <t>Shift with 8 hours
8</t>
    </r>
    <r>
      <rPr>
        <b/>
        <sz val="9"/>
        <color indexed="8"/>
        <rFont val="宋体"/>
        <family val="3"/>
        <charset val="134"/>
      </rPr>
      <t>小时班次</t>
    </r>
    <phoneticPr fontId="11" type="noConversion"/>
  </si>
  <si>
    <r>
      <t>Dayshift with 12 hours
12</t>
    </r>
    <r>
      <rPr>
        <b/>
        <sz val="9"/>
        <color indexed="8"/>
        <rFont val="宋体"/>
        <family val="3"/>
        <charset val="134"/>
      </rPr>
      <t>小时白班</t>
    </r>
    <phoneticPr fontId="11" type="noConversion"/>
  </si>
  <si>
    <r>
      <t>Night Shift with 12 hours
12</t>
    </r>
    <r>
      <rPr>
        <b/>
        <sz val="9"/>
        <color indexed="8"/>
        <rFont val="微软雅黑"/>
        <family val="2"/>
        <charset val="134"/>
      </rPr>
      <t>小时夜班</t>
    </r>
    <phoneticPr fontId="11" type="noConversion"/>
  </si>
  <si>
    <r>
      <t xml:space="preserve">Sick Leave
</t>
    </r>
    <r>
      <rPr>
        <sz val="10"/>
        <rFont val="宋体"/>
        <family val="3"/>
        <charset val="134"/>
      </rPr>
      <t>病假</t>
    </r>
    <phoneticPr fontId="5" type="noConversion"/>
  </si>
  <si>
    <r>
      <t xml:space="preserve">Other Leave
</t>
    </r>
    <r>
      <rPr>
        <sz val="10"/>
        <rFont val="宋体"/>
        <family val="3"/>
        <charset val="134"/>
      </rPr>
      <t>其他假</t>
    </r>
    <phoneticPr fontId="5" type="noConversion"/>
  </si>
  <si>
    <t>Leave Taken Days
休假天数</t>
    <phoneticPr fontId="11" type="noConversion"/>
  </si>
  <si>
    <r>
      <t xml:space="preserve">Annual Leave
</t>
    </r>
    <r>
      <rPr>
        <sz val="10"/>
        <rFont val="宋体"/>
        <family val="3"/>
        <charset val="134"/>
      </rPr>
      <t>年假</t>
    </r>
    <phoneticPr fontId="11" type="noConversion"/>
  </si>
  <si>
    <t>Week1</t>
    <phoneticPr fontId="11" type="noConversion"/>
  </si>
  <si>
    <t>Week2</t>
  </si>
  <si>
    <t>Week3</t>
  </si>
  <si>
    <t>Week4</t>
  </si>
  <si>
    <r>
      <t xml:space="preserve">Personal Leave
</t>
    </r>
    <r>
      <rPr>
        <sz val="10"/>
        <rFont val="宋体"/>
        <family val="3"/>
        <charset val="134"/>
      </rPr>
      <t>事假</t>
    </r>
    <phoneticPr fontId="5" type="noConversion"/>
  </si>
  <si>
    <t>Max Working Hrs Per Week最大每周工作小时数</t>
    <phoneticPr fontId="11" type="noConversion"/>
  </si>
  <si>
    <t>Week0</t>
    <phoneticPr fontId="11" type="noConversion"/>
  </si>
  <si>
    <r>
      <t xml:space="preserve"> Monthly Standard Working Hours
</t>
    </r>
    <r>
      <rPr>
        <b/>
        <sz val="9"/>
        <color rgb="FF000000"/>
        <rFont val="微软雅黑"/>
        <family val="2"/>
        <charset val="134"/>
      </rPr>
      <t>月标准工时</t>
    </r>
    <phoneticPr fontId="5" type="noConversion"/>
  </si>
  <si>
    <r>
      <t xml:space="preserve">Actual Happened OT
</t>
    </r>
    <r>
      <rPr>
        <b/>
        <sz val="9"/>
        <color rgb="FF000000"/>
        <rFont val="微软雅黑"/>
        <family val="2"/>
        <charset val="134"/>
      </rPr>
      <t>实际加班时数</t>
    </r>
    <phoneticPr fontId="5" type="noConversion"/>
  </si>
  <si>
    <t>Print out</t>
    <phoneticPr fontId="5" type="noConversion"/>
  </si>
  <si>
    <r>
      <t xml:space="preserve"> Employee's Attendance Hours
</t>
    </r>
    <r>
      <rPr>
        <b/>
        <sz val="9"/>
        <color rgb="FF000000"/>
        <rFont val="微软雅黑"/>
        <family val="2"/>
        <charset val="134"/>
      </rPr>
      <t>员工出勤工时</t>
    </r>
    <phoneticPr fontId="11" type="noConversion"/>
  </si>
  <si>
    <t>Sat</t>
    <phoneticPr fontId="11" type="noConversion"/>
  </si>
  <si>
    <t>Sun</t>
    <phoneticPr fontId="11" type="noConversion"/>
  </si>
  <si>
    <t>For Your Reference No Need To Print</t>
    <phoneticPr fontId="11" type="noConversion"/>
  </si>
  <si>
    <r>
      <t xml:space="preserve">Prepared by </t>
    </r>
    <r>
      <rPr>
        <sz val="11"/>
        <color indexed="8"/>
        <rFont val="宋体"/>
        <family val="3"/>
        <charset val="134"/>
      </rPr>
      <t>：</t>
    </r>
    <r>
      <rPr>
        <u/>
        <sz val="11"/>
        <color rgb="FF000000"/>
        <rFont val="Calibri"/>
        <family val="3"/>
      </rPr>
      <t xml:space="preserve">              </t>
    </r>
    <phoneticPr fontId="13" type="noConversion"/>
  </si>
  <si>
    <t xml:space="preserve">Public  Holidays OT
法定节假日加班
</t>
    <phoneticPr fontId="11" type="noConversion"/>
  </si>
  <si>
    <t>Max Continuous Work Days 最大连续工作天数</t>
    <phoneticPr fontId="11" type="noConversion"/>
  </si>
  <si>
    <r>
      <t xml:space="preserve">GPN
</t>
    </r>
    <r>
      <rPr>
        <b/>
        <sz val="9"/>
        <color rgb="FF000000"/>
        <rFont val="微软雅黑"/>
        <family val="2"/>
        <charset val="134"/>
      </rPr>
      <t>工号</t>
    </r>
    <phoneticPr fontId="11" type="noConversion"/>
  </si>
  <si>
    <r>
      <rPr>
        <b/>
        <sz val="9"/>
        <color indexed="8"/>
        <rFont val="Arial"/>
        <family val="2"/>
      </rPr>
      <t xml:space="preserve">
</t>
    </r>
    <r>
      <rPr>
        <b/>
        <sz val="9"/>
        <color rgb="FF000000"/>
        <rFont val="Arial"/>
        <family val="2"/>
      </rPr>
      <t xml:space="preserve">Department
</t>
    </r>
    <r>
      <rPr>
        <b/>
        <sz val="9"/>
        <color rgb="FF000000"/>
        <rFont val="微软雅黑"/>
        <family val="2"/>
        <charset val="134"/>
      </rPr>
      <t>部门</t>
    </r>
    <phoneticPr fontId="11" type="noConversion"/>
  </si>
  <si>
    <r>
      <t xml:space="preserve">
Name
</t>
    </r>
    <r>
      <rPr>
        <b/>
        <sz val="9"/>
        <color rgb="FF000000"/>
        <rFont val="微软雅黑"/>
        <family val="2"/>
        <charset val="134"/>
      </rPr>
      <t>姓名</t>
    </r>
    <phoneticPr fontId="11" type="noConversion"/>
  </si>
  <si>
    <r>
      <t xml:space="preserve">Approved by </t>
    </r>
    <r>
      <rPr>
        <sz val="11"/>
        <color indexed="8"/>
        <rFont val="宋体"/>
        <family val="3"/>
        <charset val="134"/>
      </rPr>
      <t>：</t>
    </r>
    <phoneticPr fontId="13" type="noConversion"/>
  </si>
  <si>
    <t>班次说明</t>
    <phoneticPr fontId="5" type="noConversion"/>
  </si>
  <si>
    <t>M12</t>
    <phoneticPr fontId="5" type="noConversion"/>
  </si>
  <si>
    <t>M8</t>
    <phoneticPr fontId="5" type="noConversion"/>
  </si>
  <si>
    <t>M4</t>
    <phoneticPr fontId="5" type="noConversion"/>
  </si>
  <si>
    <t>N12</t>
    <phoneticPr fontId="5" type="noConversion"/>
  </si>
  <si>
    <t>N8</t>
    <phoneticPr fontId="5" type="noConversion"/>
  </si>
  <si>
    <t>N4</t>
    <phoneticPr fontId="5" type="noConversion"/>
  </si>
  <si>
    <t>D8</t>
    <phoneticPr fontId="5" type="noConversion"/>
  </si>
  <si>
    <t>D4</t>
    <phoneticPr fontId="5" type="noConversion"/>
  </si>
  <si>
    <t>A8</t>
    <phoneticPr fontId="5" type="noConversion"/>
  </si>
  <si>
    <t>A4</t>
    <phoneticPr fontId="5" type="noConversion"/>
  </si>
  <si>
    <t>S8</t>
    <phoneticPr fontId="5" type="noConversion"/>
  </si>
  <si>
    <t>S4</t>
    <phoneticPr fontId="5" type="noConversion"/>
  </si>
  <si>
    <t>P8</t>
    <phoneticPr fontId="5" type="noConversion"/>
  </si>
  <si>
    <t>P4</t>
    <phoneticPr fontId="5" type="noConversion"/>
  </si>
  <si>
    <t>O8</t>
    <phoneticPr fontId="5" type="noConversion"/>
  </si>
  <si>
    <t>O4</t>
    <phoneticPr fontId="5" type="noConversion"/>
  </si>
  <si>
    <t>V8</t>
    <phoneticPr fontId="5" type="noConversion"/>
  </si>
  <si>
    <t>V4</t>
    <phoneticPr fontId="5" type="noConversion"/>
  </si>
  <si>
    <t>12小时白班</t>
    <phoneticPr fontId="5" type="noConversion"/>
  </si>
  <si>
    <t>8小时白班</t>
    <phoneticPr fontId="5" type="noConversion"/>
  </si>
  <si>
    <t>4小时白班</t>
  </si>
  <si>
    <t>12小时夜班</t>
    <phoneticPr fontId="5" type="noConversion"/>
  </si>
  <si>
    <t>8小时夜班</t>
    <phoneticPr fontId="5" type="noConversion"/>
  </si>
  <si>
    <t>4小时夜班</t>
    <phoneticPr fontId="5" type="noConversion"/>
  </si>
  <si>
    <t>8小时日班</t>
    <phoneticPr fontId="5" type="noConversion"/>
  </si>
  <si>
    <t>4小时日班</t>
    <phoneticPr fontId="5" type="noConversion"/>
  </si>
  <si>
    <t>8小时年假</t>
    <phoneticPr fontId="5" type="noConversion"/>
  </si>
  <si>
    <t>4小时年假</t>
    <phoneticPr fontId="5" type="noConversion"/>
  </si>
  <si>
    <t>8小时病假</t>
    <phoneticPr fontId="5" type="noConversion"/>
  </si>
  <si>
    <t>4小时病假</t>
    <phoneticPr fontId="5" type="noConversion"/>
  </si>
  <si>
    <t>8小时事假</t>
    <phoneticPr fontId="5" type="noConversion"/>
  </si>
  <si>
    <t>4小时事假</t>
    <phoneticPr fontId="5" type="noConversion"/>
  </si>
  <si>
    <t>8小时其他假期</t>
    <phoneticPr fontId="5" type="noConversion"/>
  </si>
  <si>
    <t>4小时其他假期</t>
    <phoneticPr fontId="5" type="noConversion"/>
  </si>
  <si>
    <t>8小时旷工</t>
    <phoneticPr fontId="5" type="noConversion"/>
  </si>
  <si>
    <t>4小时旷工</t>
    <phoneticPr fontId="5" type="noConversion"/>
  </si>
  <si>
    <t>不计算翻班费</t>
    <phoneticPr fontId="5" type="noConversion"/>
  </si>
  <si>
    <t>通常与假期组合出现</t>
    <phoneticPr fontId="5" type="noConversion"/>
  </si>
  <si>
    <t>其他计薪假期，如陪产假，丧假，献血假等</t>
    <phoneticPr fontId="5" type="noConversion"/>
  </si>
  <si>
    <r>
      <rPr>
        <b/>
        <sz val="9"/>
        <color rgb="FF000000"/>
        <rFont val="微软雅黑"/>
        <family val="2"/>
        <charset val="134"/>
      </rPr>
      <t>说明：M12</t>
    </r>
    <r>
      <rPr>
        <sz val="9"/>
        <color rgb="FF000000"/>
        <rFont val="微软雅黑"/>
        <family val="2"/>
        <charset val="134"/>
      </rPr>
      <t xml:space="preserve">：Middle  shift 12 hours   </t>
    </r>
    <r>
      <rPr>
        <b/>
        <sz val="9"/>
        <color rgb="FF000000"/>
        <rFont val="微软雅黑"/>
        <family val="2"/>
        <charset val="134"/>
      </rPr>
      <t xml:space="preserve"> M8</t>
    </r>
    <r>
      <rPr>
        <sz val="9"/>
        <color rgb="FF000000"/>
        <rFont val="微软雅黑"/>
        <family val="2"/>
        <charset val="134"/>
      </rPr>
      <t xml:space="preserve">：Middle  shift 8 hours   </t>
    </r>
    <r>
      <rPr>
        <b/>
        <sz val="9"/>
        <color rgb="FF000000"/>
        <rFont val="微软雅黑"/>
        <family val="2"/>
        <charset val="134"/>
      </rPr>
      <t>M4</t>
    </r>
    <r>
      <rPr>
        <sz val="9"/>
        <color rgb="FF000000"/>
        <rFont val="微软雅黑"/>
        <family val="2"/>
        <charset val="134"/>
      </rPr>
      <t xml:space="preserve">：Middle shift 4 hours  </t>
    </r>
    <r>
      <rPr>
        <b/>
        <sz val="9"/>
        <color rgb="FF000000"/>
        <rFont val="微软雅黑"/>
        <family val="2"/>
        <charset val="134"/>
      </rPr>
      <t>D8</t>
    </r>
    <r>
      <rPr>
        <sz val="9"/>
        <color rgb="FF000000"/>
        <rFont val="微软雅黑"/>
        <family val="2"/>
        <charset val="134"/>
      </rPr>
      <t xml:space="preserve">：Day shift 8hours </t>
    </r>
    <r>
      <rPr>
        <b/>
        <sz val="9"/>
        <color rgb="FF000000"/>
        <rFont val="微软雅黑"/>
        <family val="2"/>
        <charset val="134"/>
      </rPr>
      <t xml:space="preserve"> D4</t>
    </r>
    <r>
      <rPr>
        <sz val="9"/>
        <color rgb="FF000000"/>
        <rFont val="微软雅黑"/>
        <family val="2"/>
        <charset val="134"/>
      </rPr>
      <t xml:space="preserve">：Day shift 4 hours    </t>
    </r>
    <r>
      <rPr>
        <b/>
        <sz val="9"/>
        <color rgb="FF000000"/>
        <rFont val="微软雅黑"/>
        <family val="2"/>
        <charset val="134"/>
      </rPr>
      <t>N12</t>
    </r>
    <r>
      <rPr>
        <sz val="9"/>
        <color rgb="FF000000"/>
        <rFont val="微软雅黑"/>
        <family val="2"/>
        <charset val="134"/>
      </rPr>
      <t xml:space="preserve">：Night shift 12 hours    </t>
    </r>
    <r>
      <rPr>
        <b/>
        <sz val="9"/>
        <color rgb="FF000000"/>
        <rFont val="微软雅黑"/>
        <family val="2"/>
        <charset val="134"/>
      </rPr>
      <t>N8</t>
    </r>
    <r>
      <rPr>
        <sz val="9"/>
        <color rgb="FF000000"/>
        <rFont val="微软雅黑"/>
        <family val="2"/>
        <charset val="134"/>
      </rPr>
      <t xml:space="preserve">：Night shift 8 hours    </t>
    </r>
    <r>
      <rPr>
        <b/>
        <sz val="9"/>
        <color rgb="FF000000"/>
        <rFont val="微软雅黑"/>
        <family val="2"/>
        <charset val="134"/>
      </rPr>
      <t>N4</t>
    </r>
    <r>
      <rPr>
        <sz val="9"/>
        <color rgb="FF000000"/>
        <rFont val="微软雅黑"/>
        <family val="2"/>
        <charset val="134"/>
      </rPr>
      <t xml:space="preserve">：Night shift 4 hours </t>
    </r>
    <r>
      <rPr>
        <b/>
        <sz val="9"/>
        <color rgb="FF000000"/>
        <rFont val="微软雅黑"/>
        <family val="2"/>
        <charset val="134"/>
      </rPr>
      <t xml:space="preserve"> </t>
    </r>
    <r>
      <rPr>
        <sz val="9"/>
        <color rgb="FF000000"/>
        <rFont val="微软雅黑"/>
        <family val="2"/>
        <charset val="134"/>
      </rPr>
      <t xml:space="preserve"> 
</t>
    </r>
    <r>
      <rPr>
        <b/>
        <sz val="9"/>
        <color rgb="FF000000"/>
        <rFont val="微软雅黑"/>
        <family val="2"/>
        <charset val="134"/>
      </rPr>
      <t>A8</t>
    </r>
    <r>
      <rPr>
        <sz val="9"/>
        <color rgb="FF000000"/>
        <rFont val="微软雅黑"/>
        <family val="2"/>
        <charset val="134"/>
      </rPr>
      <t xml:space="preserve">: Annual Leave 8 hours </t>
    </r>
    <r>
      <rPr>
        <b/>
        <sz val="9"/>
        <color rgb="FF000000"/>
        <rFont val="微软雅黑"/>
        <family val="2"/>
        <charset val="134"/>
      </rPr>
      <t>A4</t>
    </r>
    <r>
      <rPr>
        <sz val="9"/>
        <color rgb="FF000000"/>
        <rFont val="微软雅黑"/>
        <family val="2"/>
        <charset val="134"/>
      </rPr>
      <t xml:space="preserve">: Annual Leave 4 hours </t>
    </r>
    <r>
      <rPr>
        <b/>
        <sz val="9"/>
        <color rgb="FF000000"/>
        <rFont val="微软雅黑"/>
        <family val="2"/>
        <charset val="134"/>
      </rPr>
      <t>S8</t>
    </r>
    <r>
      <rPr>
        <sz val="9"/>
        <color rgb="FF000000"/>
        <rFont val="微软雅黑"/>
        <family val="2"/>
        <charset val="134"/>
      </rPr>
      <t xml:space="preserve">: Sick Leave 8 hours </t>
    </r>
    <r>
      <rPr>
        <b/>
        <sz val="9"/>
        <color rgb="FF000000"/>
        <rFont val="微软雅黑"/>
        <family val="2"/>
        <charset val="134"/>
      </rPr>
      <t>S4:</t>
    </r>
    <r>
      <rPr>
        <sz val="9"/>
        <color rgb="FF000000"/>
        <rFont val="微软雅黑"/>
        <family val="2"/>
        <charset val="134"/>
      </rPr>
      <t xml:space="preserve"> Sick Leave 4 hours </t>
    </r>
    <r>
      <rPr>
        <b/>
        <sz val="9"/>
        <color rgb="FF000000"/>
        <rFont val="微软雅黑"/>
        <family val="2"/>
        <charset val="134"/>
      </rPr>
      <t>P8</t>
    </r>
    <r>
      <rPr>
        <sz val="9"/>
        <color rgb="FF000000"/>
        <rFont val="微软雅黑"/>
        <family val="2"/>
        <charset val="134"/>
      </rPr>
      <t xml:space="preserve">: Personal Leave 8 hours </t>
    </r>
    <r>
      <rPr>
        <b/>
        <sz val="9"/>
        <color rgb="FF000000"/>
        <rFont val="微软雅黑"/>
        <family val="2"/>
        <charset val="134"/>
      </rPr>
      <t>P4:</t>
    </r>
    <r>
      <rPr>
        <sz val="9"/>
        <color rgb="FF000000"/>
        <rFont val="微软雅黑"/>
        <family val="2"/>
        <charset val="134"/>
      </rPr>
      <t xml:space="preserve"> Personal Leave 4 hours  </t>
    </r>
    <r>
      <rPr>
        <b/>
        <sz val="9"/>
        <color rgb="FF000000"/>
        <rFont val="微软雅黑"/>
        <family val="2"/>
        <charset val="134"/>
      </rPr>
      <t>O8</t>
    </r>
    <r>
      <rPr>
        <sz val="9"/>
        <color rgb="FF000000"/>
        <rFont val="微软雅黑"/>
        <family val="2"/>
        <charset val="134"/>
      </rPr>
      <t xml:space="preserve">: Other Leave 8 hours </t>
    </r>
    <r>
      <rPr>
        <b/>
        <sz val="9"/>
        <color rgb="FF000000"/>
        <rFont val="微软雅黑"/>
        <family val="2"/>
        <charset val="134"/>
      </rPr>
      <t>O4</t>
    </r>
    <r>
      <rPr>
        <sz val="9"/>
        <color rgb="FF000000"/>
        <rFont val="微软雅黑"/>
        <family val="2"/>
        <charset val="134"/>
      </rPr>
      <t xml:space="preserve">: Other Leave 4 hours </t>
    </r>
    <r>
      <rPr>
        <b/>
        <sz val="9"/>
        <color rgb="FF000000"/>
        <rFont val="微软雅黑"/>
        <family val="2"/>
        <charset val="134"/>
      </rPr>
      <t>V8</t>
    </r>
    <r>
      <rPr>
        <sz val="9"/>
        <color rgb="FF000000"/>
        <rFont val="微软雅黑"/>
        <family val="2"/>
        <charset val="134"/>
      </rPr>
      <t>:旷工
以字母D开头的班次不计算翻班费
空白单元格表示排休
员工当天有出勤也有请假，用“+”连接，如“D4+A4”表示“4小时白班+4小时年假”</t>
    </r>
    <phoneticPr fontId="11" type="noConversion"/>
  </si>
  <si>
    <r>
      <t xml:space="preserve">Outsourcing Daliy Working Hours </t>
    </r>
    <r>
      <rPr>
        <b/>
        <sz val="9"/>
        <color rgb="FF000000"/>
        <rFont val="宋体"/>
        <family val="2"/>
        <charset val="134"/>
      </rPr>
      <t>第三方员工每日工时表</t>
    </r>
    <phoneticPr fontId="5" type="noConversion"/>
  </si>
  <si>
    <r>
      <t xml:space="preserve">
Name
</t>
    </r>
    <r>
      <rPr>
        <b/>
        <sz val="9"/>
        <color rgb="FF000000"/>
        <rFont val="微软雅黑"/>
        <family val="2"/>
        <charset val="134"/>
      </rPr>
      <t>姓名</t>
    </r>
    <phoneticPr fontId="5" type="noConversion"/>
  </si>
  <si>
    <r>
      <rPr>
        <b/>
        <sz val="9"/>
        <color indexed="8"/>
        <rFont val="Arial"/>
        <family val="2"/>
      </rPr>
      <t xml:space="preserve">
</t>
    </r>
    <r>
      <rPr>
        <b/>
        <sz val="9"/>
        <color rgb="FF000000"/>
        <rFont val="Arial"/>
        <family val="2"/>
      </rPr>
      <t xml:space="preserve">Department
</t>
    </r>
    <r>
      <rPr>
        <b/>
        <sz val="9"/>
        <color rgb="FF000000"/>
        <rFont val="微软雅黑"/>
        <family val="2"/>
        <charset val="134"/>
      </rPr>
      <t>部门</t>
    </r>
    <phoneticPr fontId="5" type="noConversion"/>
  </si>
  <si>
    <t>Total Working Hours</t>
    <phoneticPr fontId="5" type="noConversion"/>
  </si>
  <si>
    <t>Sat</t>
    <phoneticPr fontId="5" type="noConversion"/>
  </si>
  <si>
    <t>Sun</t>
    <phoneticPr fontId="5" type="noConversion"/>
  </si>
  <si>
    <t>出勤总工时</t>
    <phoneticPr fontId="5" type="noConversion"/>
  </si>
  <si>
    <t>zhang san</t>
    <phoneticPr fontId="5" type="noConversion"/>
  </si>
  <si>
    <t>PSA</t>
    <phoneticPr fontId="5" type="noConversion"/>
  </si>
  <si>
    <t>zhangsan</t>
    <phoneticPr fontId="11" type="noConversion"/>
  </si>
  <si>
    <t>hr</t>
    <phoneticPr fontId="11" type="noConversion"/>
  </si>
  <si>
    <t>No-Show Leave
旷工</t>
    <phoneticPr fontId="5" type="noConversion"/>
  </si>
  <si>
    <t>Wed</t>
    <phoneticPr fontId="11" type="noConversion"/>
  </si>
  <si>
    <r>
      <t>Period</t>
    </r>
    <r>
      <rPr>
        <sz val="9"/>
        <color rgb="FF000000"/>
        <rFont val="微软雅黑"/>
        <family val="2"/>
        <charset val="134"/>
      </rPr>
      <t>考勤周期：</t>
    </r>
    <r>
      <rPr>
        <sz val="9"/>
        <color rgb="FF000000"/>
        <rFont val="Arial"/>
        <family val="2"/>
      </rPr>
      <t>202405</t>
    </r>
  </si>
  <si>
    <t>A8</t>
  </si>
  <si>
    <t>D8</t>
  </si>
  <si>
    <t>M12</t>
  </si>
  <si>
    <t>N12</t>
  </si>
  <si>
    <t>请假</t>
    <phoneticPr fontId="5" type="noConversion"/>
  </si>
  <si>
    <t>单个工厂开始时间结束时间是固定的，例如8:30到20:30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</si>
</sst>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;_ * &quot;-&quot;??_ ;_ @_ "/>
    <numFmt numFmtId="177" formatCode="0.0"/>
  </numFmts>
  <fonts count="38">
    <font>
      <sz val="11"/>
      <color indexed="8"/>
      <name val="宋体"/>
      <charset val="134"/>
    </font>
    <font>
      <sz val="10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indexed="8"/>
      <name val="Arial"/>
      <family val="2"/>
    </font>
    <font>
      <b/>
      <sz val="9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Calibri"/>
      <family val="2"/>
    </font>
    <font>
      <sz val="9"/>
      <name val="Calibri"/>
      <family val="2"/>
    </font>
    <font>
      <sz val="10"/>
      <name val="宋体"/>
      <family val="3"/>
      <charset val="134"/>
    </font>
    <font>
      <b/>
      <sz val="9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rgb="FFFF000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000000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theme="0" tint="-0.499984740745262"/>
      <name val="Arial"/>
      <family val="2"/>
    </font>
    <font>
      <b/>
      <i/>
      <sz val="9"/>
      <color rgb="FF000000"/>
      <name val="微软雅黑"/>
      <family val="2"/>
      <charset val="134"/>
    </font>
    <font>
      <u/>
      <sz val="11"/>
      <color rgb="FF000000"/>
      <name val="Calibri"/>
      <family val="3"/>
    </font>
    <font>
      <b/>
      <sz val="11"/>
      <color indexed="8"/>
      <name val="宋体"/>
      <family val="3"/>
      <charset val="134"/>
    </font>
    <font>
      <sz val="10"/>
      <name val="宋体"/>
      <family val="2"/>
      <charset val="134"/>
    </font>
    <font>
      <b/>
      <sz val="10"/>
      <color theme="1"/>
      <name val="宋体"/>
      <family val="2"/>
      <charset val="134"/>
    </font>
    <font>
      <b/>
      <sz val="9"/>
      <name val="宋体"/>
      <family val="2"/>
      <charset val="134"/>
    </font>
    <font>
      <b/>
      <sz val="9"/>
      <color rgb="FF000000"/>
      <name val="宋体"/>
      <family val="2"/>
      <charset val="134"/>
    </font>
    <font>
      <b/>
      <sz val="10"/>
      <color theme="1"/>
      <name val="Arial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8">
    <xf numFmtId="0" fontId="0" fillId="0" borderId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72">
    <xf numFmtId="0" fontId="0" fillId="0" borderId="0" xfId="0" applyAlignment="1"/>
    <xf numFmtId="0" fontId="7" fillId="0" borderId="0" xfId="20" applyFont="1" applyAlignment="1" applyProtection="1">
      <alignment horizontal="left"/>
      <protection locked="0"/>
    </xf>
    <xf numFmtId="0" fontId="2" fillId="0" borderId="0" xfId="20" applyFont="1" applyAlignment="1" applyProtection="1">
      <alignment horizontal="left" vertical="center"/>
      <protection locked="0"/>
    </xf>
    <xf numFmtId="0" fontId="3" fillId="2" borderId="1" xfId="20" applyFont="1" applyFill="1" applyBorder="1" applyAlignment="1" applyProtection="1">
      <alignment horizontal="center" vertical="center" wrapText="1"/>
      <protection locked="0"/>
    </xf>
    <xf numFmtId="0" fontId="7" fillId="0" borderId="0" xfId="20" applyFont="1" applyAlignment="1" applyProtection="1">
      <alignment horizontal="center" vertical="center"/>
      <protection locked="0"/>
    </xf>
    <xf numFmtId="0" fontId="1" fillId="3" borderId="1" xfId="26" applyFill="1" applyBorder="1" applyAlignment="1" applyProtection="1">
      <alignment horizontal="center" vertical="center"/>
      <protection locked="0"/>
    </xf>
    <xf numFmtId="0" fontId="17" fillId="0" borderId="1" xfId="20" applyFont="1" applyBorder="1" applyAlignment="1" applyProtection="1">
      <alignment horizontal="center" vertical="center"/>
      <protection locked="0"/>
    </xf>
    <xf numFmtId="0" fontId="17" fillId="3" borderId="1" xfId="20" applyFont="1" applyFill="1" applyBorder="1" applyAlignment="1" applyProtection="1">
      <alignment horizontal="center" vertical="center"/>
      <protection locked="0"/>
    </xf>
    <xf numFmtId="0" fontId="27" fillId="3" borderId="1" xfId="20" applyFont="1" applyFill="1" applyBorder="1" applyAlignment="1" applyProtection="1">
      <alignment horizontal="center" vertical="center"/>
      <protection locked="0"/>
    </xf>
    <xf numFmtId="0" fontId="17" fillId="0" borderId="0" xfId="20" applyFont="1" applyAlignment="1" applyProtection="1">
      <alignment horizontal="center" vertical="center"/>
      <protection locked="0"/>
    </xf>
    <xf numFmtId="0" fontId="4" fillId="0" borderId="0" xfId="0" applyFont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" fillId="0" borderId="0" xfId="20" applyFont="1" applyProtection="1">
      <alignment vertical="center"/>
      <protection locked="0"/>
    </xf>
    <xf numFmtId="0" fontId="3" fillId="2" borderId="1" xfId="20" applyFont="1" applyFill="1" applyBorder="1" applyAlignment="1">
      <alignment horizontal="center" vertical="center" wrapText="1"/>
    </xf>
    <xf numFmtId="0" fontId="4" fillId="0" borderId="1" xfId="20" applyFont="1" applyBorder="1" applyAlignment="1">
      <alignment horizontal="center" vertical="center"/>
    </xf>
    <xf numFmtId="0" fontId="1" fillId="3" borderId="1" xfId="26" applyFill="1" applyBorder="1" applyAlignment="1">
      <alignment horizontal="center" vertical="center"/>
    </xf>
    <xf numFmtId="0" fontId="27" fillId="0" borderId="1" xfId="20" applyFont="1" applyBorder="1" applyAlignment="1">
      <alignment horizontal="center" vertical="center"/>
    </xf>
    <xf numFmtId="0" fontId="17" fillId="0" borderId="1" xfId="20" applyFont="1" applyBorder="1" applyAlignment="1">
      <alignment horizontal="center" vertical="center"/>
    </xf>
    <xf numFmtId="0" fontId="4" fillId="3" borderId="1" xfId="20" applyFont="1" applyFill="1" applyBorder="1" applyAlignment="1" applyProtection="1">
      <alignment horizontal="center" vertical="center"/>
      <protection locked="0"/>
    </xf>
    <xf numFmtId="0" fontId="21" fillId="3" borderId="1" xfId="0" applyFont="1" applyFill="1" applyBorder="1" applyProtection="1">
      <alignment vertical="center"/>
      <protection locked="0"/>
    </xf>
    <xf numFmtId="0" fontId="6" fillId="0" borderId="1" xfId="0" applyFont="1" applyBorder="1" applyAlignment="1"/>
    <xf numFmtId="0" fontId="30" fillId="0" borderId="0" xfId="0" applyFont="1" applyAlignment="1"/>
    <xf numFmtId="0" fontId="0" fillId="0" borderId="10" xfId="0" applyBorder="1" applyAlignment="1"/>
    <xf numFmtId="0" fontId="6" fillId="0" borderId="11" xfId="0" applyFont="1" applyBorder="1" applyAlignment="1"/>
    <xf numFmtId="0" fontId="0" fillId="0" borderId="12" xfId="0" applyBorder="1" applyAlignment="1"/>
    <xf numFmtId="0" fontId="6" fillId="0" borderId="13" xfId="0" applyFont="1" applyBorder="1" applyAlignment="1"/>
    <xf numFmtId="0" fontId="6" fillId="0" borderId="14" xfId="0" applyFont="1" applyBorder="1" applyAlignment="1"/>
    <xf numFmtId="0" fontId="0" fillId="0" borderId="15" xfId="0" applyBorder="1" applyAlignment="1"/>
    <xf numFmtId="177" fontId="17" fillId="0" borderId="1" xfId="20" applyNumberFormat="1" applyFont="1" applyBorder="1" applyAlignment="1">
      <alignment horizontal="center" vertical="center"/>
    </xf>
    <xf numFmtId="177" fontId="4" fillId="0" borderId="0" xfId="0" applyNumberFormat="1" applyFont="1" applyProtection="1">
      <alignment vertical="center"/>
      <protection locked="0"/>
    </xf>
    <xf numFmtId="177" fontId="2" fillId="0" borderId="0" xfId="20" applyNumberFormat="1" applyFont="1" applyProtection="1">
      <alignment vertical="center"/>
      <protection locked="0"/>
    </xf>
    <xf numFmtId="0" fontId="31" fillId="3" borderId="1" xfId="26" applyFont="1" applyFill="1" applyBorder="1" applyAlignment="1" applyProtection="1">
      <alignment horizontal="center" vertical="center"/>
      <protection locked="0"/>
    </xf>
    <xf numFmtId="0" fontId="32" fillId="3" borderId="1" xfId="0" applyFont="1" applyFill="1" applyBorder="1" applyProtection="1">
      <alignment vertical="center"/>
      <protection locked="0"/>
    </xf>
    <xf numFmtId="0" fontId="33" fillId="2" borderId="1" xfId="20" applyFont="1" applyFill="1" applyBorder="1" applyAlignment="1">
      <alignment horizontal="center" vertical="center" wrapText="1"/>
    </xf>
    <xf numFmtId="0" fontId="35" fillId="3" borderId="1" xfId="0" applyFont="1" applyFill="1" applyBorder="1" applyProtection="1">
      <alignment vertical="center"/>
      <protection locked="0"/>
    </xf>
    <xf numFmtId="0" fontId="37" fillId="4" borderId="1" xfId="2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7" fillId="2" borderId="2" xfId="20" applyFont="1" applyFill="1" applyBorder="1" applyAlignment="1">
      <alignment horizontal="center" vertical="center" wrapText="1"/>
    </xf>
    <xf numFmtId="0" fontId="7" fillId="2" borderId="3" xfId="20" applyFont="1" applyFill="1" applyBorder="1" applyAlignment="1">
      <alignment horizontal="center" vertical="center" wrapText="1"/>
    </xf>
    <xf numFmtId="0" fontId="7" fillId="2" borderId="2" xfId="20" applyFont="1" applyFill="1" applyBorder="1" applyAlignment="1" applyProtection="1">
      <alignment horizontal="center" vertical="center" wrapText="1"/>
      <protection locked="0"/>
    </xf>
    <xf numFmtId="0" fontId="7" fillId="2" borderId="3" xfId="20" applyFont="1" applyFill="1" applyBorder="1" applyAlignment="1" applyProtection="1">
      <alignment horizontal="center" vertical="center" wrapText="1"/>
      <protection locked="0"/>
    </xf>
    <xf numFmtId="0" fontId="20" fillId="2" borderId="3" xfId="20" applyFont="1" applyFill="1" applyBorder="1" applyAlignment="1" applyProtection="1">
      <alignment horizontal="center" vertical="center" wrapText="1"/>
      <protection locked="0"/>
    </xf>
    <xf numFmtId="0" fontId="20" fillId="2" borderId="2" xfId="20" applyFont="1" applyFill="1" applyBorder="1" applyAlignment="1" applyProtection="1">
      <alignment horizontal="center" vertical="center" wrapText="1"/>
      <protection locked="0"/>
    </xf>
    <xf numFmtId="0" fontId="28" fillId="2" borderId="4" xfId="20" applyFont="1" applyFill="1" applyBorder="1" applyAlignment="1" applyProtection="1">
      <alignment horizontal="center" vertical="center"/>
      <protection locked="0"/>
    </xf>
    <xf numFmtId="0" fontId="28" fillId="3" borderId="4" xfId="20" applyFont="1" applyFill="1" applyBorder="1" applyAlignment="1" applyProtection="1">
      <alignment horizontal="center" vertical="center"/>
      <protection locked="0"/>
    </xf>
    <xf numFmtId="0" fontId="7" fillId="0" borderId="0" xfId="20" applyFont="1" applyAlignment="1" applyProtection="1">
      <alignment horizontal="left"/>
      <protection locked="0"/>
    </xf>
    <xf numFmtId="0" fontId="36" fillId="4" borderId="2" xfId="20" applyFont="1" applyFill="1" applyBorder="1" applyAlignment="1">
      <alignment horizontal="center" vertical="center" wrapText="1"/>
    </xf>
    <xf numFmtId="0" fontId="36" fillId="4" borderId="3" xfId="20" applyFont="1" applyFill="1" applyBorder="1" applyAlignment="1">
      <alignment horizontal="center" vertical="center" wrapText="1"/>
    </xf>
    <xf numFmtId="177" fontId="7" fillId="2" borderId="2" xfId="20" applyNumberFormat="1" applyFont="1" applyFill="1" applyBorder="1" applyAlignment="1">
      <alignment horizontal="center" vertical="center" wrapText="1"/>
    </xf>
    <xf numFmtId="177" fontId="7" fillId="2" borderId="3" xfId="20" applyNumberFormat="1" applyFont="1" applyFill="1" applyBorder="1" applyAlignment="1">
      <alignment horizontal="center" vertical="center" wrapText="1"/>
    </xf>
    <xf numFmtId="177" fontId="20" fillId="2" borderId="2" xfId="20" applyNumberFormat="1" applyFont="1" applyFill="1" applyBorder="1" applyAlignment="1">
      <alignment horizontal="center" vertical="center" wrapText="1"/>
    </xf>
    <xf numFmtId="177" fontId="20" fillId="2" borderId="3" xfId="20" applyNumberFormat="1" applyFont="1" applyFill="1" applyBorder="1" applyAlignment="1">
      <alignment horizontal="center" vertical="center" wrapText="1"/>
    </xf>
    <xf numFmtId="0" fontId="20" fillId="2" borderId="5" xfId="20" applyFont="1" applyFill="1" applyBorder="1" applyAlignment="1">
      <alignment horizontal="center" vertical="center" wrapText="1"/>
    </xf>
    <xf numFmtId="0" fontId="20" fillId="2" borderId="6" xfId="20" applyFont="1" applyFill="1" applyBorder="1" applyAlignment="1">
      <alignment horizontal="center" vertical="center" wrapText="1"/>
    </xf>
    <xf numFmtId="0" fontId="20" fillId="2" borderId="7" xfId="20" applyFont="1" applyFill="1" applyBorder="1" applyAlignment="1">
      <alignment horizontal="center" vertical="center" wrapText="1"/>
    </xf>
    <xf numFmtId="0" fontId="23" fillId="0" borderId="0" xfId="20" applyFont="1" applyAlignment="1" applyProtection="1">
      <alignment horizontal="left" vertical="center" wrapText="1"/>
      <protection locked="0"/>
    </xf>
    <xf numFmtId="0" fontId="22" fillId="2" borderId="2" xfId="20" applyFont="1" applyFill="1" applyBorder="1" applyAlignment="1" applyProtection="1">
      <alignment horizontal="center" vertical="center" wrapText="1"/>
      <protection locked="0"/>
    </xf>
    <xf numFmtId="0" fontId="22" fillId="2" borderId="3" xfId="20" applyFont="1" applyFill="1" applyBorder="1" applyAlignment="1" applyProtection="1">
      <alignment horizontal="center" vertical="center" wrapText="1"/>
      <protection locked="0"/>
    </xf>
    <xf numFmtId="0" fontId="2" fillId="0" borderId="0" xfId="20" applyFont="1" applyAlignment="1" applyProtection="1">
      <alignment horizontal="left" vertical="center"/>
      <protection locked="0"/>
    </xf>
    <xf numFmtId="0" fontId="6" fillId="5" borderId="11" xfId="0" applyFont="1" applyFill="1" applyBorder="1" applyAlignment="1"/>
    <xf numFmtId="0" fontId="6" fillId="5" borderId="1" xfId="0" applyFont="1" applyFill="1" applyBorder="1" applyAlignment="1"/>
    <xf numFmtId="0" fontId="6" fillId="5" borderId="8" xfId="0" applyFont="1" applyFill="1" applyBorder="1" applyAlignment="1"/>
    <xf numFmtId="0" fontId="6" fillId="5" borderId="9" xfId="0" applyFont="1" applyFill="1" applyBorder="1" applyAlignment="1"/>
    <xf numFmtId="0" fontId="6" fillId="5" borderId="16" xfId="0" applyFont="1" applyFill="1" applyBorder="1" applyAlignment="1"/>
    <xf numFmtId="0" fontId="6" fillId="0" borderId="5" xfId="0" applyFont="1" applyBorder="1" applyAlignment="1"/>
    <xf numFmtId="0" fontId="6" fillId="5" borderId="5" xfId="0" applyFont="1" applyFill="1" applyBorder="1" applyAlignment="1"/>
    <xf numFmtId="0" fontId="6" fillId="0" borderId="17" xfId="0" applyFont="1" applyBorder="1" applyAlignment="1"/>
    <xf numFmtId="0" fontId="0" fillId="5" borderId="0" xfId="0" applyFill="1" applyAlignment="1"/>
    <xf numFmtId="0" fontId="6" fillId="5" borderId="18" xfId="0" applyFont="1" applyFill="1" applyBorder="1" applyAlignment="1"/>
  </cellXfs>
  <cellStyles count="2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4" xr:uid="{00000000-0005-0000-0000-000003000000}"/>
    <cellStyle name="Comma 2 2 3" xfId="5" xr:uid="{00000000-0005-0000-0000-000004000000}"/>
    <cellStyle name="Comma 2 3" xfId="6" xr:uid="{00000000-0005-0000-0000-000005000000}"/>
    <cellStyle name="Comma 2 3 2" xfId="7" xr:uid="{00000000-0005-0000-0000-000006000000}"/>
    <cellStyle name="Comma 2 4" xfId="8" xr:uid="{00000000-0005-0000-0000-000007000000}"/>
    <cellStyle name="Normal 2" xfId="9" xr:uid="{00000000-0005-0000-0000-000008000000}"/>
    <cellStyle name="Normal 3" xfId="10" xr:uid="{00000000-0005-0000-0000-000009000000}"/>
    <cellStyle name="Normal 3 2" xfId="11" xr:uid="{00000000-0005-0000-0000-00000A000000}"/>
    <cellStyle name="Normal 3 2 2" xfId="12" xr:uid="{00000000-0005-0000-0000-00000B000000}"/>
    <cellStyle name="Normal 3 2 2 2" xfId="13" xr:uid="{00000000-0005-0000-0000-00000C000000}"/>
    <cellStyle name="Normal 3 2 3" xfId="14" xr:uid="{00000000-0005-0000-0000-00000D000000}"/>
    <cellStyle name="Normal 3 3" xfId="15" xr:uid="{00000000-0005-0000-0000-00000E000000}"/>
    <cellStyle name="Normal 3 3 2" xfId="16" xr:uid="{00000000-0005-0000-0000-00000F000000}"/>
    <cellStyle name="Normal 3 4" xfId="17" xr:uid="{00000000-0005-0000-0000-000010000000}"/>
    <cellStyle name="Normal 4" xfId="18" xr:uid="{00000000-0005-0000-0000-000011000000}"/>
    <cellStyle name="Normal 4 2" xfId="19" xr:uid="{00000000-0005-0000-0000-000012000000}"/>
    <cellStyle name="Normal 4 2 2" xfId="20" xr:uid="{00000000-0005-0000-0000-000013000000}"/>
    <cellStyle name="Normal 4 3" xfId="21" xr:uid="{00000000-0005-0000-0000-000014000000}"/>
    <cellStyle name="Normal 5" xfId="22" xr:uid="{00000000-0005-0000-0000-000015000000}"/>
    <cellStyle name="Normal 5 2" xfId="23" xr:uid="{00000000-0005-0000-0000-000016000000}"/>
    <cellStyle name="Normal 6" xfId="24" xr:uid="{00000000-0005-0000-0000-000017000000}"/>
    <cellStyle name="Standard_Personalliste China 2006" xfId="25" xr:uid="{00000000-0005-0000-0000-000018000000}"/>
    <cellStyle name="常规" xfId="0" builtinId="0"/>
    <cellStyle name="常规 2" xfId="26" xr:uid="{00000000-0005-0000-0000-00001A000000}"/>
    <cellStyle name="常规 3" xfId="27" xr:uid="{00000000-0005-0000-0000-00001B000000}"/>
  </cellStyles>
  <dxfs count="46">
    <dxf>
      <fill>
        <patternFill>
          <bgColor rgb="FF24FC39"/>
        </patternFill>
      </fill>
    </dxf>
    <dxf>
      <font>
        <color auto="1"/>
      </font>
      <fill>
        <patternFill>
          <bgColor rgb="FF99FF66"/>
        </patternFill>
      </fill>
    </dxf>
    <dxf>
      <font>
        <color auto="1"/>
      </font>
      <fill>
        <patternFill>
          <bgColor rgb="FFCCFFCC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99FF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CCFFFF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24FC39"/>
        </patternFill>
      </fill>
    </dxf>
    <dxf>
      <font>
        <color auto="1"/>
      </font>
      <fill>
        <patternFill>
          <bgColor rgb="FF99FF66"/>
        </patternFill>
      </fill>
    </dxf>
    <dxf>
      <font>
        <color auto="1"/>
      </font>
      <fill>
        <patternFill>
          <bgColor rgb="FFCCFFCC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99FF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CCFFFF"/>
        </patternFill>
      </fill>
    </dxf>
    <dxf>
      <fill>
        <patternFill>
          <bgColor rgb="FF24FC39"/>
        </patternFill>
      </fill>
    </dxf>
    <dxf>
      <font>
        <color auto="1"/>
      </font>
      <fill>
        <patternFill>
          <bgColor rgb="FF99FF66"/>
        </patternFill>
      </fill>
    </dxf>
    <dxf>
      <font>
        <color auto="1"/>
      </font>
      <fill>
        <patternFill>
          <bgColor rgb="FFCCFFCC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99FF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CCFFFF"/>
        </patternFill>
      </fill>
    </dxf>
    <dxf>
      <fill>
        <patternFill>
          <bgColor rgb="FF24FC39"/>
        </patternFill>
      </fill>
    </dxf>
    <dxf>
      <font>
        <color auto="1"/>
      </font>
      <fill>
        <patternFill>
          <bgColor rgb="FF99FF66"/>
        </patternFill>
      </fill>
    </dxf>
    <dxf>
      <font>
        <color auto="1"/>
      </font>
      <fill>
        <patternFill>
          <bgColor rgb="FFCCFFCC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99FF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CCFFFF"/>
        </patternFill>
      </fill>
    </dxf>
    <dxf>
      <fill>
        <patternFill>
          <bgColor rgb="FF24FC39"/>
        </patternFill>
      </fill>
    </dxf>
    <dxf>
      <font>
        <color auto="1"/>
      </font>
      <fill>
        <patternFill>
          <bgColor rgb="FF99FF66"/>
        </patternFill>
      </fill>
    </dxf>
    <dxf>
      <font>
        <color auto="1"/>
      </font>
      <fill>
        <patternFill>
          <bgColor rgb="FFCCFFCC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99FF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CCFFFF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CCFFCC"/>
      <color rgb="FF99FF66"/>
      <color rgb="FFFFCCFF"/>
      <color rgb="FFFF99FF"/>
      <color rgb="FFCCFFFF"/>
      <color rgb="FF00FFFF"/>
      <color rgb="FF3366FF"/>
      <color rgb="FF0000FF"/>
      <color rgb="FF00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5167-8910-4453-826D-CC28D0EDA940}">
  <dimension ref="A1:D20"/>
  <sheetViews>
    <sheetView workbookViewId="0">
      <selection activeCell="A3" sqref="A3:B19"/>
    </sheetView>
  </sheetViews>
  <sheetFormatPr defaultRowHeight="13.5"/>
  <cols>
    <col min="1" max="1" width="18.625" customWidth="1"/>
    <col min="2" max="2" width="23.375" customWidth="1"/>
    <col min="3" max="3" width="51.625" customWidth="1"/>
    <col min="4" max="4" width="38.5" customWidth="1"/>
  </cols>
  <sheetData>
    <row r="1" spans="1:4" ht="14.25" thickBot="1">
      <c r="A1" s="23" t="s">
        <v>38</v>
      </c>
    </row>
    <row r="2" spans="1:4">
      <c r="A2" s="64" t="s">
        <v>39</v>
      </c>
      <c r="B2" s="65" t="s">
        <v>57</v>
      </c>
      <c r="C2" s="66" t="s">
        <v>98</v>
      </c>
      <c r="D2" s="24"/>
    </row>
    <row r="3" spans="1:4">
      <c r="A3" s="25" t="s">
        <v>40</v>
      </c>
      <c r="B3" s="22" t="s">
        <v>58</v>
      </c>
      <c r="C3" s="67"/>
      <c r="D3" s="38" t="s">
        <v>76</v>
      </c>
    </row>
    <row r="4" spans="1:4">
      <c r="A4" s="25" t="s">
        <v>41</v>
      </c>
      <c r="B4" s="22" t="s">
        <v>59</v>
      </c>
      <c r="C4" s="67"/>
      <c r="D4" s="39"/>
    </row>
    <row r="5" spans="1:4">
      <c r="A5" s="62" t="s">
        <v>42</v>
      </c>
      <c r="B5" s="63" t="s">
        <v>60</v>
      </c>
      <c r="C5" s="68"/>
      <c r="D5" s="26"/>
    </row>
    <row r="6" spans="1:4">
      <c r="A6" s="25" t="s">
        <v>43</v>
      </c>
      <c r="B6" s="22" t="s">
        <v>61</v>
      </c>
      <c r="C6" s="67"/>
      <c r="D6" s="38" t="s">
        <v>76</v>
      </c>
    </row>
    <row r="7" spans="1:4">
      <c r="A7" s="25" t="s">
        <v>44</v>
      </c>
      <c r="B7" s="22" t="s">
        <v>62</v>
      </c>
      <c r="C7" s="67"/>
      <c r="D7" s="39"/>
    </row>
    <row r="8" spans="1:4">
      <c r="A8" s="62" t="s">
        <v>45</v>
      </c>
      <c r="B8" s="63" t="s">
        <v>63</v>
      </c>
      <c r="C8" s="68"/>
      <c r="D8" s="38" t="s">
        <v>75</v>
      </c>
    </row>
    <row r="9" spans="1:4">
      <c r="A9" s="25" t="s">
        <v>46</v>
      </c>
      <c r="B9" s="22" t="s">
        <v>64</v>
      </c>
      <c r="C9" s="67"/>
      <c r="D9" s="39"/>
    </row>
    <row r="10" spans="1:4">
      <c r="A10" s="25" t="s">
        <v>47</v>
      </c>
      <c r="B10" s="22" t="s">
        <v>65</v>
      </c>
      <c r="C10" s="67"/>
      <c r="D10" s="26"/>
    </row>
    <row r="11" spans="1:4">
      <c r="A11" s="25" t="s">
        <v>48</v>
      </c>
      <c r="B11" s="22" t="s">
        <v>66</v>
      </c>
      <c r="C11" s="67"/>
      <c r="D11" s="26"/>
    </row>
    <row r="12" spans="1:4">
      <c r="A12" s="25" t="s">
        <v>49</v>
      </c>
      <c r="B12" s="22" t="s">
        <v>67</v>
      </c>
      <c r="C12" s="67"/>
      <c r="D12" s="26"/>
    </row>
    <row r="13" spans="1:4">
      <c r="A13" s="25" t="s">
        <v>50</v>
      </c>
      <c r="B13" s="22" t="s">
        <v>68</v>
      </c>
      <c r="C13" s="67"/>
      <c r="D13" s="26"/>
    </row>
    <row r="14" spans="1:4">
      <c r="A14" s="25" t="s">
        <v>51</v>
      </c>
      <c r="B14" s="22" t="s">
        <v>69</v>
      </c>
      <c r="C14" s="67"/>
      <c r="D14" s="26"/>
    </row>
    <row r="15" spans="1:4">
      <c r="A15" s="25" t="s">
        <v>52</v>
      </c>
      <c r="B15" s="22" t="s">
        <v>70</v>
      </c>
      <c r="C15" s="67"/>
      <c r="D15" s="26"/>
    </row>
    <row r="16" spans="1:4">
      <c r="A16" s="25" t="s">
        <v>53</v>
      </c>
      <c r="B16" s="22" t="s">
        <v>71</v>
      </c>
      <c r="C16" s="67"/>
      <c r="D16" s="38" t="s">
        <v>77</v>
      </c>
    </row>
    <row r="17" spans="1:4">
      <c r="A17" s="25" t="s">
        <v>54</v>
      </c>
      <c r="B17" s="22" t="s">
        <v>72</v>
      </c>
      <c r="C17" s="67"/>
      <c r="D17" s="39"/>
    </row>
    <row r="18" spans="1:4">
      <c r="A18" s="25" t="s">
        <v>55</v>
      </c>
      <c r="B18" s="22" t="s">
        <v>73</v>
      </c>
      <c r="C18" s="67"/>
      <c r="D18" s="26"/>
    </row>
    <row r="19" spans="1:4" ht="14.25" thickBot="1">
      <c r="A19" s="27" t="s">
        <v>56</v>
      </c>
      <c r="B19" s="28" t="s">
        <v>74</v>
      </c>
      <c r="C19" s="69"/>
      <c r="D19" s="29"/>
    </row>
    <row r="20" spans="1:4">
      <c r="A20" s="70"/>
      <c r="B20" s="71" t="s">
        <v>97</v>
      </c>
    </row>
  </sheetData>
  <mergeCells count="4">
    <mergeCell ref="D8:D9"/>
    <mergeCell ref="D3:D4"/>
    <mergeCell ref="D6:D7"/>
    <mergeCell ref="D16:D1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74"/>
  <sheetViews>
    <sheetView tabSelected="1" topLeftCell="A2" zoomScaleNormal="100" workbookViewId="0">
      <selection activeCell="C16" sqref="C16"/>
    </sheetView>
  </sheetViews>
  <sheetFormatPr defaultColWidth="9" defaultRowHeight="12" outlineLevelCol="1"/>
  <cols>
    <col min="1" max="1" width="11.75" style="14" customWidth="1"/>
    <col min="2" max="2" width="11.625" style="14" bestFit="1" customWidth="1"/>
    <col min="3" max="3" width="23" style="14" customWidth="1"/>
    <col min="4" max="4" width="3.625" style="14" hidden="1" customWidth="1"/>
    <col min="5" max="5" width="3.875" style="14" hidden="1" customWidth="1"/>
    <col min="6" max="7" width="3.875" style="14" customWidth="1"/>
    <col min="8" max="8" width="3.625" style="14" customWidth="1"/>
    <col min="9" max="30" width="3.875" style="14" customWidth="1"/>
    <col min="31" max="31" width="5.25" style="14" customWidth="1"/>
    <col min="32" max="33" width="4" style="14" customWidth="1"/>
    <col min="34" max="34" width="4.25" style="14" customWidth="1"/>
    <col min="35" max="35" width="3.5" style="14" customWidth="1"/>
    <col min="36" max="36" width="3.875" style="14" customWidth="1"/>
    <col min="37" max="40" width="3.875" style="14" hidden="1" customWidth="1"/>
    <col min="41" max="41" width="6.375" style="14" hidden="1" customWidth="1" outlineLevel="1"/>
    <col min="42" max="42" width="6.125" style="14" hidden="1" customWidth="1" outlineLevel="1"/>
    <col min="43" max="43" width="6.5" style="14" hidden="1" customWidth="1" outlineLevel="1"/>
    <col min="44" max="44" width="6.125" style="14" hidden="1" customWidth="1" outlineLevel="1"/>
    <col min="45" max="45" width="6.25" style="14" hidden="1" customWidth="1" outlineLevel="1"/>
    <col min="46" max="46" width="14.125" style="14" customWidth="1" collapsed="1"/>
    <col min="47" max="47" width="5.25" style="14" hidden="1" customWidth="1" outlineLevel="1"/>
    <col min="48" max="48" width="8.125" style="14" hidden="1" customWidth="1" outlineLevel="1"/>
    <col min="49" max="83" width="5.25" style="14" hidden="1" customWidth="1" outlineLevel="1"/>
    <col min="84" max="84" width="13" style="14" customWidth="1" collapsed="1"/>
    <col min="85" max="85" width="11.125" style="14" customWidth="1"/>
    <col min="86" max="86" width="9.875" style="14" customWidth="1"/>
    <col min="87" max="87" width="8.75" style="14" customWidth="1"/>
    <col min="88" max="88" width="9.625" style="14" customWidth="1"/>
    <col min="89" max="89" width="8.375" style="14" customWidth="1"/>
    <col min="90" max="90" width="9.375" style="32" customWidth="1"/>
    <col min="91" max="91" width="8.75" style="32" customWidth="1"/>
    <col min="92" max="92" width="10.375" style="14" customWidth="1"/>
    <col min="93" max="93" width="8.375" style="14" customWidth="1"/>
    <col min="94" max="94" width="11.75" style="14" customWidth="1"/>
    <col min="95" max="95" width="9.5" style="14" customWidth="1"/>
    <col min="96" max="96" width="9.625" style="14" customWidth="1"/>
    <col min="97" max="16384" width="9" style="14"/>
  </cols>
  <sheetData>
    <row r="1" spans="1:96" s="1" customFormat="1" ht="20.25" customHeight="1">
      <c r="A1" s="48" t="s">
        <v>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</row>
    <row r="2" spans="1:96" s="2" customFormat="1" ht="20.25" customHeight="1">
      <c r="A2" s="61" t="s">
        <v>92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</row>
    <row r="3" spans="1:96" s="2" customFormat="1" ht="86.25" customHeight="1">
      <c r="A3" s="58" t="s">
        <v>78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</row>
    <row r="4" spans="1:96" s="2" customFormat="1" ht="20.25" customHeight="1">
      <c r="A4" s="47" t="s">
        <v>26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6" t="s">
        <v>30</v>
      </c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</row>
    <row r="5" spans="1:96" s="4" customFormat="1" ht="40.5" customHeight="1">
      <c r="A5" s="42" t="s">
        <v>34</v>
      </c>
      <c r="B5" s="42" t="s">
        <v>36</v>
      </c>
      <c r="C5" s="45" t="s">
        <v>35</v>
      </c>
      <c r="D5" s="3"/>
      <c r="E5" s="3"/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3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3">
        <v>14</v>
      </c>
      <c r="T5" s="3">
        <v>15</v>
      </c>
      <c r="U5" s="3">
        <v>16</v>
      </c>
      <c r="V5" s="3">
        <v>17</v>
      </c>
      <c r="W5" s="3">
        <v>18</v>
      </c>
      <c r="X5" s="3">
        <v>19</v>
      </c>
      <c r="Y5" s="3">
        <v>20</v>
      </c>
      <c r="Z5" s="3">
        <v>21</v>
      </c>
      <c r="AA5" s="3">
        <v>22</v>
      </c>
      <c r="AB5" s="3">
        <v>23</v>
      </c>
      <c r="AC5" s="3">
        <v>24</v>
      </c>
      <c r="AD5" s="3">
        <v>25</v>
      </c>
      <c r="AE5" s="3">
        <v>26</v>
      </c>
      <c r="AF5" s="3">
        <v>27</v>
      </c>
      <c r="AG5" s="3">
        <v>28</v>
      </c>
      <c r="AH5" s="3">
        <v>29</v>
      </c>
      <c r="AI5" s="3">
        <v>30</v>
      </c>
      <c r="AJ5" s="3">
        <v>31</v>
      </c>
      <c r="AK5" s="3"/>
      <c r="AL5" s="3"/>
      <c r="AM5" s="3"/>
      <c r="AN5" s="3"/>
      <c r="AO5" s="42" t="s">
        <v>23</v>
      </c>
      <c r="AP5" s="42" t="s">
        <v>17</v>
      </c>
      <c r="AQ5" s="42" t="s">
        <v>18</v>
      </c>
      <c r="AR5" s="42" t="s">
        <v>19</v>
      </c>
      <c r="AS5" s="42" t="s">
        <v>20</v>
      </c>
      <c r="AT5" s="49" t="s">
        <v>22</v>
      </c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49" t="s">
        <v>33</v>
      </c>
      <c r="CG5" s="59" t="s">
        <v>32</v>
      </c>
      <c r="CH5" s="40" t="s">
        <v>27</v>
      </c>
      <c r="CI5" s="42" t="s">
        <v>24</v>
      </c>
      <c r="CJ5" s="40" t="s">
        <v>25</v>
      </c>
      <c r="CK5" s="40" t="s">
        <v>10</v>
      </c>
      <c r="CL5" s="51" t="s">
        <v>11</v>
      </c>
      <c r="CM5" s="53" t="s">
        <v>12</v>
      </c>
      <c r="CN5" s="55" t="s">
        <v>15</v>
      </c>
      <c r="CO5" s="56"/>
      <c r="CP5" s="56"/>
      <c r="CQ5" s="56"/>
      <c r="CR5" s="57"/>
    </row>
    <row r="6" spans="1:96" s="4" customFormat="1" ht="44.25" customHeight="1">
      <c r="A6" s="44"/>
      <c r="B6" s="44"/>
      <c r="C6" s="44"/>
      <c r="D6" s="15" t="s">
        <v>4</v>
      </c>
      <c r="E6" s="15" t="s">
        <v>5</v>
      </c>
      <c r="F6" s="15" t="s">
        <v>91</v>
      </c>
      <c r="G6" s="15" t="s">
        <v>7</v>
      </c>
      <c r="H6" s="15" t="s">
        <v>8</v>
      </c>
      <c r="I6" s="15" t="s">
        <v>28</v>
      </c>
      <c r="J6" s="15" t="s">
        <v>29</v>
      </c>
      <c r="K6" s="15" t="s">
        <v>4</v>
      </c>
      <c r="L6" s="15" t="s">
        <v>5</v>
      </c>
      <c r="M6" s="15" t="s">
        <v>6</v>
      </c>
      <c r="N6" s="15" t="s">
        <v>7</v>
      </c>
      <c r="O6" s="15" t="s">
        <v>8</v>
      </c>
      <c r="P6" s="15" t="s">
        <v>9</v>
      </c>
      <c r="Q6" s="15" t="s">
        <v>3</v>
      </c>
      <c r="R6" s="15" t="s">
        <v>4</v>
      </c>
      <c r="S6" s="15" t="s">
        <v>5</v>
      </c>
      <c r="T6" s="15" t="s">
        <v>6</v>
      </c>
      <c r="U6" s="15" t="s">
        <v>7</v>
      </c>
      <c r="V6" s="15" t="s">
        <v>8</v>
      </c>
      <c r="W6" s="15" t="s">
        <v>9</v>
      </c>
      <c r="X6" s="15" t="s">
        <v>3</v>
      </c>
      <c r="Y6" s="15" t="s">
        <v>4</v>
      </c>
      <c r="Z6" s="15" t="s">
        <v>5</v>
      </c>
      <c r="AA6" s="15" t="s">
        <v>6</v>
      </c>
      <c r="AB6" s="15" t="s">
        <v>7</v>
      </c>
      <c r="AC6" s="15" t="s">
        <v>8</v>
      </c>
      <c r="AD6" s="15" t="s">
        <v>9</v>
      </c>
      <c r="AE6" s="15" t="s">
        <v>3</v>
      </c>
      <c r="AF6" s="15" t="s">
        <v>4</v>
      </c>
      <c r="AG6" s="15" t="s">
        <v>5</v>
      </c>
      <c r="AH6" s="15" t="s">
        <v>6</v>
      </c>
      <c r="AI6" s="15" t="s">
        <v>7</v>
      </c>
      <c r="AJ6" s="15" t="s">
        <v>8</v>
      </c>
      <c r="AK6" s="15" t="s">
        <v>9</v>
      </c>
      <c r="AL6" s="15" t="s">
        <v>3</v>
      </c>
      <c r="AM6" s="15" t="s">
        <v>4</v>
      </c>
      <c r="AN6" s="15" t="s">
        <v>5</v>
      </c>
      <c r="AO6" s="43"/>
      <c r="AP6" s="43"/>
      <c r="AQ6" s="43"/>
      <c r="AR6" s="43"/>
      <c r="AS6" s="43"/>
      <c r="AT6" s="50"/>
      <c r="AU6" s="37" t="s">
        <v>4</v>
      </c>
      <c r="AV6" s="37" t="s">
        <v>5</v>
      </c>
      <c r="AW6" s="37" t="s">
        <v>6</v>
      </c>
      <c r="AX6" s="37" t="s">
        <v>7</v>
      </c>
      <c r="AY6" s="37" t="s">
        <v>8</v>
      </c>
      <c r="AZ6" s="37" t="s">
        <v>28</v>
      </c>
      <c r="BA6" s="37" t="s">
        <v>29</v>
      </c>
      <c r="BB6" s="37" t="s">
        <v>4</v>
      </c>
      <c r="BC6" s="37" t="s">
        <v>5</v>
      </c>
      <c r="BD6" s="37" t="s">
        <v>6</v>
      </c>
      <c r="BE6" s="37" t="s">
        <v>7</v>
      </c>
      <c r="BF6" s="37" t="s">
        <v>8</v>
      </c>
      <c r="BG6" s="37" t="s">
        <v>9</v>
      </c>
      <c r="BH6" s="37" t="s">
        <v>3</v>
      </c>
      <c r="BI6" s="37" t="s">
        <v>4</v>
      </c>
      <c r="BJ6" s="37" t="s">
        <v>5</v>
      </c>
      <c r="BK6" s="37" t="s">
        <v>6</v>
      </c>
      <c r="BL6" s="37" t="s">
        <v>7</v>
      </c>
      <c r="BM6" s="37" t="s">
        <v>8</v>
      </c>
      <c r="BN6" s="37" t="s">
        <v>9</v>
      </c>
      <c r="BO6" s="37" t="s">
        <v>3</v>
      </c>
      <c r="BP6" s="37" t="s">
        <v>4</v>
      </c>
      <c r="BQ6" s="37" t="s">
        <v>5</v>
      </c>
      <c r="BR6" s="37" t="s">
        <v>6</v>
      </c>
      <c r="BS6" s="37" t="s">
        <v>7</v>
      </c>
      <c r="BT6" s="37" t="s">
        <v>8</v>
      </c>
      <c r="BU6" s="37" t="s">
        <v>9</v>
      </c>
      <c r="BV6" s="37" t="s">
        <v>3</v>
      </c>
      <c r="BW6" s="37" t="s">
        <v>4</v>
      </c>
      <c r="BX6" s="37" t="s">
        <v>5</v>
      </c>
      <c r="BY6" s="37" t="s">
        <v>6</v>
      </c>
      <c r="BZ6" s="37" t="s">
        <v>7</v>
      </c>
      <c r="CA6" s="37" t="s">
        <v>8</v>
      </c>
      <c r="CB6" s="37" t="s">
        <v>9</v>
      </c>
      <c r="CC6" s="37" t="s">
        <v>3</v>
      </c>
      <c r="CD6" s="37" t="s">
        <v>4</v>
      </c>
      <c r="CE6" s="37" t="s">
        <v>5</v>
      </c>
      <c r="CF6" s="50"/>
      <c r="CG6" s="60"/>
      <c r="CH6" s="41"/>
      <c r="CI6" s="43"/>
      <c r="CJ6" s="41"/>
      <c r="CK6" s="41"/>
      <c r="CL6" s="52"/>
      <c r="CM6" s="54"/>
      <c r="CN6" s="15" t="s">
        <v>16</v>
      </c>
      <c r="CO6" s="15" t="s">
        <v>13</v>
      </c>
      <c r="CP6" s="15" t="s">
        <v>21</v>
      </c>
      <c r="CQ6" s="15" t="s">
        <v>14</v>
      </c>
      <c r="CR6" s="15" t="s">
        <v>90</v>
      </c>
    </row>
    <row r="7" spans="1:96" s="9" customFormat="1" ht="12.75">
      <c r="A7" s="20"/>
      <c r="B7" s="34" t="s">
        <v>88</v>
      </c>
      <c r="C7" s="34" t="s">
        <v>89</v>
      </c>
      <c r="D7" s="5"/>
      <c r="E7" s="5"/>
      <c r="F7" s="5" t="s">
        <v>93</v>
      </c>
      <c r="G7" s="5" t="s">
        <v>93</v>
      </c>
      <c r="H7" s="5"/>
      <c r="I7" s="5" t="s">
        <v>94</v>
      </c>
      <c r="J7" s="5" t="s">
        <v>95</v>
      </c>
      <c r="K7" s="5"/>
      <c r="L7" s="5"/>
      <c r="M7" s="5" t="s">
        <v>94</v>
      </c>
      <c r="N7" s="5" t="s">
        <v>94</v>
      </c>
      <c r="O7" s="5" t="s">
        <v>94</v>
      </c>
      <c r="P7" s="5" t="s">
        <v>94</v>
      </c>
      <c r="Q7" s="5" t="s">
        <v>94</v>
      </c>
      <c r="R7" s="5"/>
      <c r="S7" s="5"/>
      <c r="T7" s="5" t="s">
        <v>94</v>
      </c>
      <c r="U7" s="5"/>
      <c r="V7" s="5" t="s">
        <v>94</v>
      </c>
      <c r="W7" s="5" t="s">
        <v>94</v>
      </c>
      <c r="X7" s="5" t="s">
        <v>95</v>
      </c>
      <c r="Y7" s="5"/>
      <c r="Z7" s="5"/>
      <c r="AA7" s="5" t="s">
        <v>94</v>
      </c>
      <c r="AB7" s="5" t="s">
        <v>95</v>
      </c>
      <c r="AC7" s="5" t="s">
        <v>94</v>
      </c>
      <c r="AD7" s="5" t="s">
        <v>94</v>
      </c>
      <c r="AE7" s="5" t="s">
        <v>94</v>
      </c>
      <c r="AF7" s="5"/>
      <c r="AG7" s="5"/>
      <c r="AH7" s="5" t="s">
        <v>94</v>
      </c>
      <c r="AI7" s="5" t="s">
        <v>94</v>
      </c>
      <c r="AJ7" s="5" t="s">
        <v>94</v>
      </c>
      <c r="AK7" s="33"/>
      <c r="AL7" s="5"/>
      <c r="AM7" s="5"/>
      <c r="AN7" s="5"/>
      <c r="AO7" s="6">
        <f t="shared" ref="AO7:AO38" si="0">COUNTIF(D7:J7,"*M12*")*12+COUNTIF(D7:J7,"*M8*")*8+COUNTIF(D7:J7,"*M4*")*4+COUNTIF(D7:J7,"*D8*")*8+COUNTIF(D7:J7,"*D4*")*4+COUNTIF(D7:J7,"*N12*")*12+COUNTIF(D7:J7,"*N8*")*8+COUNTIF(D7:J7,"*N4*")*4</f>
        <v>20</v>
      </c>
      <c r="AP7" s="6">
        <f t="shared" ref="AP7:AP38" si="1">COUNTIF(K7:Q7,"*M12*")*12+COUNTIF(K7:Q7,"*M8*")*8+COUNTIF(K7:Q7,"*M4*")*4+COUNTIF(K7:Q7,"*D8*")*8+COUNTIF(K7:Q7,"*D4*")*4+COUNTIF(K7:Q7,"*N12*")*12+COUNTIF(K7:Q7,"*N8*")*8+COUNTIF(K7:Q7,"*N4*")*4</f>
        <v>40</v>
      </c>
      <c r="AQ7" s="6">
        <f t="shared" ref="AQ7:AQ38" si="2">COUNTIF(R7:X7,"*M12*")*12+COUNTIF(R7:X7,"*M8*")*8+COUNTIF(R7:X7,"*M4*")*4+COUNTIF(R7:X7,"*D8*")*8+COUNTIF(R7:X7,"*D4*")*4+COUNTIF(R7:X7,"*N12*")*12+COUNTIF(R7:X7,"*N8*")*8+COUNTIF(R7:X7,"*N4*")*4</f>
        <v>36</v>
      </c>
      <c r="AR7" s="6">
        <f t="shared" ref="AR7:AR38" si="3">COUNTIF(Y7:AE7,"*M12*")*12+COUNTIF(Y7:AE7,"*M8*")*8+COUNTIF(Y7:AE7,"*M4*")*4+COUNTIF(Y7:AE7,"*D8*")*8+COUNTIF(Y7:AE7,"*D4*")*4+COUNTIF(Y7:AE7,"*N12*")*12+COUNTIF(Y7:AE7,"*N8*")*8+COUNTIF(Y7:AE7,"*N4*")*4</f>
        <v>44</v>
      </c>
      <c r="AS7" s="6">
        <f t="shared" ref="AS7:AS38" si="4">COUNTIF(AF7:AL7,"*M12*")*12+COUNTIF(AF7:AL7,"*M8*")*8+COUNTIF(AF7:AL7,"*M4*")*4+COUNTIF(AF7:AL7,"*D8*")*8+COUNTIF(AF7:AL7,"*D4*")*4+COUNTIF(AF7:AL7,"*N12*")*12+COUNTIF(AF7:AL7,"*N8*")*8+COUNTIF(AF7:AL7,"*N4*")*4</f>
        <v>24</v>
      </c>
      <c r="AT7" s="16">
        <f>AT9</f>
        <v>48</v>
      </c>
      <c r="AU7" s="17" t="str">
        <f>IF(OR(ISNUMBER(FIND({"M";"N";"D"},D7))),"1","")</f>
        <v/>
      </c>
      <c r="AV7" s="17" t="str">
        <f>IF(OR(ISNUMBER(FIND({"M";"N";"D"},E7))),"1","")</f>
        <v/>
      </c>
      <c r="AW7" s="17" t="str">
        <f>IF(OR(ISNUMBER(FIND({"M";"N";"D"},F7))),"1","")</f>
        <v/>
      </c>
      <c r="AX7" s="17" t="str">
        <f>IF(OR(ISNUMBER(FIND({"M";"N";"D"},G7))),"1","")</f>
        <v/>
      </c>
      <c r="AY7" s="17" t="str">
        <f>IF(OR(ISNUMBER(FIND({"M";"N";"D"},H7))),"1","")</f>
        <v/>
      </c>
      <c r="AZ7" s="17" t="str">
        <f>IF(OR(ISNUMBER(FIND({"M";"N";"D"},I7))),"1","")</f>
        <v>1</v>
      </c>
      <c r="BA7" s="17" t="str">
        <f>IF(OR(ISNUMBER(FIND({"M";"N";"D"},J7))),"1","")</f>
        <v>1</v>
      </c>
      <c r="BB7" s="17" t="str">
        <f>IF(OR(ISNUMBER(FIND({"M";"N";"D"},K7))),"1","")</f>
        <v/>
      </c>
      <c r="BC7" s="17" t="str">
        <f>IF(OR(ISNUMBER(FIND({"M";"N";"D"},L7))),"1","")</f>
        <v/>
      </c>
      <c r="BD7" s="17" t="str">
        <f>IF(OR(ISNUMBER(FIND({"M";"N";"D"},M7))),"1","")</f>
        <v>1</v>
      </c>
      <c r="BE7" s="17" t="str">
        <f>IF(OR(ISNUMBER(FIND({"M";"N";"D"},N7))),"1","")</f>
        <v>1</v>
      </c>
      <c r="BF7" s="17" t="str">
        <f>IF(OR(ISNUMBER(FIND({"M";"N";"D"},O7))),"1","")</f>
        <v>1</v>
      </c>
      <c r="BG7" s="17" t="str">
        <f>IF(OR(ISNUMBER(FIND({"M";"N";"D"},P7))),"1","")</f>
        <v>1</v>
      </c>
      <c r="BH7" s="17" t="str">
        <f>IF(OR(ISNUMBER(FIND({"M";"N";"D"},Q7))),"1","")</f>
        <v>1</v>
      </c>
      <c r="BI7" s="17" t="str">
        <f>IF(OR(ISNUMBER(FIND({"M";"N";"D"},R7))),"1","")</f>
        <v/>
      </c>
      <c r="BJ7" s="17" t="str">
        <f>IF(OR(ISNUMBER(FIND({"M";"N";"D"},S7))),"1","")</f>
        <v/>
      </c>
      <c r="BK7" s="17" t="str">
        <f>IF(OR(ISNUMBER(FIND({"M";"N";"D"},T7))),"1","")</f>
        <v>1</v>
      </c>
      <c r="BL7" s="17" t="str">
        <f>IF(OR(ISNUMBER(FIND({"M";"N";"D"},U7))),"1","")</f>
        <v/>
      </c>
      <c r="BM7" s="17" t="str">
        <f>IF(OR(ISNUMBER(FIND({"M";"N";"D"},V7))),"1","")</f>
        <v>1</v>
      </c>
      <c r="BN7" s="17" t="str">
        <f>IF(OR(ISNUMBER(FIND({"M";"N";"D"},W7))),"1","")</f>
        <v>1</v>
      </c>
      <c r="BO7" s="17" t="str">
        <f>IF(OR(ISNUMBER(FIND({"M";"N";"D"},X7))),"1","")</f>
        <v>1</v>
      </c>
      <c r="BP7" s="17" t="str">
        <f>IF(OR(ISNUMBER(FIND({"M";"N";"D"},Y7))),"1","")</f>
        <v/>
      </c>
      <c r="BQ7" s="17" t="str">
        <f>IF(OR(ISNUMBER(FIND({"M";"N";"D"},Z7))),"1","")</f>
        <v/>
      </c>
      <c r="BR7" s="17" t="str">
        <f>IF(OR(ISNUMBER(FIND({"M";"N";"D"},AA7))),"1","")</f>
        <v>1</v>
      </c>
      <c r="BS7" s="17" t="str">
        <f>IF(OR(ISNUMBER(FIND({"M";"N";"D"},AB7))),"1","")</f>
        <v>1</v>
      </c>
      <c r="BT7" s="17" t="str">
        <f>IF(OR(ISNUMBER(FIND({"M";"N";"D"},AC7))),"1","")</f>
        <v>1</v>
      </c>
      <c r="BU7" s="17" t="str">
        <f>IF(OR(ISNUMBER(FIND({"M";"N";"D"},AD7))),"1","")</f>
        <v>1</v>
      </c>
      <c r="BV7" s="17" t="str">
        <f>IF(OR(ISNUMBER(FIND({"M";"N";"D"},AE7))),"1","")</f>
        <v>1</v>
      </c>
      <c r="BW7" s="17" t="str">
        <f>IF(OR(ISNUMBER(FIND({"M";"N";"D"},AF7))),"1","")</f>
        <v/>
      </c>
      <c r="BX7" s="17" t="str">
        <f>IF(OR(ISNUMBER(FIND({"M";"N";"D"},AG7))),"1","")</f>
        <v/>
      </c>
      <c r="BY7" s="17" t="str">
        <f>IF(OR(ISNUMBER(FIND({"M";"N";"D"},AH7))),"1","")</f>
        <v>1</v>
      </c>
      <c r="BZ7" s="17" t="str">
        <f>IF(OR(ISNUMBER(FIND({"M";"N";"D"},AI7))),"1","")</f>
        <v>1</v>
      </c>
      <c r="CA7" s="17" t="str">
        <f>IF(OR(ISNUMBER(FIND({"M";"N";"D"},AJ7))),"1","")</f>
        <v>1</v>
      </c>
      <c r="CB7" s="17" t="str">
        <f>IF(OR(ISNUMBER(FIND({"M";"N";"D"},AK7))),"1","")</f>
        <v/>
      </c>
      <c r="CC7" s="17" t="str">
        <f>IF(OR(ISNUMBER(FIND({"M";"N";"D"},AL7))),"1","")</f>
        <v/>
      </c>
      <c r="CD7" s="17" t="str">
        <f>IF(OR(ISNUMBER(FIND({"M";"N";"D"},AM7))),"1","")</f>
        <v/>
      </c>
      <c r="CE7" s="17" t="str">
        <f>IF(OR(ISNUMBER(FIND({"M";"N";"D"},AN7))),"1","")</f>
        <v/>
      </c>
      <c r="CF7" s="16" cm="1">
        <f t="array" ref="CF7">MAX(FREQUENCY(IF(AU7:CE7&lt;&gt;"",COLUMN(AU7:CE7)),IF(AU7:CE7="",COLUMN(AU7:CE7))))</f>
        <v>5</v>
      </c>
      <c r="CG7" s="7"/>
      <c r="CH7" s="18">
        <f>ROUNDDOWN(CK7*8+CL7*12+CM7*12,0)</f>
        <v>164</v>
      </c>
      <c r="CI7" s="8">
        <v>168</v>
      </c>
      <c r="CJ7" s="18">
        <f t="shared" ref="CJ7:CJ70" si="5">CH7+SUM(CN7:CR7)*8-CI7</f>
        <v>12</v>
      </c>
      <c r="CK7" s="19">
        <f>ROUND(COUNTIF(D7:AN7,"*D8*")*1+COUNTIF(D7:AN7,"*D4*")*0.5,2)</f>
        <v>16</v>
      </c>
      <c r="CL7" s="30">
        <f>COUNTIF(D7:AN7,"*M12*")*1+COUNTIF(D7:AN7,"*M8*")*(8/12)+COUNTIF(D7:AN7,"*M4*")*(4/12)</f>
        <v>3</v>
      </c>
      <c r="CM7" s="30">
        <f>COUNTIF(D7:AN7,"*N12*")*1+COUNTIF(D7:AN7,"*N8*")*(8/12)+COUNTIF(D7:AN7,"*N4*")*(4/12)</f>
        <v>0</v>
      </c>
      <c r="CN7" s="19">
        <f t="shared" ref="CN7:CN38" si="6">COUNTIF(D7:AN7,"*A8*")*1+COUNTIF(D7:AN7,"*A4*")*0.5</f>
        <v>2</v>
      </c>
      <c r="CO7" s="19">
        <f t="shared" ref="CO7:CO38" si="7">COUNTIF(D7:AN7,"*S8*")*1+COUNTIF(D7:AN7,"*S4*")*0.5</f>
        <v>0</v>
      </c>
      <c r="CP7" s="19">
        <f t="shared" ref="CP7:CP38" si="8">COUNTIF(D7:AN7,"*P8*")*1+COUNTIF(D7:AN7,"*P4*")*0.5</f>
        <v>0</v>
      </c>
      <c r="CQ7" s="19">
        <f t="shared" ref="CQ7:CQ38" si="9">COUNTIF(D7:AN7,"*O8*")*1+COUNTIF(D7:AN7,"*O4*")*0.5</f>
        <v>0</v>
      </c>
      <c r="CR7" s="19">
        <f t="shared" ref="CR7:CR38" si="10">COUNTIF(D7:AN7,"*V8*")*1+COUNTIF(D7:AN7,"*V4*")*0.5</f>
        <v>0</v>
      </c>
    </row>
    <row r="8" spans="1:96" s="9" customFormat="1" ht="12.75">
      <c r="A8" s="20"/>
      <c r="B8" s="36"/>
      <c r="C8" s="21"/>
      <c r="D8" s="5"/>
      <c r="E8" s="5"/>
      <c r="F8" s="5" t="s">
        <v>94</v>
      </c>
      <c r="G8" s="5" t="s">
        <v>94</v>
      </c>
      <c r="H8" s="5" t="s">
        <v>94</v>
      </c>
      <c r="I8" s="5"/>
      <c r="J8" s="5" t="s">
        <v>94</v>
      </c>
      <c r="K8" s="5" t="s">
        <v>95</v>
      </c>
      <c r="L8" s="5" t="s">
        <v>96</v>
      </c>
      <c r="M8" s="5"/>
      <c r="N8" s="5"/>
      <c r="O8" s="5"/>
      <c r="P8" s="5" t="s">
        <v>95</v>
      </c>
      <c r="Q8" s="5" t="s">
        <v>96</v>
      </c>
      <c r="R8" s="5"/>
      <c r="S8" s="5"/>
      <c r="T8" s="5" t="s">
        <v>94</v>
      </c>
      <c r="U8" s="5" t="s">
        <v>95</v>
      </c>
      <c r="V8" s="5" t="s">
        <v>96</v>
      </c>
      <c r="W8" s="5"/>
      <c r="X8" s="5"/>
      <c r="Y8" s="5" t="s">
        <v>95</v>
      </c>
      <c r="Z8" s="5" t="s">
        <v>95</v>
      </c>
      <c r="AA8" s="5" t="s">
        <v>96</v>
      </c>
      <c r="AB8" s="5"/>
      <c r="AC8" s="5"/>
      <c r="AD8" s="5" t="s">
        <v>94</v>
      </c>
      <c r="AE8" s="5" t="s">
        <v>95</v>
      </c>
      <c r="AF8" s="5" t="s">
        <v>96</v>
      </c>
      <c r="AG8" s="5"/>
      <c r="AH8" s="5"/>
      <c r="AI8" s="5" t="s">
        <v>94</v>
      </c>
      <c r="AJ8" s="5"/>
      <c r="AK8" s="5"/>
      <c r="AL8" s="5"/>
      <c r="AM8" s="5"/>
      <c r="AN8" s="5"/>
      <c r="AO8" s="6">
        <f>COUNTIF(D8:J8,"*M12*")*12+COUNTIF(D8:J8,"*M8*")*8+COUNTIF(D8:J8,"*M4*")*4+COUNTIF(D8:J8,"*D8*")*8+COUNTIF(D8:J8,"*D4*")*4+COUNTIF(D8:J8,"*N12*")*12+COUNTIF(D8:J8,"*N8*")*8+COUNTIF(D8:J8,"*N4*")*4</f>
        <v>32</v>
      </c>
      <c r="AP8" s="6">
        <f>COUNTIF(K8:Q8,"*M12*")*12+COUNTIF(K8:Q8,"*M8*")*8+COUNTIF(K8:Q8,"*M4*")*4+COUNTIF(K8:Q8,"*D8*")*8+COUNTIF(K8:Q8,"*D4*")*4+COUNTIF(K8:Q8,"*N12*")*12+COUNTIF(K8:Q8,"*N8*")*8+COUNTIF(K8:Q8,"*N4*")*4</f>
        <v>48</v>
      </c>
      <c r="AQ8" s="6">
        <f>COUNTIF(R8:X8,"*M12*")*12+COUNTIF(R8:X8,"*M8*")*8+COUNTIF(R8:X8,"*M4*")*4+COUNTIF(R8:X8,"*D8*")*8+COUNTIF(R8:X8,"*D4*")*4+COUNTIF(R8:X8,"*N12*")*12+COUNTIF(R8:X8,"*N8*")*8+COUNTIF(R8:X8,"*N4*")*4</f>
        <v>32</v>
      </c>
      <c r="AR8" s="6">
        <f>COUNTIF(Y8:AE8,"*M12*")*12+COUNTIF(Y8:AE8,"*M8*")*8+COUNTIF(Y8:AE8,"*M4*")*4+COUNTIF(Y8:AE8,"*D8*")*8+COUNTIF(Y8:AE8,"*D4*")*4+COUNTIF(Y8:AE8,"*N12*")*12+COUNTIF(Y8:AE8,"*N8*")*8+COUNTIF(Y8:AE8,"*N4*")*4</f>
        <v>56</v>
      </c>
      <c r="AS8" s="6">
        <f>COUNTIF(AF8:AL8,"*M12*")*12+COUNTIF(AF8:AL8,"*M8*")*8+COUNTIF(AF8:AL8,"*M4*")*4+COUNTIF(AF8:AL8,"*D8*")*8+COUNTIF(AF8:AL8,"*D4*")*4+COUNTIF(AF8:AL8,"*N12*")*12+COUNTIF(AF8:AL8,"*N8*")*8+COUNTIF(AF8:AL8,"*N4*")*4</f>
        <v>20</v>
      </c>
      <c r="AT8" s="16">
        <f>MAX(AO8:AS8)</f>
        <v>56</v>
      </c>
      <c r="AU8" s="17" t="str">
        <f>IF(OR(ISNUMBER(FIND({"M";"N";"D"},D8))),"1","")</f>
        <v/>
      </c>
      <c r="AV8" s="17" t="str">
        <f>IF(OR(ISNUMBER(FIND({"M";"N";"D"},E8))),"1","")</f>
        <v/>
      </c>
      <c r="AW8" s="17" t="str">
        <f>IF(OR(ISNUMBER(FIND({"M";"N";"D"},F8))),"1","")</f>
        <v>1</v>
      </c>
      <c r="AX8" s="17" t="str">
        <f>IF(OR(ISNUMBER(FIND({"M";"N";"D"},G8))),"1","")</f>
        <v>1</v>
      </c>
      <c r="AY8" s="17" t="str">
        <f>IF(OR(ISNUMBER(FIND({"M";"N";"D"},H8))),"1","")</f>
        <v>1</v>
      </c>
      <c r="AZ8" s="17" t="str">
        <f>IF(OR(ISNUMBER(FIND({"M";"N";"D"},I8))),"1","")</f>
        <v/>
      </c>
      <c r="BA8" s="17" t="str">
        <f>IF(OR(ISNUMBER(FIND({"M";"N";"D"},J8))),"1","")</f>
        <v>1</v>
      </c>
      <c r="BB8" s="17" t="str">
        <f>IF(OR(ISNUMBER(FIND({"M";"N";"D"},K8))),"1","")</f>
        <v>1</v>
      </c>
      <c r="BC8" s="17" t="str">
        <f>IF(OR(ISNUMBER(FIND({"M";"N";"D"},L8))),"1","")</f>
        <v>1</v>
      </c>
      <c r="BD8" s="17" t="str">
        <f>IF(OR(ISNUMBER(FIND({"M";"N";"D"},M8))),"1","")</f>
        <v/>
      </c>
      <c r="BE8" s="17" t="str">
        <f>IF(OR(ISNUMBER(FIND({"M";"N";"D"},N8))),"1","")</f>
        <v/>
      </c>
      <c r="BF8" s="17" t="str">
        <f>IF(OR(ISNUMBER(FIND({"M";"N";"D"},O8))),"1","")</f>
        <v/>
      </c>
      <c r="BG8" s="17" t="str">
        <f>IF(OR(ISNUMBER(FIND({"M";"N";"D"},P8))),"1","")</f>
        <v>1</v>
      </c>
      <c r="BH8" s="17" t="str">
        <f>IF(OR(ISNUMBER(FIND({"M";"N";"D"},Q8))),"1","")</f>
        <v>1</v>
      </c>
      <c r="BI8" s="17" t="str">
        <f>IF(OR(ISNUMBER(FIND({"M";"N";"D"},R8))),"1","")</f>
        <v/>
      </c>
      <c r="BJ8" s="17" t="str">
        <f>IF(OR(ISNUMBER(FIND({"M";"N";"D"},S8))),"1","")</f>
        <v/>
      </c>
      <c r="BK8" s="17" t="str">
        <f>IF(OR(ISNUMBER(FIND({"M";"N";"D"},T8))),"1","")</f>
        <v>1</v>
      </c>
      <c r="BL8" s="17" t="str">
        <f>IF(OR(ISNUMBER(FIND({"M";"N";"D"},U8))),"1","")</f>
        <v>1</v>
      </c>
      <c r="BM8" s="17" t="str">
        <f>IF(OR(ISNUMBER(FIND({"M";"N";"D"},V8))),"1","")</f>
        <v>1</v>
      </c>
      <c r="BN8" s="17" t="str">
        <f>IF(OR(ISNUMBER(FIND({"M";"N";"D"},W8))),"1","")</f>
        <v/>
      </c>
      <c r="BO8" s="17" t="str">
        <f>IF(OR(ISNUMBER(FIND({"M";"N";"D"},X8))),"1","")</f>
        <v/>
      </c>
      <c r="BP8" s="17" t="str">
        <f>IF(OR(ISNUMBER(FIND({"M";"N";"D"},Y8))),"1","")</f>
        <v>1</v>
      </c>
      <c r="BQ8" s="17" t="str">
        <f>IF(OR(ISNUMBER(FIND({"M";"N";"D"},Z8))),"1","")</f>
        <v>1</v>
      </c>
      <c r="BR8" s="17" t="str">
        <f>IF(OR(ISNUMBER(FIND({"M";"N";"D"},AA8))),"1","")</f>
        <v>1</v>
      </c>
      <c r="BS8" s="17" t="str">
        <f>IF(OR(ISNUMBER(FIND({"M";"N";"D"},AB8))),"1","")</f>
        <v/>
      </c>
      <c r="BT8" s="17" t="str">
        <f>IF(OR(ISNUMBER(FIND({"M";"N";"D"},AC8))),"1","")</f>
        <v/>
      </c>
      <c r="BU8" s="17" t="str">
        <f>IF(OR(ISNUMBER(FIND({"M";"N";"D"},AD8))),"1","")</f>
        <v>1</v>
      </c>
      <c r="BV8" s="17" t="str">
        <f>IF(OR(ISNUMBER(FIND({"M";"N";"D"},AE8))),"1","")</f>
        <v>1</v>
      </c>
      <c r="BW8" s="17" t="str">
        <f>IF(OR(ISNUMBER(FIND({"M";"N";"D"},AF8))),"1","")</f>
        <v>1</v>
      </c>
      <c r="BX8" s="17" t="str">
        <f>IF(OR(ISNUMBER(FIND({"M";"N";"D"},AG8))),"1","")</f>
        <v/>
      </c>
      <c r="BY8" s="17" t="str">
        <f>IF(OR(ISNUMBER(FIND({"M";"N";"D"},AH8))),"1","")</f>
        <v/>
      </c>
      <c r="BZ8" s="17" t="str">
        <f>IF(OR(ISNUMBER(FIND({"M";"N";"D"},AI8))),"1","")</f>
        <v>1</v>
      </c>
      <c r="CA8" s="17" t="str">
        <f>IF(OR(ISNUMBER(FIND({"M";"N";"D"},AJ8))),"1","")</f>
        <v/>
      </c>
      <c r="CB8" s="17" t="str">
        <f>IF(OR(ISNUMBER(FIND({"M";"N";"D"},AK8))),"1","")</f>
        <v/>
      </c>
      <c r="CC8" s="17" t="str">
        <f>IF(OR(ISNUMBER(FIND({"M";"N";"D"},AL8))),"1","")</f>
        <v/>
      </c>
      <c r="CD8" s="17" t="str">
        <f>IF(OR(ISNUMBER(FIND({"M";"N";"D"},AM8))),"1","")</f>
        <v/>
      </c>
      <c r="CE8" s="17" t="str">
        <f>IF(OR(ISNUMBER(FIND({"M";"N";"D"},AN8))),"1","")</f>
        <v/>
      </c>
      <c r="CF8" s="16">
        <f t="array" ref="CF8">MAX(FREQUENCY(IF(AU8:CE8&lt;&gt;"",COLUMN(AU8:CE8)),IF(AU8:CE8="",COLUMN(AU8:CE8))))</f>
        <v>3</v>
      </c>
      <c r="CG8" s="7"/>
      <c r="CH8" s="18">
        <f>ROUNDDOWN(CK8*8+CL8*12+CM8*12,0)</f>
        <v>188</v>
      </c>
      <c r="CI8" s="8">
        <v>168</v>
      </c>
      <c r="CJ8" s="18">
        <f>CH8+SUM(CN8:CR8)*8-CI8</f>
        <v>20</v>
      </c>
      <c r="CK8" s="19">
        <f>COUNTIF(D8:AN8,"*D8*")*1+COUNTIF(D8:AN8,"*D4*")*0.5</f>
        <v>7</v>
      </c>
      <c r="CL8" s="30">
        <f>COUNTIF(D8:AN8,"*M12*")*1+COUNTIF(D8:AN8,"*M8*")*(8/12)+COUNTIF(D8:AN8,"*M4*")*(4/12)</f>
        <v>6</v>
      </c>
      <c r="CM8" s="30">
        <f>ROUND(COUNTIF(D8:AN8,"*N12*")*1+COUNTIF(D8:AN8,"*N8*")*(8/12)+COUNTIF(D8:AN8,"*N4*")*(4/12),1)</f>
        <v>5</v>
      </c>
      <c r="CN8" s="19">
        <f>COUNTIF(D8:AN8,"*A8*")*1+COUNTIF(D8:AN8,"*A4*")*0.5</f>
        <v>0</v>
      </c>
      <c r="CO8" s="19">
        <f>COUNTIF(D8:AN8,"*S8*")*1+COUNTIF(D8:AN8,"*S4*")*0.5</f>
        <v>0</v>
      </c>
      <c r="CP8" s="19">
        <f>COUNTIF(D8:AN8,"*P8*")*1+COUNTIF(D8:AN8,"*P4*")*0.5</f>
        <v>0</v>
      </c>
      <c r="CQ8" s="19">
        <f>COUNTIF(D8:AN8,"*O8*")*1+COUNTIF(D8:AN8,"*O4*")*0.5</f>
        <v>0</v>
      </c>
      <c r="CR8" s="19">
        <f>COUNTIF(D8:AN8,"*V8*")*1+COUNTIF(D8:AN8,"*V4*")*0.5</f>
        <v>0</v>
      </c>
    </row>
    <row r="9" spans="1:96" s="9" customFormat="1" ht="12.75" customHeight="1">
      <c r="A9" s="20"/>
      <c r="B9" s="36"/>
      <c r="C9" s="34"/>
      <c r="D9" s="5"/>
      <c r="E9" s="5"/>
      <c r="F9" s="5" t="s">
        <v>95</v>
      </c>
      <c r="G9" s="5" t="s">
        <v>96</v>
      </c>
      <c r="H9" s="5" t="s">
        <v>96</v>
      </c>
      <c r="I9" s="5"/>
      <c r="J9" s="5"/>
      <c r="K9" s="5" t="s">
        <v>95</v>
      </c>
      <c r="L9" s="5" t="s">
        <v>95</v>
      </c>
      <c r="M9" s="5" t="s">
        <v>96</v>
      </c>
      <c r="N9" s="5"/>
      <c r="O9" s="5"/>
      <c r="P9" s="5"/>
      <c r="Q9" s="5" t="s">
        <v>95</v>
      </c>
      <c r="R9" s="5" t="s">
        <v>96</v>
      </c>
      <c r="S9" s="5"/>
      <c r="T9" s="5"/>
      <c r="U9" s="5" t="s">
        <v>94</v>
      </c>
      <c r="V9" s="5" t="s">
        <v>95</v>
      </c>
      <c r="W9" s="5" t="s">
        <v>96</v>
      </c>
      <c r="X9" s="5"/>
      <c r="Y9" s="5"/>
      <c r="Z9" s="5" t="s">
        <v>95</v>
      </c>
      <c r="AA9" s="5" t="s">
        <v>95</v>
      </c>
      <c r="AB9" s="5" t="s">
        <v>96</v>
      </c>
      <c r="AC9" s="5"/>
      <c r="AD9" s="5"/>
      <c r="AE9" s="5" t="s">
        <v>95</v>
      </c>
      <c r="AF9" s="5" t="s">
        <v>95</v>
      </c>
      <c r="AG9" s="5" t="s">
        <v>96</v>
      </c>
      <c r="AH9" s="5"/>
      <c r="AI9" s="5"/>
      <c r="AJ9" s="5"/>
      <c r="AK9" s="5"/>
      <c r="AL9" s="5"/>
      <c r="AM9" s="5"/>
      <c r="AN9" s="5"/>
      <c r="AO9" s="6">
        <f t="shared" si="0"/>
        <v>36</v>
      </c>
      <c r="AP9" s="6">
        <f t="shared" si="1"/>
        <v>48</v>
      </c>
      <c r="AQ9" s="6">
        <f t="shared" si="2"/>
        <v>44</v>
      </c>
      <c r="AR9" s="6">
        <f t="shared" si="3"/>
        <v>48</v>
      </c>
      <c r="AS9" s="6">
        <f t="shared" si="4"/>
        <v>24</v>
      </c>
      <c r="AT9" s="16">
        <f t="shared" ref="AT9:AT70" si="11">MAX(AO9:AS9)</f>
        <v>48</v>
      </c>
      <c r="AU9" s="17" t="str">
        <f>IF(OR(ISNUMBER(FIND({"M";"N";"D"},D9))),"1","")</f>
        <v/>
      </c>
      <c r="AV9" s="17" t="str">
        <f>IF(OR(ISNUMBER(FIND({"M";"N";"D"},E9))),"1","")</f>
        <v/>
      </c>
      <c r="AW9" s="17" t="str">
        <f>IF(OR(ISNUMBER(FIND({"M";"N";"D"},F9))),"1","")</f>
        <v>1</v>
      </c>
      <c r="AX9" s="17" t="str">
        <f>IF(OR(ISNUMBER(FIND({"M";"N";"D"},G9))),"1","")</f>
        <v>1</v>
      </c>
      <c r="AY9" s="17" t="str">
        <f>IF(OR(ISNUMBER(FIND({"M";"N";"D"},H9))),"1","")</f>
        <v>1</v>
      </c>
      <c r="AZ9" s="17" t="str">
        <f>IF(OR(ISNUMBER(FIND({"M";"N";"D"},I9))),"1","")</f>
        <v/>
      </c>
      <c r="BA9" s="17" t="str">
        <f>IF(OR(ISNUMBER(FIND({"M";"N";"D"},J9))),"1","")</f>
        <v/>
      </c>
      <c r="BB9" s="17" t="str">
        <f>IF(OR(ISNUMBER(FIND({"M";"N";"D"},K9))),"1","")</f>
        <v>1</v>
      </c>
      <c r="BC9" s="17" t="str">
        <f>IF(OR(ISNUMBER(FIND({"M";"N";"D"},L9))),"1","")</f>
        <v>1</v>
      </c>
      <c r="BD9" s="17" t="str">
        <f>IF(OR(ISNUMBER(FIND({"M";"N";"D"},M9))),"1","")</f>
        <v>1</v>
      </c>
      <c r="BE9" s="17" t="str">
        <f>IF(OR(ISNUMBER(FIND({"M";"N";"D"},N9))),"1","")</f>
        <v/>
      </c>
      <c r="BF9" s="17" t="str">
        <f>IF(OR(ISNUMBER(FIND({"M";"N";"D"},O9))),"1","")</f>
        <v/>
      </c>
      <c r="BG9" s="17" t="str">
        <f>IF(OR(ISNUMBER(FIND({"M";"N";"D"},P9))),"1","")</f>
        <v/>
      </c>
      <c r="BH9" s="17" t="str">
        <f>IF(OR(ISNUMBER(FIND({"M";"N";"D"},Q9))),"1","")</f>
        <v>1</v>
      </c>
      <c r="BI9" s="17" t="str">
        <f>IF(OR(ISNUMBER(FIND({"M";"N";"D"},R9))),"1","")</f>
        <v>1</v>
      </c>
      <c r="BJ9" s="17" t="str">
        <f>IF(OR(ISNUMBER(FIND({"M";"N";"D"},S9))),"1","")</f>
        <v/>
      </c>
      <c r="BK9" s="17" t="str">
        <f>IF(OR(ISNUMBER(FIND({"M";"N";"D"},T9))),"1","")</f>
        <v/>
      </c>
      <c r="BL9" s="17" t="str">
        <f>IF(OR(ISNUMBER(FIND({"M";"N";"D"},U9))),"1","")</f>
        <v>1</v>
      </c>
      <c r="BM9" s="17" t="str">
        <f>IF(OR(ISNUMBER(FIND({"M";"N";"D"},V9))),"1","")</f>
        <v>1</v>
      </c>
      <c r="BN9" s="17" t="str">
        <f>IF(OR(ISNUMBER(FIND({"M";"N";"D"},W9))),"1","")</f>
        <v>1</v>
      </c>
      <c r="BO9" s="17" t="str">
        <f>IF(OR(ISNUMBER(FIND({"M";"N";"D"},X9))),"1","")</f>
        <v/>
      </c>
      <c r="BP9" s="17" t="str">
        <f>IF(OR(ISNUMBER(FIND({"M";"N";"D"},Y9))),"1","")</f>
        <v/>
      </c>
      <c r="BQ9" s="17" t="str">
        <f>IF(OR(ISNUMBER(FIND({"M";"N";"D"},Z9))),"1","")</f>
        <v>1</v>
      </c>
      <c r="BR9" s="17" t="str">
        <f>IF(OR(ISNUMBER(FIND({"M";"N";"D"},AA9))),"1","")</f>
        <v>1</v>
      </c>
      <c r="BS9" s="17" t="str">
        <f>IF(OR(ISNUMBER(FIND({"M";"N";"D"},AB9))),"1","")</f>
        <v>1</v>
      </c>
      <c r="BT9" s="17" t="str">
        <f>IF(OR(ISNUMBER(FIND({"M";"N";"D"},AC9))),"1","")</f>
        <v/>
      </c>
      <c r="BU9" s="17" t="str">
        <f>IF(OR(ISNUMBER(FIND({"M";"N";"D"},AD9))),"1","")</f>
        <v/>
      </c>
      <c r="BV9" s="17" t="str">
        <f>IF(OR(ISNUMBER(FIND({"M";"N";"D"},AE9))),"1","")</f>
        <v>1</v>
      </c>
      <c r="BW9" s="17" t="str">
        <f>IF(OR(ISNUMBER(FIND({"M";"N";"D"},AF9))),"1","")</f>
        <v>1</v>
      </c>
      <c r="BX9" s="17" t="str">
        <f>IF(OR(ISNUMBER(FIND({"M";"N";"D"},AG9))),"1","")</f>
        <v>1</v>
      </c>
      <c r="BY9" s="17" t="str">
        <f>IF(OR(ISNUMBER(FIND({"M";"N";"D"},AH9))),"1","")</f>
        <v/>
      </c>
      <c r="BZ9" s="17" t="str">
        <f>IF(OR(ISNUMBER(FIND({"M";"N";"D"},AI9))),"1","")</f>
        <v/>
      </c>
      <c r="CA9" s="17" t="str">
        <f>IF(OR(ISNUMBER(FIND({"M";"N";"D"},AJ9))),"1","")</f>
        <v/>
      </c>
      <c r="CB9" s="17" t="str">
        <f>IF(OR(ISNUMBER(FIND({"M";"N";"D"},AK9))),"1","")</f>
        <v/>
      </c>
      <c r="CC9" s="17" t="str">
        <f>IF(OR(ISNUMBER(FIND({"M";"N";"D"},AL9))),"1","")</f>
        <v/>
      </c>
      <c r="CD9" s="17" t="str">
        <f>IF(OR(ISNUMBER(FIND({"M";"N";"D"},AM9))),"1","")</f>
        <v/>
      </c>
      <c r="CE9" s="17" t="str">
        <f>IF(OR(ISNUMBER(FIND({"M";"N";"D"},AN9))),"1","")</f>
        <v/>
      </c>
      <c r="CF9" s="16">
        <f t="array" ref="CF9">MAX(FREQUENCY(IF(AU9:CE9&lt;&gt;"",COLUMN(AU9:CE9)),IF(AU9:CE9="",COLUMN(AU9:CE9))))</f>
        <v>3</v>
      </c>
      <c r="CG9" s="7"/>
      <c r="CH9" s="18">
        <f t="shared" ref="CH9:CH38" si="12">ROUNDDOWN(CK9*8+CL9*12+CM9*12,0)</f>
        <v>200</v>
      </c>
      <c r="CI9" s="8">
        <v>168</v>
      </c>
      <c r="CJ9" s="18">
        <f t="shared" si="5"/>
        <v>32</v>
      </c>
      <c r="CK9" s="19">
        <f t="shared" ref="CK9:CK39" si="13">COUNTIF(D9:AN9,"*D8*")*1+COUNTIF(D9:AN9,"*D4*")*0.5</f>
        <v>1</v>
      </c>
      <c r="CL9" s="30">
        <f t="shared" ref="CL9:CL70" si="14">COUNTIF(D9:AN9,"*M12*")*1+COUNTIF(D9:AN9,"*M8*")*(8/12)+COUNTIF(D9:AN9,"*M4*")*(4/12)</f>
        <v>9</v>
      </c>
      <c r="CM9" s="30">
        <f t="shared" ref="CM9:CM39" si="15">ROUND(COUNTIF(D9:AN9,"*N12*")*1+COUNTIF(D9:AN9,"*N8*")*(8/12)+COUNTIF(D9:AN9,"*N4*")*(4/12),1)</f>
        <v>7</v>
      </c>
      <c r="CN9" s="19">
        <f t="shared" si="6"/>
        <v>0</v>
      </c>
      <c r="CO9" s="19">
        <f t="shared" si="7"/>
        <v>0</v>
      </c>
      <c r="CP9" s="19">
        <f t="shared" si="8"/>
        <v>0</v>
      </c>
      <c r="CQ9" s="19">
        <f t="shared" si="9"/>
        <v>0</v>
      </c>
      <c r="CR9" s="19">
        <f t="shared" si="10"/>
        <v>0</v>
      </c>
    </row>
    <row r="10" spans="1:96" s="9" customFormat="1" ht="12.75" customHeight="1">
      <c r="A10" s="20"/>
      <c r="B10" s="36"/>
      <c r="C10" s="34"/>
      <c r="D10" s="5"/>
      <c r="E10" s="5"/>
      <c r="F10" s="5"/>
      <c r="G10" s="5" t="s">
        <v>95</v>
      </c>
      <c r="H10" s="5" t="s">
        <v>95</v>
      </c>
      <c r="I10" s="5" t="s">
        <v>96</v>
      </c>
      <c r="J10" s="5"/>
      <c r="K10" s="5"/>
      <c r="L10" s="5" t="s">
        <v>95</v>
      </c>
      <c r="M10" s="5" t="s">
        <v>95</v>
      </c>
      <c r="N10" s="5" t="s">
        <v>96</v>
      </c>
      <c r="O10" s="5"/>
      <c r="P10" s="5"/>
      <c r="Q10" s="5"/>
      <c r="R10" s="5" t="s">
        <v>95</v>
      </c>
      <c r="S10" s="5" t="s">
        <v>96</v>
      </c>
      <c r="T10" s="5"/>
      <c r="U10" s="5"/>
      <c r="V10" s="5" t="s">
        <v>94</v>
      </c>
      <c r="W10" s="5" t="s">
        <v>95</v>
      </c>
      <c r="X10" s="5" t="s">
        <v>96</v>
      </c>
      <c r="Y10" s="5"/>
      <c r="Z10" s="5"/>
      <c r="AA10" s="5" t="s">
        <v>94</v>
      </c>
      <c r="AB10" s="5" t="s">
        <v>95</v>
      </c>
      <c r="AC10" s="5" t="s">
        <v>96</v>
      </c>
      <c r="AD10" s="5"/>
      <c r="AE10" s="5"/>
      <c r="AF10" s="5" t="s">
        <v>95</v>
      </c>
      <c r="AG10" s="5" t="s">
        <v>95</v>
      </c>
      <c r="AH10" s="5" t="s">
        <v>96</v>
      </c>
      <c r="AI10" s="5"/>
      <c r="AJ10" s="5"/>
      <c r="AK10" s="33"/>
      <c r="AL10" s="5"/>
      <c r="AM10" s="5"/>
      <c r="AN10" s="5"/>
      <c r="AO10" s="6">
        <f>COUNTIF(D10:J10,"*M12*")*12+COUNTIF(D10:J10,"*M8*")*8+COUNTIF(D10:J10,"*M4*")*4+COUNTIF(D10:J10,"*D8*")*8+COUNTIF(D10:J10,"*D4*")*4+COUNTIF(D10:J10,"*N12*")*12+COUNTIF(D10:J10,"*N8*")*8+COUNTIF(D10:J10,"*N4*")*4</f>
        <v>36</v>
      </c>
      <c r="AP10" s="6">
        <f>COUNTIF(K10:Q10,"*M12*")*12+COUNTIF(K10:Q10,"*M8*")*8+COUNTIF(K10:Q10,"*M4*")*4+COUNTIF(K10:Q10,"*D8*")*8+COUNTIF(K10:Q10,"*D4*")*4+COUNTIF(K10:Q10,"*N12*")*12+COUNTIF(K10:Q10,"*N8*")*8+COUNTIF(K10:Q10,"*N4*")*4</f>
        <v>36</v>
      </c>
      <c r="AQ10" s="6">
        <f>COUNTIF(R10:X10,"*M12*")*12+COUNTIF(R10:X10,"*M8*")*8+COUNTIF(R10:X10,"*M4*")*4+COUNTIF(R10:X10,"*D8*")*8+COUNTIF(R10:X10,"*D4*")*4+COUNTIF(R10:X10,"*N12*")*12+COUNTIF(R10:X10,"*N8*")*8+COUNTIF(R10:X10,"*N4*")*4</f>
        <v>56</v>
      </c>
      <c r="AR10" s="6">
        <f>COUNTIF(Y10:AE10,"*M12*")*12+COUNTIF(Y10:AE10,"*M8*")*8+COUNTIF(Y10:AE10,"*M4*")*4+COUNTIF(Y10:AE10,"*D8*")*8+COUNTIF(Y10:AE10,"*D4*")*4+COUNTIF(Y10:AE10,"*N12*")*12+COUNTIF(Y10:AE10,"*N8*")*8+COUNTIF(Y10:AE10,"*N4*")*4</f>
        <v>32</v>
      </c>
      <c r="AS10" s="6">
        <f>COUNTIF(AF10:AL10,"*M12*")*12+COUNTIF(AF10:AL10,"*M8*")*8+COUNTIF(AF10:AL10,"*M4*")*4+COUNTIF(AF10:AL10,"*D8*")*8+COUNTIF(AF10:AL10,"*D4*")*4+COUNTIF(AF10:AL10,"*N12*")*12+COUNTIF(AF10:AL10,"*N8*")*8+COUNTIF(AF10:AL10,"*N4*")*4</f>
        <v>36</v>
      </c>
      <c r="AT10" s="16">
        <f>MAX(AO10:AS10)</f>
        <v>56</v>
      </c>
      <c r="AU10" s="17" t="str">
        <f>IF(OR(ISNUMBER(FIND({"M";"N";"D"},D10))),"1","")</f>
        <v/>
      </c>
      <c r="AV10" s="17" t="str">
        <f>IF(OR(ISNUMBER(FIND({"M";"N";"D"},E10))),"1","")</f>
        <v/>
      </c>
      <c r="AW10" s="17" t="str">
        <f>IF(OR(ISNUMBER(FIND({"M";"N";"D"},F10))),"1","")</f>
        <v/>
      </c>
      <c r="AX10" s="17" t="str">
        <f>IF(OR(ISNUMBER(FIND({"M";"N";"D"},G10))),"1","")</f>
        <v>1</v>
      </c>
      <c r="AY10" s="17" t="str">
        <f>IF(OR(ISNUMBER(FIND({"M";"N";"D"},H10))),"1","")</f>
        <v>1</v>
      </c>
      <c r="AZ10" s="17" t="str">
        <f>IF(OR(ISNUMBER(FIND({"M";"N";"D"},I10))),"1","")</f>
        <v>1</v>
      </c>
      <c r="BA10" s="17" t="str">
        <f>IF(OR(ISNUMBER(FIND({"M";"N";"D"},J10))),"1","")</f>
        <v/>
      </c>
      <c r="BB10" s="17" t="str">
        <f>IF(OR(ISNUMBER(FIND({"M";"N";"D"},K10))),"1","")</f>
        <v/>
      </c>
      <c r="BC10" s="17" t="str">
        <f>IF(OR(ISNUMBER(FIND({"M";"N";"D"},L10))),"1","")</f>
        <v>1</v>
      </c>
      <c r="BD10" s="17" t="str">
        <f>IF(OR(ISNUMBER(FIND({"M";"N";"D"},M10))),"1","")</f>
        <v>1</v>
      </c>
      <c r="BE10" s="17" t="str">
        <f>IF(OR(ISNUMBER(FIND({"M";"N";"D"},N10))),"1","")</f>
        <v>1</v>
      </c>
      <c r="BF10" s="17" t="str">
        <f>IF(OR(ISNUMBER(FIND({"M";"N";"D"},O10))),"1","")</f>
        <v/>
      </c>
      <c r="BG10" s="17" t="str">
        <f>IF(OR(ISNUMBER(FIND({"M";"N";"D"},P10))),"1","")</f>
        <v/>
      </c>
      <c r="BH10" s="17" t="str">
        <f>IF(OR(ISNUMBER(FIND({"M";"N";"D"},Q10))),"1","")</f>
        <v/>
      </c>
      <c r="BI10" s="17" t="str">
        <f>IF(OR(ISNUMBER(FIND({"M";"N";"D"},R10))),"1","")</f>
        <v>1</v>
      </c>
      <c r="BJ10" s="17" t="str">
        <f>IF(OR(ISNUMBER(FIND({"M";"N";"D"},S10))),"1","")</f>
        <v>1</v>
      </c>
      <c r="BK10" s="17" t="str">
        <f>IF(OR(ISNUMBER(FIND({"M";"N";"D"},T10))),"1","")</f>
        <v/>
      </c>
      <c r="BL10" s="17" t="str">
        <f>IF(OR(ISNUMBER(FIND({"M";"N";"D"},U10))),"1","")</f>
        <v/>
      </c>
      <c r="BM10" s="17" t="str">
        <f>IF(OR(ISNUMBER(FIND({"M";"N";"D"},V10))),"1","")</f>
        <v>1</v>
      </c>
      <c r="BN10" s="17" t="str">
        <f>IF(OR(ISNUMBER(FIND({"M";"N";"D"},W10))),"1","")</f>
        <v>1</v>
      </c>
      <c r="BO10" s="17" t="str">
        <f>IF(OR(ISNUMBER(FIND({"M";"N";"D"},X10))),"1","")</f>
        <v>1</v>
      </c>
      <c r="BP10" s="17" t="str">
        <f>IF(OR(ISNUMBER(FIND({"M";"N";"D"},Y10))),"1","")</f>
        <v/>
      </c>
      <c r="BQ10" s="17" t="str">
        <f>IF(OR(ISNUMBER(FIND({"M";"N";"D"},Z10))),"1","")</f>
        <v/>
      </c>
      <c r="BR10" s="17" t="str">
        <f>IF(OR(ISNUMBER(FIND({"M";"N";"D"},AA10))),"1","")</f>
        <v>1</v>
      </c>
      <c r="BS10" s="17" t="str">
        <f>IF(OR(ISNUMBER(FIND({"M";"N";"D"},AB10))),"1","")</f>
        <v>1</v>
      </c>
      <c r="BT10" s="17" t="str">
        <f>IF(OR(ISNUMBER(FIND({"M";"N";"D"},AC10))),"1","")</f>
        <v>1</v>
      </c>
      <c r="BU10" s="17" t="str">
        <f>IF(OR(ISNUMBER(FIND({"M";"N";"D"},AD10))),"1","")</f>
        <v/>
      </c>
      <c r="BV10" s="17" t="str">
        <f>IF(OR(ISNUMBER(FIND({"M";"N";"D"},AE10))),"1","")</f>
        <v/>
      </c>
      <c r="BW10" s="17" t="str">
        <f>IF(OR(ISNUMBER(FIND({"M";"N";"D"},AF10))),"1","")</f>
        <v>1</v>
      </c>
      <c r="BX10" s="17" t="str">
        <f>IF(OR(ISNUMBER(FIND({"M";"N";"D"},AG10))),"1","")</f>
        <v>1</v>
      </c>
      <c r="BY10" s="17" t="str">
        <f>IF(OR(ISNUMBER(FIND({"M";"N";"D"},AH10))),"1","")</f>
        <v>1</v>
      </c>
      <c r="BZ10" s="17" t="str">
        <f>IF(OR(ISNUMBER(FIND({"M";"N";"D"},AI10))),"1","")</f>
        <v/>
      </c>
      <c r="CA10" s="17" t="str">
        <f>IF(OR(ISNUMBER(FIND({"M";"N";"D"},AJ10))),"1","")</f>
        <v/>
      </c>
      <c r="CB10" s="17" t="str">
        <f>IF(OR(ISNUMBER(FIND({"M";"N";"D"},AK10))),"1","")</f>
        <v/>
      </c>
      <c r="CC10" s="17" t="str">
        <f>IF(OR(ISNUMBER(FIND({"M";"N";"D"},AL10))),"1","")</f>
        <v/>
      </c>
      <c r="CD10" s="17" t="str">
        <f>IF(OR(ISNUMBER(FIND({"M";"N";"D"},AM10))),"1","")</f>
        <v/>
      </c>
      <c r="CE10" s="17" t="str">
        <f>IF(OR(ISNUMBER(FIND({"M";"N";"D"},AN10))),"1","")</f>
        <v/>
      </c>
      <c r="CF10" s="16">
        <f t="array" ref="CF10">MAX(FREQUENCY(IF(AU10:CE10&lt;&gt;"",COLUMN(AU10:CE10)),IF(AU10:CE10="",COLUMN(AU10:CE10))))</f>
        <v>3</v>
      </c>
      <c r="CG10" s="7"/>
      <c r="CH10" s="18">
        <f>ROUNDDOWN(CK10*8+CL10*12+CM10*12,0)</f>
        <v>196</v>
      </c>
      <c r="CI10" s="8">
        <v>168</v>
      </c>
      <c r="CJ10" s="18">
        <f>CH10+SUM(CN10:CR10)*8-CI10</f>
        <v>28</v>
      </c>
      <c r="CK10" s="19">
        <f>COUNTIF(D10:AN10,"*D8*")*1+COUNTIF(D10:AN10,"*D4*")*0.5</f>
        <v>2</v>
      </c>
      <c r="CL10" s="30">
        <f>COUNTIF(D10:AN10,"*M12*")*1+COUNTIF(D10:AN10,"*M8*")*(8/12)+COUNTIF(D10:AN10,"*M4*")*(4/12)</f>
        <v>9</v>
      </c>
      <c r="CM10" s="30">
        <f>ROUND(COUNTIF(D10:AN10,"*N12*")*1+COUNTIF(D10:AN10,"*N8*")*(8/12)+COUNTIF(D10:AN10,"*N4*")*(4/12),1)</f>
        <v>6</v>
      </c>
      <c r="CN10" s="19">
        <f>COUNTIF(D10:AN10,"*A8*")*1+COUNTIF(D10:AN10,"*A4*")*0.5</f>
        <v>0</v>
      </c>
      <c r="CO10" s="19">
        <f>COUNTIF(D10:AN10,"*S8*")*1+COUNTIF(D10:AN10,"*S4*")*0.5</f>
        <v>0</v>
      </c>
      <c r="CP10" s="19">
        <f>COUNTIF(D10:AN10,"*P8*")*1+COUNTIF(D10:AN10,"*P4*")*0.5</f>
        <v>0</v>
      </c>
      <c r="CQ10" s="19">
        <f>COUNTIF(D10:AN10,"*O8*")*1+COUNTIF(D10:AN10,"*O4*")*0.5</f>
        <v>0</v>
      </c>
      <c r="CR10" s="19">
        <f>COUNTIF(D10:AN10,"*V8*")*1+COUNTIF(D10:AN10,"*V4*")*0.5</f>
        <v>0</v>
      </c>
    </row>
    <row r="11" spans="1:96" s="9" customFormat="1" ht="12.75">
      <c r="A11" s="20"/>
      <c r="B11" s="36"/>
      <c r="C11" s="21"/>
      <c r="D11" s="5"/>
      <c r="E11" s="5"/>
      <c r="F11" s="5"/>
      <c r="G11" s="5" t="s">
        <v>95</v>
      </c>
      <c r="H11" s="5" t="s">
        <v>95</v>
      </c>
      <c r="I11" s="5" t="s">
        <v>95</v>
      </c>
      <c r="J11" s="5" t="s">
        <v>96</v>
      </c>
      <c r="K11" s="5"/>
      <c r="L11" s="5"/>
      <c r="M11" s="5"/>
      <c r="N11" s="5" t="s">
        <v>95</v>
      </c>
      <c r="O11" s="5" t="s">
        <v>96</v>
      </c>
      <c r="P11" s="5"/>
      <c r="Q11" s="5"/>
      <c r="R11" s="5"/>
      <c r="S11" s="5" t="s">
        <v>95</v>
      </c>
      <c r="T11" s="5" t="s">
        <v>96</v>
      </c>
      <c r="U11" s="5"/>
      <c r="V11" s="5"/>
      <c r="W11" s="5" t="s">
        <v>94</v>
      </c>
      <c r="X11" s="5" t="s">
        <v>95</v>
      </c>
      <c r="Y11" s="5" t="s">
        <v>96</v>
      </c>
      <c r="Z11" s="5"/>
      <c r="AA11" s="5"/>
      <c r="AB11" s="5" t="s">
        <v>94</v>
      </c>
      <c r="AC11" s="5" t="s">
        <v>95</v>
      </c>
      <c r="AD11" s="5" t="s">
        <v>96</v>
      </c>
      <c r="AE11" s="5"/>
      <c r="AF11" s="5"/>
      <c r="AG11" s="5" t="s">
        <v>95</v>
      </c>
      <c r="AH11" s="5" t="s">
        <v>95</v>
      </c>
      <c r="AI11" s="5" t="s">
        <v>96</v>
      </c>
      <c r="AJ11" s="5"/>
      <c r="AK11" s="33"/>
      <c r="AL11" s="5"/>
      <c r="AM11" s="5"/>
      <c r="AN11" s="5"/>
      <c r="AO11" s="6">
        <f>COUNTIF(D11:J11,"*M12*")*12+COUNTIF(D11:J11,"*M8*")*8+COUNTIF(D11:J11,"*M4*")*4+COUNTIF(D11:J11,"*D8*")*8+COUNTIF(D11:J11,"*D4*")*4+COUNTIF(D11:J11,"*N12*")*12+COUNTIF(D11:J11,"*N8*")*8+COUNTIF(D11:J11,"*N4*")*4</f>
        <v>48</v>
      </c>
      <c r="AP11" s="6">
        <f>COUNTIF(K11:Q11,"*M12*")*12+COUNTIF(K11:Q11,"*M8*")*8+COUNTIF(K11:Q11,"*M4*")*4+COUNTIF(K11:Q11,"*D8*")*8+COUNTIF(K11:Q11,"*D4*")*4+COUNTIF(K11:Q11,"*N12*")*12+COUNTIF(K11:Q11,"*N8*")*8+COUNTIF(K11:Q11,"*N4*")*4</f>
        <v>24</v>
      </c>
      <c r="AQ11" s="6">
        <f>COUNTIF(R11:X11,"*M12*")*12+COUNTIF(R11:X11,"*M8*")*8+COUNTIF(R11:X11,"*M4*")*4+COUNTIF(R11:X11,"*D8*")*8+COUNTIF(R11:X11,"*D4*")*4+COUNTIF(R11:X11,"*N12*")*12+COUNTIF(R11:X11,"*N8*")*8+COUNTIF(R11:X11,"*N4*")*4</f>
        <v>44</v>
      </c>
      <c r="AR11" s="6">
        <f>COUNTIF(Y11:AE11,"*M12*")*12+COUNTIF(Y11:AE11,"*M8*")*8+COUNTIF(Y11:AE11,"*M4*")*4+COUNTIF(Y11:AE11,"*D8*")*8+COUNTIF(Y11:AE11,"*D4*")*4+COUNTIF(Y11:AE11,"*N12*")*12+COUNTIF(Y11:AE11,"*N8*")*8+COUNTIF(Y11:AE11,"*N4*")*4</f>
        <v>44</v>
      </c>
      <c r="AS11" s="6">
        <f>COUNTIF(AF11:AL11,"*M12*")*12+COUNTIF(AF11:AL11,"*M8*")*8+COUNTIF(AF11:AL11,"*M4*")*4+COUNTIF(AF11:AL11,"*D8*")*8+COUNTIF(AF11:AL11,"*D4*")*4+COUNTIF(AF11:AL11,"*N12*")*12+COUNTIF(AF11:AL11,"*N8*")*8+COUNTIF(AF11:AL11,"*N4*")*4</f>
        <v>36</v>
      </c>
      <c r="AT11" s="16">
        <f>MAX(AO11:AS11)</f>
        <v>48</v>
      </c>
      <c r="AU11" s="17" t="str">
        <f>IF(OR(ISNUMBER(FIND({"M";"N";"D"},D11))),"1","")</f>
        <v/>
      </c>
      <c r="AV11" s="17" t="str">
        <f>IF(OR(ISNUMBER(FIND({"M";"N";"D"},E11))),"1","")</f>
        <v/>
      </c>
      <c r="AW11" s="17" t="str">
        <f>IF(OR(ISNUMBER(FIND({"M";"N";"D"},F11))),"1","")</f>
        <v/>
      </c>
      <c r="AX11" s="17" t="str">
        <f>IF(OR(ISNUMBER(FIND({"M";"N";"D"},G11))),"1","")</f>
        <v>1</v>
      </c>
      <c r="AY11" s="17" t="str">
        <f>IF(OR(ISNUMBER(FIND({"M";"N";"D"},H11))),"1","")</f>
        <v>1</v>
      </c>
      <c r="AZ11" s="17" t="str">
        <f>IF(OR(ISNUMBER(FIND({"M";"N";"D"},I11))),"1","")</f>
        <v>1</v>
      </c>
      <c r="BA11" s="17" t="str">
        <f>IF(OR(ISNUMBER(FIND({"M";"N";"D"},J11))),"1","")</f>
        <v>1</v>
      </c>
      <c r="BB11" s="17" t="str">
        <f>IF(OR(ISNUMBER(FIND({"M";"N";"D"},K11))),"1","")</f>
        <v/>
      </c>
      <c r="BC11" s="17" t="str">
        <f>IF(OR(ISNUMBER(FIND({"M";"N";"D"},L11))),"1","")</f>
        <v/>
      </c>
      <c r="BD11" s="17" t="str">
        <f>IF(OR(ISNUMBER(FIND({"M";"N";"D"},M11))),"1","")</f>
        <v/>
      </c>
      <c r="BE11" s="17" t="str">
        <f>IF(OR(ISNUMBER(FIND({"M";"N";"D"},N11))),"1","")</f>
        <v>1</v>
      </c>
      <c r="BF11" s="17" t="str">
        <f>IF(OR(ISNUMBER(FIND({"M";"N";"D"},O11))),"1","")</f>
        <v>1</v>
      </c>
      <c r="BG11" s="17" t="str">
        <f>IF(OR(ISNUMBER(FIND({"M";"N";"D"},P11))),"1","")</f>
        <v/>
      </c>
      <c r="BH11" s="17" t="str">
        <f>IF(OR(ISNUMBER(FIND({"M";"N";"D"},Q11))),"1","")</f>
        <v/>
      </c>
      <c r="BI11" s="17" t="str">
        <f>IF(OR(ISNUMBER(FIND({"M";"N";"D"},R11))),"1","")</f>
        <v/>
      </c>
      <c r="BJ11" s="17" t="str">
        <f>IF(OR(ISNUMBER(FIND({"M";"N";"D"},S11))),"1","")</f>
        <v>1</v>
      </c>
      <c r="BK11" s="17" t="str">
        <f>IF(OR(ISNUMBER(FIND({"M";"N";"D"},T11))),"1","")</f>
        <v>1</v>
      </c>
      <c r="BL11" s="17" t="str">
        <f>IF(OR(ISNUMBER(FIND({"M";"N";"D"},U11))),"1","")</f>
        <v/>
      </c>
      <c r="BM11" s="17" t="str">
        <f>IF(OR(ISNUMBER(FIND({"M";"N";"D"},V11))),"1","")</f>
        <v/>
      </c>
      <c r="BN11" s="17" t="str">
        <f>IF(OR(ISNUMBER(FIND({"M";"N";"D"},W11))),"1","")</f>
        <v>1</v>
      </c>
      <c r="BO11" s="17" t="str">
        <f>IF(OR(ISNUMBER(FIND({"M";"N";"D"},X11))),"1","")</f>
        <v>1</v>
      </c>
      <c r="BP11" s="17" t="str">
        <f>IF(OR(ISNUMBER(FIND({"M";"N";"D"},Y11))),"1","")</f>
        <v>1</v>
      </c>
      <c r="BQ11" s="17" t="str">
        <f>IF(OR(ISNUMBER(FIND({"M";"N";"D"},Z11))),"1","")</f>
        <v/>
      </c>
      <c r="BR11" s="17" t="str">
        <f>IF(OR(ISNUMBER(FIND({"M";"N";"D"},AA11))),"1","")</f>
        <v/>
      </c>
      <c r="BS11" s="17" t="str">
        <f>IF(OR(ISNUMBER(FIND({"M";"N";"D"},AB11))),"1","")</f>
        <v>1</v>
      </c>
      <c r="BT11" s="17" t="str">
        <f>IF(OR(ISNUMBER(FIND({"M";"N";"D"},AC11))),"1","")</f>
        <v>1</v>
      </c>
      <c r="BU11" s="17" t="str">
        <f>IF(OR(ISNUMBER(FIND({"M";"N";"D"},AD11))),"1","")</f>
        <v>1</v>
      </c>
      <c r="BV11" s="17" t="str">
        <f>IF(OR(ISNUMBER(FIND({"M";"N";"D"},AE11))),"1","")</f>
        <v/>
      </c>
      <c r="BW11" s="17" t="str">
        <f>IF(OR(ISNUMBER(FIND({"M";"N";"D"},AF11))),"1","")</f>
        <v/>
      </c>
      <c r="BX11" s="17" t="str">
        <f>IF(OR(ISNUMBER(FIND({"M";"N";"D"},AG11))),"1","")</f>
        <v>1</v>
      </c>
      <c r="BY11" s="17" t="str">
        <f>IF(OR(ISNUMBER(FIND({"M";"N";"D"},AH11))),"1","")</f>
        <v>1</v>
      </c>
      <c r="BZ11" s="17" t="str">
        <f>IF(OR(ISNUMBER(FIND({"M";"N";"D"},AI11))),"1","")</f>
        <v>1</v>
      </c>
      <c r="CA11" s="17" t="str">
        <f>IF(OR(ISNUMBER(FIND({"M";"N";"D"},AJ11))),"1","")</f>
        <v/>
      </c>
      <c r="CB11" s="17" t="str">
        <f>IF(OR(ISNUMBER(FIND({"M";"N";"D"},AK11))),"1","")</f>
        <v/>
      </c>
      <c r="CC11" s="17" t="str">
        <f>IF(OR(ISNUMBER(FIND({"M";"N";"D"},AL11))),"1","")</f>
        <v/>
      </c>
      <c r="CD11" s="17" t="str">
        <f>IF(OR(ISNUMBER(FIND({"M";"N";"D"},AM11))),"1","")</f>
        <v/>
      </c>
      <c r="CE11" s="17" t="str">
        <f>IF(OR(ISNUMBER(FIND({"M";"N";"D"},AN11))),"1","")</f>
        <v/>
      </c>
      <c r="CF11" s="16">
        <f t="array" ref="CF11">MAX(FREQUENCY(IF(AU11:CE11&lt;&gt;"",COLUMN(AU11:CE11)),IF(AU11:CE11="",COLUMN(AU11:CE11))))</f>
        <v>4</v>
      </c>
      <c r="CG11" s="7"/>
      <c r="CH11" s="18">
        <f>ROUNDDOWN(CK11*8+CL11*12+CM11*12,0)</f>
        <v>196</v>
      </c>
      <c r="CI11" s="8">
        <v>168</v>
      </c>
      <c r="CJ11" s="18">
        <f>CH11+SUM(CN11:CR11)*8-CI11</f>
        <v>28</v>
      </c>
      <c r="CK11" s="19">
        <f>COUNTIF(D11:AN11,"*D8*")*1+COUNTIF(D11:AN11,"*D4*")*0.5</f>
        <v>2</v>
      </c>
      <c r="CL11" s="30">
        <f>COUNTIF(D11:AN11,"*M12*")*1+COUNTIF(D11:AN11,"*M8*")*(8/12)+COUNTIF(D11:AN11,"*M4*")*(4/12)</f>
        <v>9</v>
      </c>
      <c r="CM11" s="30">
        <f>ROUND(COUNTIF(D11:AN11,"*N12*")*1+COUNTIF(D11:AN11,"*N8*")*(8/12)+COUNTIF(D11:AN11,"*N4*")*(4/12),1)</f>
        <v>6</v>
      </c>
      <c r="CN11" s="19">
        <f>COUNTIF(D11:AN11,"*A8*")*1+COUNTIF(D11:AN11,"*A4*")*0.5</f>
        <v>0</v>
      </c>
      <c r="CO11" s="19">
        <f>COUNTIF(D11:AN11,"*S8*")*1+COUNTIF(D11:AN11,"*S4*")*0.5</f>
        <v>0</v>
      </c>
      <c r="CP11" s="19">
        <f>COUNTIF(D11:AN11,"*P8*")*1+COUNTIF(D11:AN11,"*P4*")*0.5</f>
        <v>0</v>
      </c>
      <c r="CQ11" s="19">
        <f>COUNTIF(D11:AN11,"*O8*")*1+COUNTIF(D11:AN11,"*O4*")*0.5</f>
        <v>0</v>
      </c>
      <c r="CR11" s="19">
        <f>COUNTIF(D11:AN11,"*V8*")*1+COUNTIF(D11:AN11,"*V4*")*0.5</f>
        <v>0</v>
      </c>
    </row>
    <row r="12" spans="1:96" s="9" customFormat="1" ht="12.75">
      <c r="A12" s="20"/>
      <c r="B12" s="36"/>
      <c r="C12" s="34"/>
      <c r="D12" s="5"/>
      <c r="E12" s="5"/>
      <c r="F12" s="5" t="s">
        <v>96</v>
      </c>
      <c r="G12" s="5"/>
      <c r="H12" s="5"/>
      <c r="I12" s="5" t="s">
        <v>94</v>
      </c>
      <c r="J12" s="5" t="s">
        <v>95</v>
      </c>
      <c r="K12" s="5" t="s">
        <v>96</v>
      </c>
      <c r="L12" s="5" t="s">
        <v>96</v>
      </c>
      <c r="M12" s="5"/>
      <c r="N12" s="5"/>
      <c r="O12" s="5" t="s">
        <v>95</v>
      </c>
      <c r="P12" s="5" t="s">
        <v>96</v>
      </c>
      <c r="Q12" s="5"/>
      <c r="R12" s="5"/>
      <c r="S12" s="5"/>
      <c r="T12" s="5" t="s">
        <v>95</v>
      </c>
      <c r="U12" s="5" t="s">
        <v>96</v>
      </c>
      <c r="V12" s="5"/>
      <c r="W12" s="5"/>
      <c r="X12" s="5" t="s">
        <v>94</v>
      </c>
      <c r="Y12" s="5" t="s">
        <v>95</v>
      </c>
      <c r="Z12" s="5" t="s">
        <v>96</v>
      </c>
      <c r="AA12" s="5"/>
      <c r="AB12" s="5"/>
      <c r="AC12" s="5" t="s">
        <v>94</v>
      </c>
      <c r="AD12" s="5" t="s">
        <v>95</v>
      </c>
      <c r="AE12" s="5" t="s">
        <v>96</v>
      </c>
      <c r="AF12" s="5"/>
      <c r="AG12" s="5"/>
      <c r="AH12" s="5" t="s">
        <v>94</v>
      </c>
      <c r="AI12" s="5" t="s">
        <v>95</v>
      </c>
      <c r="AJ12" s="5"/>
      <c r="AK12" s="33"/>
      <c r="AL12" s="5"/>
      <c r="AM12" s="5"/>
      <c r="AN12" s="5"/>
      <c r="AO12" s="6">
        <f t="shared" ref="AO12" si="16">COUNTIF(D12:J12,"*M12*")*12+COUNTIF(D12:J12,"*M8*")*8+COUNTIF(D12:J12,"*M4*")*4+COUNTIF(D12:J12,"*D8*")*8+COUNTIF(D12:J12,"*D4*")*4+COUNTIF(D12:J12,"*N12*")*12+COUNTIF(D12:J12,"*N8*")*8+COUNTIF(D12:J12,"*N4*")*4</f>
        <v>32</v>
      </c>
      <c r="AP12" s="6">
        <f t="shared" ref="AP12" si="17">COUNTIF(K12:Q12,"*M12*")*12+COUNTIF(K12:Q12,"*M8*")*8+COUNTIF(K12:Q12,"*M4*")*4+COUNTIF(K12:Q12,"*D8*")*8+COUNTIF(K12:Q12,"*D4*")*4+COUNTIF(K12:Q12,"*N12*")*12+COUNTIF(K12:Q12,"*N8*")*8+COUNTIF(K12:Q12,"*N4*")*4</f>
        <v>48</v>
      </c>
      <c r="AQ12" s="6">
        <f t="shared" ref="AQ12" si="18">COUNTIF(R12:X12,"*M12*")*12+COUNTIF(R12:X12,"*M8*")*8+COUNTIF(R12:X12,"*M4*")*4+COUNTIF(R12:X12,"*D8*")*8+COUNTIF(R12:X12,"*D4*")*4+COUNTIF(R12:X12,"*N12*")*12+COUNTIF(R12:X12,"*N8*")*8+COUNTIF(R12:X12,"*N4*")*4</f>
        <v>32</v>
      </c>
      <c r="AR12" s="6">
        <f t="shared" ref="AR12" si="19">COUNTIF(Y12:AE12,"*M12*")*12+COUNTIF(Y12:AE12,"*M8*")*8+COUNTIF(Y12:AE12,"*M4*")*4+COUNTIF(Y12:AE12,"*D8*")*8+COUNTIF(Y12:AE12,"*D4*")*4+COUNTIF(Y12:AE12,"*N12*")*12+COUNTIF(Y12:AE12,"*N8*")*8+COUNTIF(Y12:AE12,"*N4*")*4</f>
        <v>56</v>
      </c>
      <c r="AS12" s="6">
        <f t="shared" ref="AS12" si="20">COUNTIF(AF12:AL12,"*M12*")*12+COUNTIF(AF12:AL12,"*M8*")*8+COUNTIF(AF12:AL12,"*M4*")*4+COUNTIF(AF12:AL12,"*D8*")*8+COUNTIF(AF12:AL12,"*D4*")*4+COUNTIF(AF12:AL12,"*N12*")*12+COUNTIF(AF12:AL12,"*N8*")*8+COUNTIF(AF12:AL12,"*N4*")*4</f>
        <v>20</v>
      </c>
      <c r="AT12" s="16">
        <f t="shared" ref="AT12" si="21">MAX(AO12:AS12)</f>
        <v>56</v>
      </c>
      <c r="AU12" s="17" t="str">
        <f>IF(OR(ISNUMBER(FIND({"M";"N";"D"},D12))),"1","")</f>
        <v/>
      </c>
      <c r="AV12" s="17" t="str">
        <f>IF(OR(ISNUMBER(FIND({"M";"N";"D"},E12))),"1","")</f>
        <v/>
      </c>
      <c r="AW12" s="17" t="str">
        <f>IF(OR(ISNUMBER(FIND({"M";"N";"D"},F12))),"1","")</f>
        <v>1</v>
      </c>
      <c r="AX12" s="17" t="str">
        <f>IF(OR(ISNUMBER(FIND({"M";"N";"D"},G12))),"1","")</f>
        <v/>
      </c>
      <c r="AY12" s="17" t="str">
        <f>IF(OR(ISNUMBER(FIND({"M";"N";"D"},H12))),"1","")</f>
        <v/>
      </c>
      <c r="AZ12" s="17" t="str">
        <f>IF(OR(ISNUMBER(FIND({"M";"N";"D"},I12))),"1","")</f>
        <v>1</v>
      </c>
      <c r="BA12" s="17" t="str">
        <f>IF(OR(ISNUMBER(FIND({"M";"N";"D"},J12))),"1","")</f>
        <v>1</v>
      </c>
      <c r="BB12" s="17" t="str">
        <f>IF(OR(ISNUMBER(FIND({"M";"N";"D"},K12))),"1","")</f>
        <v>1</v>
      </c>
      <c r="BC12" s="17" t="str">
        <f>IF(OR(ISNUMBER(FIND({"M";"N";"D"},L12))),"1","")</f>
        <v>1</v>
      </c>
      <c r="BD12" s="17" t="str">
        <f>IF(OR(ISNUMBER(FIND({"M";"N";"D"},M12))),"1","")</f>
        <v/>
      </c>
      <c r="BE12" s="17" t="str">
        <f>IF(OR(ISNUMBER(FIND({"M";"N";"D"},N12))),"1","")</f>
        <v/>
      </c>
      <c r="BF12" s="17" t="str">
        <f>IF(OR(ISNUMBER(FIND({"M";"N";"D"},O12))),"1","")</f>
        <v>1</v>
      </c>
      <c r="BG12" s="17" t="str">
        <f>IF(OR(ISNUMBER(FIND({"M";"N";"D"},P12))),"1","")</f>
        <v>1</v>
      </c>
      <c r="BH12" s="17" t="str">
        <f>IF(OR(ISNUMBER(FIND({"M";"N";"D"},Q12))),"1","")</f>
        <v/>
      </c>
      <c r="BI12" s="17" t="str">
        <f>IF(OR(ISNUMBER(FIND({"M";"N";"D"},R12))),"1","")</f>
        <v/>
      </c>
      <c r="BJ12" s="17" t="str">
        <f>IF(OR(ISNUMBER(FIND({"M";"N";"D"},S12))),"1","")</f>
        <v/>
      </c>
      <c r="BK12" s="17" t="str">
        <f>IF(OR(ISNUMBER(FIND({"M";"N";"D"},T12))),"1","")</f>
        <v>1</v>
      </c>
      <c r="BL12" s="17" t="str">
        <f>IF(OR(ISNUMBER(FIND({"M";"N";"D"},U12))),"1","")</f>
        <v>1</v>
      </c>
      <c r="BM12" s="17" t="str">
        <f>IF(OR(ISNUMBER(FIND({"M";"N";"D"},V12))),"1","")</f>
        <v/>
      </c>
      <c r="BN12" s="17" t="str">
        <f>IF(OR(ISNUMBER(FIND({"M";"N";"D"},W12))),"1","")</f>
        <v/>
      </c>
      <c r="BO12" s="17" t="str">
        <f>IF(OR(ISNUMBER(FIND({"M";"N";"D"},X12))),"1","")</f>
        <v>1</v>
      </c>
      <c r="BP12" s="17" t="str">
        <f>IF(OR(ISNUMBER(FIND({"M";"N";"D"},Y12))),"1","")</f>
        <v>1</v>
      </c>
      <c r="BQ12" s="17" t="str">
        <f>IF(OR(ISNUMBER(FIND({"M";"N";"D"},Z12))),"1","")</f>
        <v>1</v>
      </c>
      <c r="BR12" s="17" t="str">
        <f>IF(OR(ISNUMBER(FIND({"M";"N";"D"},AA12))),"1","")</f>
        <v/>
      </c>
      <c r="BS12" s="17" t="str">
        <f>IF(OR(ISNUMBER(FIND({"M";"N";"D"},AB12))),"1","")</f>
        <v/>
      </c>
      <c r="BT12" s="17" t="str">
        <f>IF(OR(ISNUMBER(FIND({"M";"N";"D"},AC12))),"1","")</f>
        <v>1</v>
      </c>
      <c r="BU12" s="17" t="str">
        <f>IF(OR(ISNUMBER(FIND({"M";"N";"D"},AD12))),"1","")</f>
        <v>1</v>
      </c>
      <c r="BV12" s="17" t="str">
        <f>IF(OR(ISNUMBER(FIND({"M";"N";"D"},AE12))),"1","")</f>
        <v>1</v>
      </c>
      <c r="BW12" s="17" t="str">
        <f>IF(OR(ISNUMBER(FIND({"M";"N";"D"},AF12))),"1","")</f>
        <v/>
      </c>
      <c r="BX12" s="17" t="str">
        <f>IF(OR(ISNUMBER(FIND({"M";"N";"D"},AG12))),"1","")</f>
        <v/>
      </c>
      <c r="BY12" s="17" t="str">
        <f>IF(OR(ISNUMBER(FIND({"M";"N";"D"},AH12))),"1","")</f>
        <v>1</v>
      </c>
      <c r="BZ12" s="17" t="str">
        <f>IF(OR(ISNUMBER(FIND({"M";"N";"D"},AI12))),"1","")</f>
        <v>1</v>
      </c>
      <c r="CA12" s="17" t="str">
        <f>IF(OR(ISNUMBER(FIND({"M";"N";"D"},AJ12))),"1","")</f>
        <v/>
      </c>
      <c r="CB12" s="17" t="str">
        <f>IF(OR(ISNUMBER(FIND({"M";"N";"D"},AK12))),"1","")</f>
        <v/>
      </c>
      <c r="CC12" s="17" t="str">
        <f>IF(OR(ISNUMBER(FIND({"M";"N";"D"},AL12))),"1","")</f>
        <v/>
      </c>
      <c r="CD12" s="17" t="str">
        <f>IF(OR(ISNUMBER(FIND({"M";"N";"D"},AM12))),"1","")</f>
        <v/>
      </c>
      <c r="CE12" s="17" t="str">
        <f>IF(OR(ISNUMBER(FIND({"M";"N";"D"},AN12))),"1","")</f>
        <v/>
      </c>
      <c r="CF12" s="16">
        <f t="array" ref="CF12">MAX(FREQUENCY(IF(AU12:CE12&lt;&gt;"",COLUMN(AU12:CE12)),IF(AU12:CE12="",COLUMN(AU12:CE12))))</f>
        <v>4</v>
      </c>
      <c r="CG12" s="7"/>
      <c r="CH12" s="18">
        <f t="shared" ref="CH12" si="22">ROUNDDOWN(CK12*8+CL12*12+CM12*12,0)</f>
        <v>188</v>
      </c>
      <c r="CI12" s="8">
        <v>168</v>
      </c>
      <c r="CJ12" s="18">
        <f t="shared" ref="CJ12" si="23">CH12+SUM(CN12:CR12)*8-CI12</f>
        <v>20</v>
      </c>
      <c r="CK12" s="19">
        <f t="shared" ref="CK12" si="24">COUNTIF(D12:AN12,"*D8*")*1+COUNTIF(D12:AN12,"*D4*")*0.5</f>
        <v>4</v>
      </c>
      <c r="CL12" s="30">
        <f t="shared" ref="CL12" si="25">COUNTIF(D12:AN12,"*M12*")*1+COUNTIF(D12:AN12,"*M8*")*(8/12)+COUNTIF(D12:AN12,"*M4*")*(4/12)</f>
        <v>6</v>
      </c>
      <c r="CM12" s="30">
        <f t="shared" ref="CM12" si="26">ROUND(COUNTIF(D12:AN12,"*N12*")*1+COUNTIF(D12:AN12,"*N8*")*(8/12)+COUNTIF(D12:AN12,"*N4*")*(4/12),1)</f>
        <v>7</v>
      </c>
      <c r="CN12" s="19">
        <f t="shared" ref="CN12" si="27">COUNTIF(D12:AN12,"*A8*")*1+COUNTIF(D12:AN12,"*A4*")*0.5</f>
        <v>0</v>
      </c>
      <c r="CO12" s="19">
        <f t="shared" ref="CO12" si="28">COUNTIF(D12:AN12,"*S8*")*1+COUNTIF(D12:AN12,"*S4*")*0.5</f>
        <v>0</v>
      </c>
      <c r="CP12" s="19">
        <f t="shared" ref="CP12" si="29">COUNTIF(D12:AN12,"*P8*")*1+COUNTIF(D12:AN12,"*P4*")*0.5</f>
        <v>0</v>
      </c>
      <c r="CQ12" s="19">
        <f t="shared" ref="CQ12" si="30">COUNTIF(D12:AN12,"*O8*")*1+COUNTIF(D12:AN12,"*O4*")*0.5</f>
        <v>0</v>
      </c>
      <c r="CR12" s="19">
        <f t="shared" ref="CR12" si="31">COUNTIF(D12:AN12,"*V8*")*1+COUNTIF(D12:AN12,"*V4*")*0.5</f>
        <v>0</v>
      </c>
    </row>
    <row r="13" spans="1:96" s="9" customFormat="1" ht="12.75">
      <c r="A13" s="20"/>
      <c r="B13" s="36"/>
      <c r="C13" s="3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6">
        <f t="shared" si="0"/>
        <v>0</v>
      </c>
      <c r="AP13" s="6">
        <f t="shared" si="1"/>
        <v>0</v>
      </c>
      <c r="AQ13" s="6">
        <f t="shared" si="2"/>
        <v>0</v>
      </c>
      <c r="AR13" s="6">
        <f t="shared" si="3"/>
        <v>0</v>
      </c>
      <c r="AS13" s="6">
        <f t="shared" si="4"/>
        <v>0</v>
      </c>
      <c r="AT13" s="16">
        <f t="shared" si="11"/>
        <v>0</v>
      </c>
      <c r="AU13" s="17" t="str">
        <f>IF(OR(ISNUMBER(FIND({"M";"N";"D"},D13))),"1","")</f>
        <v/>
      </c>
      <c r="AV13" s="17" t="str">
        <f>IF(OR(ISNUMBER(FIND({"M";"N";"D"},E13))),"1","")</f>
        <v/>
      </c>
      <c r="AW13" s="17" t="str">
        <f>IF(OR(ISNUMBER(FIND({"M";"N";"D"},F13))),"1","")</f>
        <v/>
      </c>
      <c r="AX13" s="17" t="str">
        <f>IF(OR(ISNUMBER(FIND({"M";"N";"D"},G13))),"1","")</f>
        <v/>
      </c>
      <c r="AY13" s="17" t="str">
        <f>IF(OR(ISNUMBER(FIND({"M";"N";"D"},H13))),"1","")</f>
        <v/>
      </c>
      <c r="AZ13" s="17" t="str">
        <f>IF(OR(ISNUMBER(FIND({"M";"N";"D"},I13))),"1","")</f>
        <v/>
      </c>
      <c r="BA13" s="17" t="str">
        <f>IF(OR(ISNUMBER(FIND({"M";"N";"D"},J13))),"1","")</f>
        <v/>
      </c>
      <c r="BB13" s="17" t="str">
        <f>IF(OR(ISNUMBER(FIND({"M";"N";"D"},K13))),"1","")</f>
        <v/>
      </c>
      <c r="BC13" s="17" t="str">
        <f>IF(OR(ISNUMBER(FIND({"M";"N";"D"},L13))),"1","")</f>
        <v/>
      </c>
      <c r="BD13" s="17" t="str">
        <f>IF(OR(ISNUMBER(FIND({"M";"N";"D"},M13))),"1","")</f>
        <v/>
      </c>
      <c r="BE13" s="17" t="str">
        <f>IF(OR(ISNUMBER(FIND({"M";"N";"D"},N13))),"1","")</f>
        <v/>
      </c>
      <c r="BF13" s="17" t="str">
        <f>IF(OR(ISNUMBER(FIND({"M";"N";"D"},O13))),"1","")</f>
        <v/>
      </c>
      <c r="BG13" s="17" t="str">
        <f>IF(OR(ISNUMBER(FIND({"M";"N";"D"},P13))),"1","")</f>
        <v/>
      </c>
      <c r="BH13" s="17" t="str">
        <f>IF(OR(ISNUMBER(FIND({"M";"N";"D"},Q13))),"1","")</f>
        <v/>
      </c>
      <c r="BI13" s="17" t="str">
        <f>IF(OR(ISNUMBER(FIND({"M";"N";"D"},R13))),"1","")</f>
        <v/>
      </c>
      <c r="BJ13" s="17" t="str">
        <f>IF(OR(ISNUMBER(FIND({"M";"N";"D"},S13))),"1","")</f>
        <v/>
      </c>
      <c r="BK13" s="17" t="str">
        <f>IF(OR(ISNUMBER(FIND({"M";"N";"D"},T13))),"1","")</f>
        <v/>
      </c>
      <c r="BL13" s="17" t="str">
        <f>IF(OR(ISNUMBER(FIND({"M";"N";"D"},U13))),"1","")</f>
        <v/>
      </c>
      <c r="BM13" s="17" t="str">
        <f>IF(OR(ISNUMBER(FIND({"M";"N";"D"},V13))),"1","")</f>
        <v/>
      </c>
      <c r="BN13" s="17" t="str">
        <f>IF(OR(ISNUMBER(FIND({"M";"N";"D"},W13))),"1","")</f>
        <v/>
      </c>
      <c r="BO13" s="17" t="str">
        <f>IF(OR(ISNUMBER(FIND({"M";"N";"D"},X13))),"1","")</f>
        <v/>
      </c>
      <c r="BP13" s="17" t="str">
        <f>IF(OR(ISNUMBER(FIND({"M";"N";"D"},Y13))),"1","")</f>
        <v/>
      </c>
      <c r="BQ13" s="17" t="str">
        <f>IF(OR(ISNUMBER(FIND({"M";"N";"D"},Z13))),"1","")</f>
        <v/>
      </c>
      <c r="BR13" s="17" t="str">
        <f>IF(OR(ISNUMBER(FIND({"M";"N";"D"},AA13))),"1","")</f>
        <v/>
      </c>
      <c r="BS13" s="17" t="str">
        <f>IF(OR(ISNUMBER(FIND({"M";"N";"D"},AB13))),"1","")</f>
        <v/>
      </c>
      <c r="BT13" s="17" t="str">
        <f>IF(OR(ISNUMBER(FIND({"M";"N";"D"},AC13))),"1","")</f>
        <v/>
      </c>
      <c r="BU13" s="17" t="str">
        <f>IF(OR(ISNUMBER(FIND({"M";"N";"D"},AD13))),"1","")</f>
        <v/>
      </c>
      <c r="BV13" s="17" t="str">
        <f>IF(OR(ISNUMBER(FIND({"M";"N";"D"},AE13))),"1","")</f>
        <v/>
      </c>
      <c r="BW13" s="17" t="str">
        <f>IF(OR(ISNUMBER(FIND({"M";"N";"D"},AF13))),"1","")</f>
        <v/>
      </c>
      <c r="BX13" s="17" t="str">
        <f>IF(OR(ISNUMBER(FIND({"M";"N";"D"},AG13))),"1","")</f>
        <v/>
      </c>
      <c r="BY13" s="17" t="str">
        <f>IF(OR(ISNUMBER(FIND({"M";"N";"D"},AH13))),"1","")</f>
        <v/>
      </c>
      <c r="BZ13" s="17" t="str">
        <f>IF(OR(ISNUMBER(FIND({"M";"N";"D"},AI13))),"1","")</f>
        <v/>
      </c>
      <c r="CA13" s="17" t="str">
        <f>IF(OR(ISNUMBER(FIND({"M";"N";"D"},AJ13))),"1","")</f>
        <v/>
      </c>
      <c r="CB13" s="17" t="str">
        <f>IF(OR(ISNUMBER(FIND({"M";"N";"D"},AK13))),"1","")</f>
        <v/>
      </c>
      <c r="CC13" s="17" t="str">
        <f>IF(OR(ISNUMBER(FIND({"M";"N";"D"},AL13))),"1","")</f>
        <v/>
      </c>
      <c r="CD13" s="17" t="str">
        <f>IF(OR(ISNUMBER(FIND({"M";"N";"D"},AM13))),"1","")</f>
        <v/>
      </c>
      <c r="CE13" s="17" t="str">
        <f>IF(OR(ISNUMBER(FIND({"M";"N";"D"},AN13))),"1","")</f>
        <v/>
      </c>
      <c r="CF13" s="16">
        <f t="array" ref="CF13">MAX(FREQUENCY(IF(AU13:CE13&lt;&gt;"",COLUMN(AU13:CE13)),IF(AU13:CE13="",COLUMN(AU13:CE13))))</f>
        <v>0</v>
      </c>
      <c r="CG13" s="7"/>
      <c r="CH13" s="18">
        <f t="shared" si="12"/>
        <v>0</v>
      </c>
      <c r="CI13" s="8">
        <v>168</v>
      </c>
      <c r="CJ13" s="18">
        <f t="shared" si="5"/>
        <v>-168</v>
      </c>
      <c r="CK13" s="19">
        <f t="shared" si="13"/>
        <v>0</v>
      </c>
      <c r="CL13" s="30">
        <f t="shared" si="14"/>
        <v>0</v>
      </c>
      <c r="CM13" s="30">
        <f t="shared" si="15"/>
        <v>0</v>
      </c>
      <c r="CN13" s="19">
        <f t="shared" si="6"/>
        <v>0</v>
      </c>
      <c r="CO13" s="19">
        <f t="shared" si="7"/>
        <v>0</v>
      </c>
      <c r="CP13" s="19">
        <f t="shared" si="8"/>
        <v>0</v>
      </c>
      <c r="CQ13" s="19">
        <f t="shared" si="9"/>
        <v>0</v>
      </c>
      <c r="CR13" s="19">
        <f t="shared" si="10"/>
        <v>0</v>
      </c>
    </row>
    <row r="14" spans="1:96" s="9" customFormat="1" ht="12.75">
      <c r="A14" s="20"/>
      <c r="B14" s="36"/>
      <c r="C14" s="3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6">
        <f t="shared" si="0"/>
        <v>0</v>
      </c>
      <c r="AP14" s="6">
        <f t="shared" si="1"/>
        <v>0</v>
      </c>
      <c r="AQ14" s="6">
        <f t="shared" si="2"/>
        <v>0</v>
      </c>
      <c r="AR14" s="6">
        <f t="shared" si="3"/>
        <v>0</v>
      </c>
      <c r="AS14" s="6">
        <f t="shared" si="4"/>
        <v>0</v>
      </c>
      <c r="AT14" s="16">
        <f t="shared" si="11"/>
        <v>0</v>
      </c>
      <c r="AU14" s="17" t="str">
        <f>IF(OR(ISNUMBER(FIND({"M";"N";"D"},D14))),"1","")</f>
        <v/>
      </c>
      <c r="AV14" s="17" t="str">
        <f>IF(OR(ISNUMBER(FIND({"M";"N";"D"},E14))),"1","")</f>
        <v/>
      </c>
      <c r="AW14" s="17" t="str">
        <f>IF(OR(ISNUMBER(FIND({"M";"N";"D"},F14))),"1","")</f>
        <v/>
      </c>
      <c r="AX14" s="17" t="str">
        <f>IF(OR(ISNUMBER(FIND({"M";"N";"D"},G14))),"1","")</f>
        <v/>
      </c>
      <c r="AY14" s="17" t="str">
        <f>IF(OR(ISNUMBER(FIND({"M";"N";"D"},H14))),"1","")</f>
        <v/>
      </c>
      <c r="AZ14" s="17" t="str">
        <f>IF(OR(ISNUMBER(FIND({"M";"N";"D"},I14))),"1","")</f>
        <v/>
      </c>
      <c r="BA14" s="17" t="str">
        <f>IF(OR(ISNUMBER(FIND({"M";"N";"D"},J14))),"1","")</f>
        <v/>
      </c>
      <c r="BB14" s="17" t="str">
        <f>IF(OR(ISNUMBER(FIND({"M";"N";"D"},K14))),"1","")</f>
        <v/>
      </c>
      <c r="BC14" s="17" t="str">
        <f>IF(OR(ISNUMBER(FIND({"M";"N";"D"},L14))),"1","")</f>
        <v/>
      </c>
      <c r="BD14" s="17" t="str">
        <f>IF(OR(ISNUMBER(FIND({"M";"N";"D"},M14))),"1","")</f>
        <v/>
      </c>
      <c r="BE14" s="17" t="str">
        <f>IF(OR(ISNUMBER(FIND({"M";"N";"D"},N14))),"1","")</f>
        <v/>
      </c>
      <c r="BF14" s="17" t="str">
        <f>IF(OR(ISNUMBER(FIND({"M";"N";"D"},O14))),"1","")</f>
        <v/>
      </c>
      <c r="BG14" s="17" t="str">
        <f>IF(OR(ISNUMBER(FIND({"M";"N";"D"},P14))),"1","")</f>
        <v/>
      </c>
      <c r="BH14" s="17" t="str">
        <f>IF(OR(ISNUMBER(FIND({"M";"N";"D"},Q14))),"1","")</f>
        <v/>
      </c>
      <c r="BI14" s="17" t="str">
        <f>IF(OR(ISNUMBER(FIND({"M";"N";"D"},R14))),"1","")</f>
        <v/>
      </c>
      <c r="BJ14" s="17" t="str">
        <f>IF(OR(ISNUMBER(FIND({"M";"N";"D"},S14))),"1","")</f>
        <v/>
      </c>
      <c r="BK14" s="17" t="str">
        <f>IF(OR(ISNUMBER(FIND({"M";"N";"D"},T14))),"1","")</f>
        <v/>
      </c>
      <c r="BL14" s="17" t="str">
        <f>IF(OR(ISNUMBER(FIND({"M";"N";"D"},U14))),"1","")</f>
        <v/>
      </c>
      <c r="BM14" s="17" t="str">
        <f>IF(OR(ISNUMBER(FIND({"M";"N";"D"},V14))),"1","")</f>
        <v/>
      </c>
      <c r="BN14" s="17" t="str">
        <f>IF(OR(ISNUMBER(FIND({"M";"N";"D"},W14))),"1","")</f>
        <v/>
      </c>
      <c r="BO14" s="17" t="str">
        <f>IF(OR(ISNUMBER(FIND({"M";"N";"D"},X14))),"1","")</f>
        <v/>
      </c>
      <c r="BP14" s="17" t="str">
        <f>IF(OR(ISNUMBER(FIND({"M";"N";"D"},Y14))),"1","")</f>
        <v/>
      </c>
      <c r="BQ14" s="17" t="str">
        <f>IF(OR(ISNUMBER(FIND({"M";"N";"D"},Z14))),"1","")</f>
        <v/>
      </c>
      <c r="BR14" s="17" t="str">
        <f>IF(OR(ISNUMBER(FIND({"M";"N";"D"},AA14))),"1","")</f>
        <v/>
      </c>
      <c r="BS14" s="17" t="str">
        <f>IF(OR(ISNUMBER(FIND({"M";"N";"D"},AB14))),"1","")</f>
        <v/>
      </c>
      <c r="BT14" s="17" t="str">
        <f>IF(OR(ISNUMBER(FIND({"M";"N";"D"},AC14))),"1","")</f>
        <v/>
      </c>
      <c r="BU14" s="17" t="str">
        <f>IF(OR(ISNUMBER(FIND({"M";"N";"D"},AD14))),"1","")</f>
        <v/>
      </c>
      <c r="BV14" s="17" t="str">
        <f>IF(OR(ISNUMBER(FIND({"M";"N";"D"},AE14))),"1","")</f>
        <v/>
      </c>
      <c r="BW14" s="17" t="str">
        <f>IF(OR(ISNUMBER(FIND({"M";"N";"D"},AF14))),"1","")</f>
        <v/>
      </c>
      <c r="BX14" s="17" t="str">
        <f>IF(OR(ISNUMBER(FIND({"M";"N";"D"},AG14))),"1","")</f>
        <v/>
      </c>
      <c r="BY14" s="17" t="str">
        <f>IF(OR(ISNUMBER(FIND({"M";"N";"D"},AH14))),"1","")</f>
        <v/>
      </c>
      <c r="BZ14" s="17" t="str">
        <f>IF(OR(ISNUMBER(FIND({"M";"N";"D"},AI14))),"1","")</f>
        <v/>
      </c>
      <c r="CA14" s="17" t="str">
        <f>IF(OR(ISNUMBER(FIND({"M";"N";"D"},AJ14))),"1","")</f>
        <v/>
      </c>
      <c r="CB14" s="17" t="str">
        <f>IF(OR(ISNUMBER(FIND({"M";"N";"D"},AK14))),"1","")</f>
        <v/>
      </c>
      <c r="CC14" s="17" t="str">
        <f>IF(OR(ISNUMBER(FIND({"M";"N";"D"},AL14))),"1","")</f>
        <v/>
      </c>
      <c r="CD14" s="17" t="str">
        <f>IF(OR(ISNUMBER(FIND({"M";"N";"D"},AM14))),"1","")</f>
        <v/>
      </c>
      <c r="CE14" s="17" t="str">
        <f>IF(OR(ISNUMBER(FIND({"M";"N";"D"},AN14))),"1","")</f>
        <v/>
      </c>
      <c r="CF14" s="16">
        <f t="array" ref="CF14">MAX(FREQUENCY(IF(AU14:CE14&lt;&gt;"",COLUMN(AU14:CE14)),IF(AU14:CE14="",COLUMN(AU14:CE14))))</f>
        <v>0</v>
      </c>
      <c r="CG14" s="7"/>
      <c r="CH14" s="18">
        <f t="shared" si="12"/>
        <v>0</v>
      </c>
      <c r="CI14" s="8">
        <v>168</v>
      </c>
      <c r="CJ14" s="18">
        <f t="shared" si="5"/>
        <v>-168</v>
      </c>
      <c r="CK14" s="19">
        <f t="shared" si="13"/>
        <v>0</v>
      </c>
      <c r="CL14" s="30">
        <f t="shared" si="14"/>
        <v>0</v>
      </c>
      <c r="CM14" s="30">
        <f t="shared" si="15"/>
        <v>0</v>
      </c>
      <c r="CN14" s="19">
        <f t="shared" si="6"/>
        <v>0</v>
      </c>
      <c r="CO14" s="19">
        <f t="shared" si="7"/>
        <v>0</v>
      </c>
      <c r="CP14" s="19">
        <f t="shared" si="8"/>
        <v>0</v>
      </c>
      <c r="CQ14" s="19">
        <f t="shared" si="9"/>
        <v>0</v>
      </c>
      <c r="CR14" s="19">
        <f t="shared" si="10"/>
        <v>0</v>
      </c>
    </row>
    <row r="15" spans="1:96" s="9" customFormat="1" ht="12.75">
      <c r="A15" s="20"/>
      <c r="B15" s="21"/>
      <c r="C15" s="3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6">
        <f t="shared" si="0"/>
        <v>0</v>
      </c>
      <c r="AP15" s="6">
        <f t="shared" si="1"/>
        <v>0</v>
      </c>
      <c r="AQ15" s="6">
        <f t="shared" si="2"/>
        <v>0</v>
      </c>
      <c r="AR15" s="6">
        <f t="shared" si="3"/>
        <v>0</v>
      </c>
      <c r="AS15" s="6">
        <f t="shared" si="4"/>
        <v>0</v>
      </c>
      <c r="AT15" s="16">
        <f t="shared" si="11"/>
        <v>0</v>
      </c>
      <c r="AU15" s="17" t="str">
        <f>IF(OR(ISNUMBER(FIND({"M";"N";"D"},D15))),"1","")</f>
        <v/>
      </c>
      <c r="AV15" s="17" t="str">
        <f>IF(OR(ISNUMBER(FIND({"M";"N";"D"},E15))),"1","")</f>
        <v/>
      </c>
      <c r="AW15" s="17" t="str">
        <f>IF(OR(ISNUMBER(FIND({"M";"N";"D"},F15))),"1","")</f>
        <v/>
      </c>
      <c r="AX15" s="17" t="str">
        <f>IF(OR(ISNUMBER(FIND({"M";"N";"D"},G15))),"1","")</f>
        <v/>
      </c>
      <c r="AY15" s="17" t="str">
        <f>IF(OR(ISNUMBER(FIND({"M";"N";"D"},H15))),"1","")</f>
        <v/>
      </c>
      <c r="AZ15" s="17" t="str">
        <f>IF(OR(ISNUMBER(FIND({"M";"N";"D"},I15))),"1","")</f>
        <v/>
      </c>
      <c r="BA15" s="17" t="str">
        <f>IF(OR(ISNUMBER(FIND({"M";"N";"D"},J15))),"1","")</f>
        <v/>
      </c>
      <c r="BB15" s="17" t="str">
        <f>IF(OR(ISNUMBER(FIND({"M";"N";"D"},K15))),"1","")</f>
        <v/>
      </c>
      <c r="BC15" s="17" t="str">
        <f>IF(OR(ISNUMBER(FIND({"M";"N";"D"},L15))),"1","")</f>
        <v/>
      </c>
      <c r="BD15" s="17" t="str">
        <f>IF(OR(ISNUMBER(FIND({"M";"N";"D"},M15))),"1","")</f>
        <v/>
      </c>
      <c r="BE15" s="17" t="str">
        <f>IF(OR(ISNUMBER(FIND({"M";"N";"D"},N15))),"1","")</f>
        <v/>
      </c>
      <c r="BF15" s="17" t="str">
        <f>IF(OR(ISNUMBER(FIND({"M";"N";"D"},O15))),"1","")</f>
        <v/>
      </c>
      <c r="BG15" s="17" t="str">
        <f>IF(OR(ISNUMBER(FIND({"M";"N";"D"},P15))),"1","")</f>
        <v/>
      </c>
      <c r="BH15" s="17" t="str">
        <f>IF(OR(ISNUMBER(FIND({"M";"N";"D"},Q15))),"1","")</f>
        <v/>
      </c>
      <c r="BI15" s="17" t="str">
        <f>IF(OR(ISNUMBER(FIND({"M";"N";"D"},R15))),"1","")</f>
        <v/>
      </c>
      <c r="BJ15" s="17" t="str">
        <f>IF(OR(ISNUMBER(FIND({"M";"N";"D"},S15))),"1","")</f>
        <v/>
      </c>
      <c r="BK15" s="17" t="str">
        <f>IF(OR(ISNUMBER(FIND({"M";"N";"D"},T15))),"1","")</f>
        <v/>
      </c>
      <c r="BL15" s="17" t="str">
        <f>IF(OR(ISNUMBER(FIND({"M";"N";"D"},U15))),"1","")</f>
        <v/>
      </c>
      <c r="BM15" s="17" t="str">
        <f>IF(OR(ISNUMBER(FIND({"M";"N";"D"},V15))),"1","")</f>
        <v/>
      </c>
      <c r="BN15" s="17" t="str">
        <f>IF(OR(ISNUMBER(FIND({"M";"N";"D"},W15))),"1","")</f>
        <v/>
      </c>
      <c r="BO15" s="17" t="str">
        <f>IF(OR(ISNUMBER(FIND({"M";"N";"D"},X15))),"1","")</f>
        <v/>
      </c>
      <c r="BP15" s="17" t="str">
        <f>IF(OR(ISNUMBER(FIND({"M";"N";"D"},Y15))),"1","")</f>
        <v/>
      </c>
      <c r="BQ15" s="17" t="str">
        <f>IF(OR(ISNUMBER(FIND({"M";"N";"D"},Z15))),"1","")</f>
        <v/>
      </c>
      <c r="BR15" s="17" t="str">
        <f>IF(OR(ISNUMBER(FIND({"M";"N";"D"},AA15))),"1","")</f>
        <v/>
      </c>
      <c r="BS15" s="17" t="str">
        <f>IF(OR(ISNUMBER(FIND({"M";"N";"D"},AB15))),"1","")</f>
        <v/>
      </c>
      <c r="BT15" s="17" t="str">
        <f>IF(OR(ISNUMBER(FIND({"M";"N";"D"},AC15))),"1","")</f>
        <v/>
      </c>
      <c r="BU15" s="17" t="str">
        <f>IF(OR(ISNUMBER(FIND({"M";"N";"D"},AD15))),"1","")</f>
        <v/>
      </c>
      <c r="BV15" s="17" t="str">
        <f>IF(OR(ISNUMBER(FIND({"M";"N";"D"},AE15))),"1","")</f>
        <v/>
      </c>
      <c r="BW15" s="17" t="str">
        <f>IF(OR(ISNUMBER(FIND({"M";"N";"D"},AF15))),"1","")</f>
        <v/>
      </c>
      <c r="BX15" s="17" t="str">
        <f>IF(OR(ISNUMBER(FIND({"M";"N";"D"},AG15))),"1","")</f>
        <v/>
      </c>
      <c r="BY15" s="17" t="str">
        <f>IF(OR(ISNUMBER(FIND({"M";"N";"D"},AH15))),"1","")</f>
        <v/>
      </c>
      <c r="BZ15" s="17" t="str">
        <f>IF(OR(ISNUMBER(FIND({"M";"N";"D"},AI15))),"1","")</f>
        <v/>
      </c>
      <c r="CA15" s="17" t="str">
        <f>IF(OR(ISNUMBER(FIND({"M";"N";"D"},AJ15))),"1","")</f>
        <v/>
      </c>
      <c r="CB15" s="17" t="str">
        <f>IF(OR(ISNUMBER(FIND({"M";"N";"D"},AK15))),"1","")</f>
        <v/>
      </c>
      <c r="CC15" s="17" t="str">
        <f>IF(OR(ISNUMBER(FIND({"M";"N";"D"},AL15))),"1","")</f>
        <v/>
      </c>
      <c r="CD15" s="17" t="str">
        <f>IF(OR(ISNUMBER(FIND({"M";"N";"D"},AM15))),"1","")</f>
        <v/>
      </c>
      <c r="CE15" s="17" t="str">
        <f>IF(OR(ISNUMBER(FIND({"M";"N";"D"},AN15))),"1","")</f>
        <v/>
      </c>
      <c r="CF15" s="16">
        <f t="array" ref="CF15">MAX(FREQUENCY(IF(AU15:CE15&lt;&gt;"",COLUMN(AU15:CE15)),IF(AU15:CE15="",COLUMN(AU15:CE15))))</f>
        <v>0</v>
      </c>
      <c r="CG15" s="7"/>
      <c r="CH15" s="18">
        <f t="shared" si="12"/>
        <v>0</v>
      </c>
      <c r="CI15" s="8">
        <v>168</v>
      </c>
      <c r="CJ15" s="18">
        <f t="shared" si="5"/>
        <v>-168</v>
      </c>
      <c r="CK15" s="19">
        <f t="shared" si="13"/>
        <v>0</v>
      </c>
      <c r="CL15" s="30">
        <f t="shared" si="14"/>
        <v>0</v>
      </c>
      <c r="CM15" s="30">
        <f t="shared" si="15"/>
        <v>0</v>
      </c>
      <c r="CN15" s="19">
        <f t="shared" si="6"/>
        <v>0</v>
      </c>
      <c r="CO15" s="19">
        <f t="shared" si="7"/>
        <v>0</v>
      </c>
      <c r="CP15" s="19">
        <f t="shared" si="8"/>
        <v>0</v>
      </c>
      <c r="CQ15" s="19">
        <f t="shared" si="9"/>
        <v>0</v>
      </c>
      <c r="CR15" s="19">
        <f t="shared" si="10"/>
        <v>0</v>
      </c>
    </row>
    <row r="16" spans="1:96" s="9" customFormat="1" ht="12.75">
      <c r="A16" s="20"/>
      <c r="B16" s="21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6">
        <f t="shared" si="0"/>
        <v>0</v>
      </c>
      <c r="AP16" s="6">
        <f t="shared" si="1"/>
        <v>0</v>
      </c>
      <c r="AQ16" s="6">
        <f t="shared" si="2"/>
        <v>0</v>
      </c>
      <c r="AR16" s="6">
        <f t="shared" si="3"/>
        <v>0</v>
      </c>
      <c r="AS16" s="6">
        <f t="shared" si="4"/>
        <v>0</v>
      </c>
      <c r="AT16" s="16">
        <f t="shared" si="11"/>
        <v>0</v>
      </c>
      <c r="AU16" s="17" t="str">
        <f>IF(OR(ISNUMBER(FIND({"M";"N";"D"},D16))),"1","")</f>
        <v/>
      </c>
      <c r="AV16" s="17" t="str">
        <f>IF(OR(ISNUMBER(FIND({"M";"N";"D"},E16))),"1","")</f>
        <v/>
      </c>
      <c r="AW16" s="17" t="str">
        <f>IF(OR(ISNUMBER(FIND({"M";"N";"D"},F16))),"1","")</f>
        <v/>
      </c>
      <c r="AX16" s="17" t="str">
        <f>IF(OR(ISNUMBER(FIND({"M";"N";"D"},G16))),"1","")</f>
        <v/>
      </c>
      <c r="AY16" s="17" t="str">
        <f>IF(OR(ISNUMBER(FIND({"M";"N";"D"},H16))),"1","")</f>
        <v/>
      </c>
      <c r="AZ16" s="17" t="str">
        <f>IF(OR(ISNUMBER(FIND({"M";"N";"D"},I16))),"1","")</f>
        <v/>
      </c>
      <c r="BA16" s="17" t="str">
        <f>IF(OR(ISNUMBER(FIND({"M";"N";"D"},J16))),"1","")</f>
        <v/>
      </c>
      <c r="BB16" s="17" t="str">
        <f>IF(OR(ISNUMBER(FIND({"M";"N";"D"},K16))),"1","")</f>
        <v/>
      </c>
      <c r="BC16" s="17" t="str">
        <f>IF(OR(ISNUMBER(FIND({"M";"N";"D"},L16))),"1","")</f>
        <v/>
      </c>
      <c r="BD16" s="17" t="str">
        <f>IF(OR(ISNUMBER(FIND({"M";"N";"D"},M16))),"1","")</f>
        <v/>
      </c>
      <c r="BE16" s="17" t="str">
        <f>IF(OR(ISNUMBER(FIND({"M";"N";"D"},N16))),"1","")</f>
        <v/>
      </c>
      <c r="BF16" s="17" t="str">
        <f>IF(OR(ISNUMBER(FIND({"M";"N";"D"},O16))),"1","")</f>
        <v/>
      </c>
      <c r="BG16" s="17" t="str">
        <f>IF(OR(ISNUMBER(FIND({"M";"N";"D"},P16))),"1","")</f>
        <v/>
      </c>
      <c r="BH16" s="17" t="str">
        <f>IF(OR(ISNUMBER(FIND({"M";"N";"D"},Q16))),"1","")</f>
        <v/>
      </c>
      <c r="BI16" s="17" t="str">
        <f>IF(OR(ISNUMBER(FIND({"M";"N";"D"},R16))),"1","")</f>
        <v/>
      </c>
      <c r="BJ16" s="17" t="str">
        <f>IF(OR(ISNUMBER(FIND({"M";"N";"D"},S16))),"1","")</f>
        <v/>
      </c>
      <c r="BK16" s="17" t="str">
        <f>IF(OR(ISNUMBER(FIND({"M";"N";"D"},T16))),"1","")</f>
        <v/>
      </c>
      <c r="BL16" s="17" t="str">
        <f>IF(OR(ISNUMBER(FIND({"M";"N";"D"},U16))),"1","")</f>
        <v/>
      </c>
      <c r="BM16" s="17" t="str">
        <f>IF(OR(ISNUMBER(FIND({"M";"N";"D"},V16))),"1","")</f>
        <v/>
      </c>
      <c r="BN16" s="17" t="str">
        <f>IF(OR(ISNUMBER(FIND({"M";"N";"D"},W16))),"1","")</f>
        <v/>
      </c>
      <c r="BO16" s="17" t="str">
        <f>IF(OR(ISNUMBER(FIND({"M";"N";"D"},X16))),"1","")</f>
        <v/>
      </c>
      <c r="BP16" s="17" t="str">
        <f>IF(OR(ISNUMBER(FIND({"M";"N";"D"},Y16))),"1","")</f>
        <v/>
      </c>
      <c r="BQ16" s="17" t="str">
        <f>IF(OR(ISNUMBER(FIND({"M";"N";"D"},Z16))),"1","")</f>
        <v/>
      </c>
      <c r="BR16" s="17" t="str">
        <f>IF(OR(ISNUMBER(FIND({"M";"N";"D"},AA16))),"1","")</f>
        <v/>
      </c>
      <c r="BS16" s="17" t="str">
        <f>IF(OR(ISNUMBER(FIND({"M";"N";"D"},AB16))),"1","")</f>
        <v/>
      </c>
      <c r="BT16" s="17" t="str">
        <f>IF(OR(ISNUMBER(FIND({"M";"N";"D"},AC16))),"1","")</f>
        <v/>
      </c>
      <c r="BU16" s="17" t="str">
        <f>IF(OR(ISNUMBER(FIND({"M";"N";"D"},AD16))),"1","")</f>
        <v/>
      </c>
      <c r="BV16" s="17" t="str">
        <f>IF(OR(ISNUMBER(FIND({"M";"N";"D"},AE16))),"1","")</f>
        <v/>
      </c>
      <c r="BW16" s="17" t="str">
        <f>IF(OR(ISNUMBER(FIND({"M";"N";"D"},AF16))),"1","")</f>
        <v/>
      </c>
      <c r="BX16" s="17" t="str">
        <f>IF(OR(ISNUMBER(FIND({"M";"N";"D"},AG16))),"1","")</f>
        <v/>
      </c>
      <c r="BY16" s="17" t="str">
        <f>IF(OR(ISNUMBER(FIND({"M";"N";"D"},AH16))),"1","")</f>
        <v/>
      </c>
      <c r="BZ16" s="17" t="str">
        <f>IF(OR(ISNUMBER(FIND({"M";"N";"D"},AI16))),"1","")</f>
        <v/>
      </c>
      <c r="CA16" s="17" t="str">
        <f>IF(OR(ISNUMBER(FIND({"M";"N";"D"},AJ16))),"1","")</f>
        <v/>
      </c>
      <c r="CB16" s="17" t="str">
        <f>IF(OR(ISNUMBER(FIND({"M";"N";"D"},AK16))),"1","")</f>
        <v/>
      </c>
      <c r="CC16" s="17" t="str">
        <f>IF(OR(ISNUMBER(FIND({"M";"N";"D"},AL16))),"1","")</f>
        <v/>
      </c>
      <c r="CD16" s="17" t="str">
        <f>IF(OR(ISNUMBER(FIND({"M";"N";"D"},AM16))),"1","")</f>
        <v/>
      </c>
      <c r="CE16" s="17" t="str">
        <f>IF(OR(ISNUMBER(FIND({"M";"N";"D"},AN16))),"1","")</f>
        <v/>
      </c>
      <c r="CF16" s="16">
        <f t="array" ref="CF16">MAX(FREQUENCY(IF(AU16:CE16&lt;&gt;"",COLUMN(AU16:CE16)),IF(AU16:CE16="",COLUMN(AU16:CE16))))</f>
        <v>0</v>
      </c>
      <c r="CG16" s="7"/>
      <c r="CH16" s="18">
        <f t="shared" si="12"/>
        <v>0</v>
      </c>
      <c r="CI16" s="8">
        <v>168</v>
      </c>
      <c r="CJ16" s="18">
        <f t="shared" si="5"/>
        <v>-168</v>
      </c>
      <c r="CK16" s="19">
        <f t="shared" si="13"/>
        <v>0</v>
      </c>
      <c r="CL16" s="30">
        <f t="shared" si="14"/>
        <v>0</v>
      </c>
      <c r="CM16" s="30">
        <f t="shared" si="15"/>
        <v>0</v>
      </c>
      <c r="CN16" s="19">
        <f t="shared" si="6"/>
        <v>0</v>
      </c>
      <c r="CO16" s="19">
        <f t="shared" si="7"/>
        <v>0</v>
      </c>
      <c r="CP16" s="19">
        <f t="shared" si="8"/>
        <v>0</v>
      </c>
      <c r="CQ16" s="19">
        <f t="shared" si="9"/>
        <v>0</v>
      </c>
      <c r="CR16" s="19">
        <f t="shared" si="10"/>
        <v>0</v>
      </c>
    </row>
    <row r="17" spans="1:96" s="9" customFormat="1" ht="12.75" customHeight="1">
      <c r="A17" s="20"/>
      <c r="B17" s="21"/>
      <c r="C17" s="2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6">
        <f t="shared" si="0"/>
        <v>0</v>
      </c>
      <c r="AP17" s="6">
        <f t="shared" si="1"/>
        <v>0</v>
      </c>
      <c r="AQ17" s="6">
        <f t="shared" si="2"/>
        <v>0</v>
      </c>
      <c r="AR17" s="6">
        <f t="shared" si="3"/>
        <v>0</v>
      </c>
      <c r="AS17" s="6">
        <f t="shared" si="4"/>
        <v>0</v>
      </c>
      <c r="AT17" s="16">
        <f t="shared" si="11"/>
        <v>0</v>
      </c>
      <c r="AU17" s="17" t="str">
        <f>IF(OR(ISNUMBER(FIND({"M";"N";"D"},D17))),"1","")</f>
        <v/>
      </c>
      <c r="AV17" s="17" t="str">
        <f>IF(OR(ISNUMBER(FIND({"M";"N";"D"},E17))),"1","")</f>
        <v/>
      </c>
      <c r="AW17" s="17" t="str">
        <f>IF(OR(ISNUMBER(FIND({"M";"N";"D"},F17))),"1","")</f>
        <v/>
      </c>
      <c r="AX17" s="17" t="str">
        <f>IF(OR(ISNUMBER(FIND({"M";"N";"D"},G17))),"1","")</f>
        <v/>
      </c>
      <c r="AY17" s="17" t="str">
        <f>IF(OR(ISNUMBER(FIND({"M";"N";"D"},H17))),"1","")</f>
        <v/>
      </c>
      <c r="AZ17" s="17" t="str">
        <f>IF(OR(ISNUMBER(FIND({"M";"N";"D"},I17))),"1","")</f>
        <v/>
      </c>
      <c r="BA17" s="17" t="str">
        <f>IF(OR(ISNUMBER(FIND({"M";"N";"D"},J17))),"1","")</f>
        <v/>
      </c>
      <c r="BB17" s="17" t="str">
        <f>IF(OR(ISNUMBER(FIND({"M";"N";"D"},K17))),"1","")</f>
        <v/>
      </c>
      <c r="BC17" s="17" t="str">
        <f>IF(OR(ISNUMBER(FIND({"M";"N";"D"},L17))),"1","")</f>
        <v/>
      </c>
      <c r="BD17" s="17" t="str">
        <f>IF(OR(ISNUMBER(FIND({"M";"N";"D"},M17))),"1","")</f>
        <v/>
      </c>
      <c r="BE17" s="17" t="str">
        <f>IF(OR(ISNUMBER(FIND({"M";"N";"D"},N17))),"1","")</f>
        <v/>
      </c>
      <c r="BF17" s="17" t="str">
        <f>IF(OR(ISNUMBER(FIND({"M";"N";"D"},O17))),"1","")</f>
        <v/>
      </c>
      <c r="BG17" s="17" t="str">
        <f>IF(OR(ISNUMBER(FIND({"M";"N";"D"},P17))),"1","")</f>
        <v/>
      </c>
      <c r="BH17" s="17" t="str">
        <f>IF(OR(ISNUMBER(FIND({"M";"N";"D"},Q17))),"1","")</f>
        <v/>
      </c>
      <c r="BI17" s="17" t="str">
        <f>IF(OR(ISNUMBER(FIND({"M";"N";"D"},R17))),"1","")</f>
        <v/>
      </c>
      <c r="BJ17" s="17" t="str">
        <f>IF(OR(ISNUMBER(FIND({"M";"N";"D"},S17))),"1","")</f>
        <v/>
      </c>
      <c r="BK17" s="17" t="str">
        <f>IF(OR(ISNUMBER(FIND({"M";"N";"D"},T17))),"1","")</f>
        <v/>
      </c>
      <c r="BL17" s="17" t="str">
        <f>IF(OR(ISNUMBER(FIND({"M";"N";"D"},U17))),"1","")</f>
        <v/>
      </c>
      <c r="BM17" s="17" t="str">
        <f>IF(OR(ISNUMBER(FIND({"M";"N";"D"},V17))),"1","")</f>
        <v/>
      </c>
      <c r="BN17" s="17" t="str">
        <f>IF(OR(ISNUMBER(FIND({"M";"N";"D"},W17))),"1","")</f>
        <v/>
      </c>
      <c r="BO17" s="17" t="str">
        <f>IF(OR(ISNUMBER(FIND({"M";"N";"D"},X17))),"1","")</f>
        <v/>
      </c>
      <c r="BP17" s="17" t="str">
        <f>IF(OR(ISNUMBER(FIND({"M";"N";"D"},Y17))),"1","")</f>
        <v/>
      </c>
      <c r="BQ17" s="17" t="str">
        <f>IF(OR(ISNUMBER(FIND({"M";"N";"D"},Z17))),"1","")</f>
        <v/>
      </c>
      <c r="BR17" s="17" t="str">
        <f>IF(OR(ISNUMBER(FIND({"M";"N";"D"},AA17))),"1","")</f>
        <v/>
      </c>
      <c r="BS17" s="17" t="str">
        <f>IF(OR(ISNUMBER(FIND({"M";"N";"D"},AB17))),"1","")</f>
        <v/>
      </c>
      <c r="BT17" s="17" t="str">
        <f>IF(OR(ISNUMBER(FIND({"M";"N";"D"},AC17))),"1","")</f>
        <v/>
      </c>
      <c r="BU17" s="17" t="str">
        <f>IF(OR(ISNUMBER(FIND({"M";"N";"D"},AD17))),"1","")</f>
        <v/>
      </c>
      <c r="BV17" s="17" t="str">
        <f>IF(OR(ISNUMBER(FIND({"M";"N";"D"},AE17))),"1","")</f>
        <v/>
      </c>
      <c r="BW17" s="17" t="str">
        <f>IF(OR(ISNUMBER(FIND({"M";"N";"D"},AF17))),"1","")</f>
        <v/>
      </c>
      <c r="BX17" s="17" t="str">
        <f>IF(OR(ISNUMBER(FIND({"M";"N";"D"},AG17))),"1","")</f>
        <v/>
      </c>
      <c r="BY17" s="17" t="str">
        <f>IF(OR(ISNUMBER(FIND({"M";"N";"D"},AH17))),"1","")</f>
        <v/>
      </c>
      <c r="BZ17" s="17" t="str">
        <f>IF(OR(ISNUMBER(FIND({"M";"N";"D"},AI17))),"1","")</f>
        <v/>
      </c>
      <c r="CA17" s="17" t="str">
        <f>IF(OR(ISNUMBER(FIND({"M";"N";"D"},AJ17))),"1","")</f>
        <v/>
      </c>
      <c r="CB17" s="17" t="str">
        <f>IF(OR(ISNUMBER(FIND({"M";"N";"D"},AK17))),"1","")</f>
        <v/>
      </c>
      <c r="CC17" s="17" t="str">
        <f>IF(OR(ISNUMBER(FIND({"M";"N";"D"},AL17))),"1","")</f>
        <v/>
      </c>
      <c r="CD17" s="17" t="str">
        <f>IF(OR(ISNUMBER(FIND({"M";"N";"D"},AM17))),"1","")</f>
        <v/>
      </c>
      <c r="CE17" s="17" t="str">
        <f>IF(OR(ISNUMBER(FIND({"M";"N";"D"},AN17))),"1","")</f>
        <v/>
      </c>
      <c r="CF17" s="16">
        <f t="array" ref="CF17">MAX(FREQUENCY(IF(AU17:CE17&lt;&gt;"",COLUMN(AU17:CE17)),IF(AU17:CE17="",COLUMN(AU17:CE17))))</f>
        <v>0</v>
      </c>
      <c r="CG17" s="7"/>
      <c r="CH17" s="18">
        <f t="shared" si="12"/>
        <v>0</v>
      </c>
      <c r="CI17" s="8">
        <v>168</v>
      </c>
      <c r="CJ17" s="18">
        <f t="shared" si="5"/>
        <v>-168</v>
      </c>
      <c r="CK17" s="19">
        <f t="shared" si="13"/>
        <v>0</v>
      </c>
      <c r="CL17" s="30">
        <f t="shared" si="14"/>
        <v>0</v>
      </c>
      <c r="CM17" s="30">
        <f t="shared" si="15"/>
        <v>0</v>
      </c>
      <c r="CN17" s="19">
        <f t="shared" si="6"/>
        <v>0</v>
      </c>
      <c r="CO17" s="19">
        <f t="shared" si="7"/>
        <v>0</v>
      </c>
      <c r="CP17" s="19">
        <f t="shared" si="8"/>
        <v>0</v>
      </c>
      <c r="CQ17" s="19">
        <f t="shared" si="9"/>
        <v>0</v>
      </c>
      <c r="CR17" s="19">
        <f t="shared" si="10"/>
        <v>0</v>
      </c>
    </row>
    <row r="18" spans="1:96" s="9" customFormat="1" ht="12.75">
      <c r="A18" s="20"/>
      <c r="B18" s="21"/>
      <c r="C18" s="21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6">
        <f t="shared" si="0"/>
        <v>0</v>
      </c>
      <c r="AP18" s="6">
        <f t="shared" si="1"/>
        <v>0</v>
      </c>
      <c r="AQ18" s="6">
        <f t="shared" si="2"/>
        <v>0</v>
      </c>
      <c r="AR18" s="6">
        <f t="shared" si="3"/>
        <v>0</v>
      </c>
      <c r="AS18" s="6">
        <f t="shared" si="4"/>
        <v>0</v>
      </c>
      <c r="AT18" s="16">
        <f t="shared" si="11"/>
        <v>0</v>
      </c>
      <c r="AU18" s="17" t="str">
        <f>IF(OR(ISNUMBER(FIND({"M";"N";"D"},D18))),"1","")</f>
        <v/>
      </c>
      <c r="AV18" s="17" t="str">
        <f>IF(OR(ISNUMBER(FIND({"M";"N";"D"},E18))),"1","")</f>
        <v/>
      </c>
      <c r="AW18" s="17" t="str">
        <f>IF(OR(ISNUMBER(FIND({"M";"N";"D"},F18))),"1","")</f>
        <v/>
      </c>
      <c r="AX18" s="17" t="str">
        <f>IF(OR(ISNUMBER(FIND({"M";"N";"D"},G18))),"1","")</f>
        <v/>
      </c>
      <c r="AY18" s="17" t="str">
        <f>IF(OR(ISNUMBER(FIND({"M";"N";"D"},H18))),"1","")</f>
        <v/>
      </c>
      <c r="AZ18" s="17" t="str">
        <f>IF(OR(ISNUMBER(FIND({"M";"N";"D"},I18))),"1","")</f>
        <v/>
      </c>
      <c r="BA18" s="17" t="str">
        <f>IF(OR(ISNUMBER(FIND({"M";"N";"D"},J18))),"1","")</f>
        <v/>
      </c>
      <c r="BB18" s="17" t="str">
        <f>IF(OR(ISNUMBER(FIND({"M";"N";"D"},K18))),"1","")</f>
        <v/>
      </c>
      <c r="BC18" s="17" t="str">
        <f>IF(OR(ISNUMBER(FIND({"M";"N";"D"},L18))),"1","")</f>
        <v/>
      </c>
      <c r="BD18" s="17" t="str">
        <f>IF(OR(ISNUMBER(FIND({"M";"N";"D"},M18))),"1","")</f>
        <v/>
      </c>
      <c r="BE18" s="17" t="str">
        <f>IF(OR(ISNUMBER(FIND({"M";"N";"D"},N18))),"1","")</f>
        <v/>
      </c>
      <c r="BF18" s="17" t="str">
        <f>IF(OR(ISNUMBER(FIND({"M";"N";"D"},O18))),"1","")</f>
        <v/>
      </c>
      <c r="BG18" s="17" t="str">
        <f>IF(OR(ISNUMBER(FIND({"M";"N";"D"},P18))),"1","")</f>
        <v/>
      </c>
      <c r="BH18" s="17" t="str">
        <f>IF(OR(ISNUMBER(FIND({"M";"N";"D"},Q18))),"1","")</f>
        <v/>
      </c>
      <c r="BI18" s="17" t="str">
        <f>IF(OR(ISNUMBER(FIND({"M";"N";"D"},R18))),"1","")</f>
        <v/>
      </c>
      <c r="BJ18" s="17" t="str">
        <f>IF(OR(ISNUMBER(FIND({"M";"N";"D"},S18))),"1","")</f>
        <v/>
      </c>
      <c r="BK18" s="17" t="str">
        <f>IF(OR(ISNUMBER(FIND({"M";"N";"D"},T18))),"1","")</f>
        <v/>
      </c>
      <c r="BL18" s="17" t="str">
        <f>IF(OR(ISNUMBER(FIND({"M";"N";"D"},U18))),"1","")</f>
        <v/>
      </c>
      <c r="BM18" s="17" t="str">
        <f>IF(OR(ISNUMBER(FIND({"M";"N";"D"},V18))),"1","")</f>
        <v/>
      </c>
      <c r="BN18" s="17" t="str">
        <f>IF(OR(ISNUMBER(FIND({"M";"N";"D"},W18))),"1","")</f>
        <v/>
      </c>
      <c r="BO18" s="17" t="str">
        <f>IF(OR(ISNUMBER(FIND({"M";"N";"D"},X18))),"1","")</f>
        <v/>
      </c>
      <c r="BP18" s="17" t="str">
        <f>IF(OR(ISNUMBER(FIND({"M";"N";"D"},Y18))),"1","")</f>
        <v/>
      </c>
      <c r="BQ18" s="17" t="str">
        <f>IF(OR(ISNUMBER(FIND({"M";"N";"D"},Z18))),"1","")</f>
        <v/>
      </c>
      <c r="BR18" s="17" t="str">
        <f>IF(OR(ISNUMBER(FIND({"M";"N";"D"},AA18))),"1","")</f>
        <v/>
      </c>
      <c r="BS18" s="17" t="str">
        <f>IF(OR(ISNUMBER(FIND({"M";"N";"D"},AB18))),"1","")</f>
        <v/>
      </c>
      <c r="BT18" s="17" t="str">
        <f>IF(OR(ISNUMBER(FIND({"M";"N";"D"},AC18))),"1","")</f>
        <v/>
      </c>
      <c r="BU18" s="17" t="str">
        <f>IF(OR(ISNUMBER(FIND({"M";"N";"D"},AD18))),"1","")</f>
        <v/>
      </c>
      <c r="BV18" s="17" t="str">
        <f>IF(OR(ISNUMBER(FIND({"M";"N";"D"},AE18))),"1","")</f>
        <v/>
      </c>
      <c r="BW18" s="17" t="str">
        <f>IF(OR(ISNUMBER(FIND({"M";"N";"D"},AF18))),"1","")</f>
        <v/>
      </c>
      <c r="BX18" s="17" t="str">
        <f>IF(OR(ISNUMBER(FIND({"M";"N";"D"},AG18))),"1","")</f>
        <v/>
      </c>
      <c r="BY18" s="17" t="str">
        <f>IF(OR(ISNUMBER(FIND({"M";"N";"D"},AH18))),"1","")</f>
        <v/>
      </c>
      <c r="BZ18" s="17" t="str">
        <f>IF(OR(ISNUMBER(FIND({"M";"N";"D"},AI18))),"1","")</f>
        <v/>
      </c>
      <c r="CA18" s="17" t="str">
        <f>IF(OR(ISNUMBER(FIND({"M";"N";"D"},AJ18))),"1","")</f>
        <v/>
      </c>
      <c r="CB18" s="17" t="str">
        <f>IF(OR(ISNUMBER(FIND({"M";"N";"D"},AK18))),"1","")</f>
        <v/>
      </c>
      <c r="CC18" s="17" t="str">
        <f>IF(OR(ISNUMBER(FIND({"M";"N";"D"},AL18))),"1","")</f>
        <v/>
      </c>
      <c r="CD18" s="17" t="str">
        <f>IF(OR(ISNUMBER(FIND({"M";"N";"D"},AM18))),"1","")</f>
        <v/>
      </c>
      <c r="CE18" s="17" t="str">
        <f>IF(OR(ISNUMBER(FIND({"M";"N";"D"},AN18))),"1","")</f>
        <v/>
      </c>
      <c r="CF18" s="16">
        <f t="array" ref="CF18">MAX(FREQUENCY(IF(AU18:CE18&lt;&gt;"",COLUMN(AU18:CE18)),IF(AU18:CE18="",COLUMN(AU18:CE18))))</f>
        <v>0</v>
      </c>
      <c r="CG18" s="7"/>
      <c r="CH18" s="18">
        <f t="shared" si="12"/>
        <v>0</v>
      </c>
      <c r="CI18" s="8">
        <v>168</v>
      </c>
      <c r="CJ18" s="18">
        <f t="shared" si="5"/>
        <v>-168</v>
      </c>
      <c r="CK18" s="19">
        <f t="shared" si="13"/>
        <v>0</v>
      </c>
      <c r="CL18" s="30">
        <f t="shared" si="14"/>
        <v>0</v>
      </c>
      <c r="CM18" s="30">
        <f t="shared" si="15"/>
        <v>0</v>
      </c>
      <c r="CN18" s="19">
        <f t="shared" si="6"/>
        <v>0</v>
      </c>
      <c r="CO18" s="19">
        <f t="shared" si="7"/>
        <v>0</v>
      </c>
      <c r="CP18" s="19">
        <f t="shared" si="8"/>
        <v>0</v>
      </c>
      <c r="CQ18" s="19">
        <f t="shared" si="9"/>
        <v>0</v>
      </c>
      <c r="CR18" s="19">
        <f t="shared" si="10"/>
        <v>0</v>
      </c>
    </row>
    <row r="19" spans="1:96" s="9" customFormat="1" ht="12.75">
      <c r="A19" s="20"/>
      <c r="B19" s="21"/>
      <c r="C19" s="2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6">
        <f t="shared" si="0"/>
        <v>0</v>
      </c>
      <c r="AP19" s="6">
        <f t="shared" si="1"/>
        <v>0</v>
      </c>
      <c r="AQ19" s="6">
        <f t="shared" si="2"/>
        <v>0</v>
      </c>
      <c r="AR19" s="6">
        <f t="shared" si="3"/>
        <v>0</v>
      </c>
      <c r="AS19" s="6">
        <f t="shared" si="4"/>
        <v>0</v>
      </c>
      <c r="AT19" s="16">
        <f t="shared" si="11"/>
        <v>0</v>
      </c>
      <c r="AU19" s="17" t="str">
        <f>IF(OR(ISNUMBER(FIND({"M";"N";"D"},D19))),"1","")</f>
        <v/>
      </c>
      <c r="AV19" s="17" t="str">
        <f>IF(OR(ISNUMBER(FIND({"M";"N";"D"},E19))),"1","")</f>
        <v/>
      </c>
      <c r="AW19" s="17" t="str">
        <f>IF(OR(ISNUMBER(FIND({"M";"N";"D"},F19))),"1","")</f>
        <v/>
      </c>
      <c r="AX19" s="17" t="str">
        <f>IF(OR(ISNUMBER(FIND({"M";"N";"D"},G19))),"1","")</f>
        <v/>
      </c>
      <c r="AY19" s="17" t="str">
        <f>IF(OR(ISNUMBER(FIND({"M";"N";"D"},H19))),"1","")</f>
        <v/>
      </c>
      <c r="AZ19" s="17" t="str">
        <f>IF(OR(ISNUMBER(FIND({"M";"N";"D"},I19))),"1","")</f>
        <v/>
      </c>
      <c r="BA19" s="17" t="str">
        <f>IF(OR(ISNUMBER(FIND({"M";"N";"D"},J19))),"1","")</f>
        <v/>
      </c>
      <c r="BB19" s="17" t="str">
        <f>IF(OR(ISNUMBER(FIND({"M";"N";"D"},K19))),"1","")</f>
        <v/>
      </c>
      <c r="BC19" s="17" t="str">
        <f>IF(OR(ISNUMBER(FIND({"M";"N";"D"},L19))),"1","")</f>
        <v/>
      </c>
      <c r="BD19" s="17" t="str">
        <f>IF(OR(ISNUMBER(FIND({"M";"N";"D"},M19))),"1","")</f>
        <v/>
      </c>
      <c r="BE19" s="17" t="str">
        <f>IF(OR(ISNUMBER(FIND({"M";"N";"D"},N19))),"1","")</f>
        <v/>
      </c>
      <c r="BF19" s="17" t="str">
        <f>IF(OR(ISNUMBER(FIND({"M";"N";"D"},O19))),"1","")</f>
        <v/>
      </c>
      <c r="BG19" s="17" t="str">
        <f>IF(OR(ISNUMBER(FIND({"M";"N";"D"},P19))),"1","")</f>
        <v/>
      </c>
      <c r="BH19" s="17" t="str">
        <f>IF(OR(ISNUMBER(FIND({"M";"N";"D"},Q19))),"1","")</f>
        <v/>
      </c>
      <c r="BI19" s="17" t="str">
        <f>IF(OR(ISNUMBER(FIND({"M";"N";"D"},R19))),"1","")</f>
        <v/>
      </c>
      <c r="BJ19" s="17" t="str">
        <f>IF(OR(ISNUMBER(FIND({"M";"N";"D"},S19))),"1","")</f>
        <v/>
      </c>
      <c r="BK19" s="17" t="str">
        <f>IF(OR(ISNUMBER(FIND({"M";"N";"D"},T19))),"1","")</f>
        <v/>
      </c>
      <c r="BL19" s="17" t="str">
        <f>IF(OR(ISNUMBER(FIND({"M";"N";"D"},U19))),"1","")</f>
        <v/>
      </c>
      <c r="BM19" s="17" t="str">
        <f>IF(OR(ISNUMBER(FIND({"M";"N";"D"},V19))),"1","")</f>
        <v/>
      </c>
      <c r="BN19" s="17" t="str">
        <f>IF(OR(ISNUMBER(FIND({"M";"N";"D"},W19))),"1","")</f>
        <v/>
      </c>
      <c r="BO19" s="17" t="str">
        <f>IF(OR(ISNUMBER(FIND({"M";"N";"D"},X19))),"1","")</f>
        <v/>
      </c>
      <c r="BP19" s="17" t="str">
        <f>IF(OR(ISNUMBER(FIND({"M";"N";"D"},Y19))),"1","")</f>
        <v/>
      </c>
      <c r="BQ19" s="17" t="str">
        <f>IF(OR(ISNUMBER(FIND({"M";"N";"D"},Z19))),"1","")</f>
        <v/>
      </c>
      <c r="BR19" s="17" t="str">
        <f>IF(OR(ISNUMBER(FIND({"M";"N";"D"},AA19))),"1","")</f>
        <v/>
      </c>
      <c r="BS19" s="17" t="str">
        <f>IF(OR(ISNUMBER(FIND({"M";"N";"D"},AB19))),"1","")</f>
        <v/>
      </c>
      <c r="BT19" s="17" t="str">
        <f>IF(OR(ISNUMBER(FIND({"M";"N";"D"},AC19))),"1","")</f>
        <v/>
      </c>
      <c r="BU19" s="17" t="str">
        <f>IF(OR(ISNUMBER(FIND({"M";"N";"D"},AD19))),"1","")</f>
        <v/>
      </c>
      <c r="BV19" s="17" t="str">
        <f>IF(OR(ISNUMBER(FIND({"M";"N";"D"},AE19))),"1","")</f>
        <v/>
      </c>
      <c r="BW19" s="17" t="str">
        <f>IF(OR(ISNUMBER(FIND({"M";"N";"D"},AF19))),"1","")</f>
        <v/>
      </c>
      <c r="BX19" s="17" t="str">
        <f>IF(OR(ISNUMBER(FIND({"M";"N";"D"},AG19))),"1","")</f>
        <v/>
      </c>
      <c r="BY19" s="17" t="str">
        <f>IF(OR(ISNUMBER(FIND({"M";"N";"D"},AH19))),"1","")</f>
        <v/>
      </c>
      <c r="BZ19" s="17" t="str">
        <f>IF(OR(ISNUMBER(FIND({"M";"N";"D"},AI19))),"1","")</f>
        <v/>
      </c>
      <c r="CA19" s="17" t="str">
        <f>IF(OR(ISNUMBER(FIND({"M";"N";"D"},AJ19))),"1","")</f>
        <v/>
      </c>
      <c r="CB19" s="17" t="str">
        <f>IF(OR(ISNUMBER(FIND({"M";"N";"D"},AK19))),"1","")</f>
        <v/>
      </c>
      <c r="CC19" s="17" t="str">
        <f>IF(OR(ISNUMBER(FIND({"M";"N";"D"},AL19))),"1","")</f>
        <v/>
      </c>
      <c r="CD19" s="17" t="str">
        <f>IF(OR(ISNUMBER(FIND({"M";"N";"D"},AM19))),"1","")</f>
        <v/>
      </c>
      <c r="CE19" s="17" t="str">
        <f>IF(OR(ISNUMBER(FIND({"M";"N";"D"},AN19))),"1","")</f>
        <v/>
      </c>
      <c r="CF19" s="16">
        <f t="array" ref="CF19">MAX(FREQUENCY(IF(AU19:CE19&lt;&gt;"",COLUMN(AU19:CE19)),IF(AU19:CE19="",COLUMN(AU19:CE19))))</f>
        <v>0</v>
      </c>
      <c r="CG19" s="7"/>
      <c r="CH19" s="18">
        <f t="shared" si="12"/>
        <v>0</v>
      </c>
      <c r="CI19" s="8">
        <v>168</v>
      </c>
      <c r="CJ19" s="18">
        <f t="shared" si="5"/>
        <v>-168</v>
      </c>
      <c r="CK19" s="19">
        <f t="shared" si="13"/>
        <v>0</v>
      </c>
      <c r="CL19" s="30">
        <f t="shared" si="14"/>
        <v>0</v>
      </c>
      <c r="CM19" s="30">
        <f t="shared" si="15"/>
        <v>0</v>
      </c>
      <c r="CN19" s="19">
        <f t="shared" si="6"/>
        <v>0</v>
      </c>
      <c r="CO19" s="19">
        <f t="shared" si="7"/>
        <v>0</v>
      </c>
      <c r="CP19" s="19">
        <f t="shared" si="8"/>
        <v>0</v>
      </c>
      <c r="CQ19" s="19">
        <f t="shared" si="9"/>
        <v>0</v>
      </c>
      <c r="CR19" s="19">
        <f t="shared" si="10"/>
        <v>0</v>
      </c>
    </row>
    <row r="20" spans="1:96" s="9" customFormat="1" ht="12.75" customHeight="1">
      <c r="A20" s="20"/>
      <c r="B20" s="21"/>
      <c r="C20" s="2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6">
        <f t="shared" si="0"/>
        <v>0</v>
      </c>
      <c r="AP20" s="6">
        <f t="shared" si="1"/>
        <v>0</v>
      </c>
      <c r="AQ20" s="6">
        <f t="shared" si="2"/>
        <v>0</v>
      </c>
      <c r="AR20" s="6">
        <f t="shared" si="3"/>
        <v>0</v>
      </c>
      <c r="AS20" s="6">
        <f t="shared" si="4"/>
        <v>0</v>
      </c>
      <c r="AT20" s="16">
        <f t="shared" si="11"/>
        <v>0</v>
      </c>
      <c r="AU20" s="17" t="str">
        <f>IF(OR(ISNUMBER(FIND({"M";"N";"D"},D20))),"1","")</f>
        <v/>
      </c>
      <c r="AV20" s="17" t="str">
        <f>IF(OR(ISNUMBER(FIND({"M";"N";"D"},E20))),"1","")</f>
        <v/>
      </c>
      <c r="AW20" s="17" t="str">
        <f>IF(OR(ISNUMBER(FIND({"M";"N";"D"},F20))),"1","")</f>
        <v/>
      </c>
      <c r="AX20" s="17" t="str">
        <f>IF(OR(ISNUMBER(FIND({"M";"N";"D"},G20))),"1","")</f>
        <v/>
      </c>
      <c r="AY20" s="17" t="str">
        <f>IF(OR(ISNUMBER(FIND({"M";"N";"D"},H20))),"1","")</f>
        <v/>
      </c>
      <c r="AZ20" s="17" t="str">
        <f>IF(OR(ISNUMBER(FIND({"M";"N";"D"},I20))),"1","")</f>
        <v/>
      </c>
      <c r="BA20" s="17" t="str">
        <f>IF(OR(ISNUMBER(FIND({"M";"N";"D"},J20))),"1","")</f>
        <v/>
      </c>
      <c r="BB20" s="17" t="str">
        <f>IF(OR(ISNUMBER(FIND({"M";"N";"D"},K20))),"1","")</f>
        <v/>
      </c>
      <c r="BC20" s="17" t="str">
        <f>IF(OR(ISNUMBER(FIND({"M";"N";"D"},L20))),"1","")</f>
        <v/>
      </c>
      <c r="BD20" s="17" t="str">
        <f>IF(OR(ISNUMBER(FIND({"M";"N";"D"},M20))),"1","")</f>
        <v/>
      </c>
      <c r="BE20" s="17" t="str">
        <f>IF(OR(ISNUMBER(FIND({"M";"N";"D"},N20))),"1","")</f>
        <v/>
      </c>
      <c r="BF20" s="17" t="str">
        <f>IF(OR(ISNUMBER(FIND({"M";"N";"D"},O20))),"1","")</f>
        <v/>
      </c>
      <c r="BG20" s="17" t="str">
        <f>IF(OR(ISNUMBER(FIND({"M";"N";"D"},P20))),"1","")</f>
        <v/>
      </c>
      <c r="BH20" s="17" t="str">
        <f>IF(OR(ISNUMBER(FIND({"M";"N";"D"},Q20))),"1","")</f>
        <v/>
      </c>
      <c r="BI20" s="17" t="str">
        <f>IF(OR(ISNUMBER(FIND({"M";"N";"D"},R20))),"1","")</f>
        <v/>
      </c>
      <c r="BJ20" s="17" t="str">
        <f>IF(OR(ISNUMBER(FIND({"M";"N";"D"},S20))),"1","")</f>
        <v/>
      </c>
      <c r="BK20" s="17" t="str">
        <f>IF(OR(ISNUMBER(FIND({"M";"N";"D"},T20))),"1","")</f>
        <v/>
      </c>
      <c r="BL20" s="17" t="str">
        <f>IF(OR(ISNUMBER(FIND({"M";"N";"D"},U20))),"1","")</f>
        <v/>
      </c>
      <c r="BM20" s="17" t="str">
        <f>IF(OR(ISNUMBER(FIND({"M";"N";"D"},V20))),"1","")</f>
        <v/>
      </c>
      <c r="BN20" s="17" t="str">
        <f>IF(OR(ISNUMBER(FIND({"M";"N";"D"},W20))),"1","")</f>
        <v/>
      </c>
      <c r="BO20" s="17" t="str">
        <f>IF(OR(ISNUMBER(FIND({"M";"N";"D"},X20))),"1","")</f>
        <v/>
      </c>
      <c r="BP20" s="17" t="str">
        <f>IF(OR(ISNUMBER(FIND({"M";"N";"D"},Y20))),"1","")</f>
        <v/>
      </c>
      <c r="BQ20" s="17" t="str">
        <f>IF(OR(ISNUMBER(FIND({"M";"N";"D"},Z20))),"1","")</f>
        <v/>
      </c>
      <c r="BR20" s="17" t="str">
        <f>IF(OR(ISNUMBER(FIND({"M";"N";"D"},AA20))),"1","")</f>
        <v/>
      </c>
      <c r="BS20" s="17" t="str">
        <f>IF(OR(ISNUMBER(FIND({"M";"N";"D"},AB20))),"1","")</f>
        <v/>
      </c>
      <c r="BT20" s="17" t="str">
        <f>IF(OR(ISNUMBER(FIND({"M";"N";"D"},AC20))),"1","")</f>
        <v/>
      </c>
      <c r="BU20" s="17" t="str">
        <f>IF(OR(ISNUMBER(FIND({"M";"N";"D"},AD20))),"1","")</f>
        <v/>
      </c>
      <c r="BV20" s="17" t="str">
        <f>IF(OR(ISNUMBER(FIND({"M";"N";"D"},AE20))),"1","")</f>
        <v/>
      </c>
      <c r="BW20" s="17" t="str">
        <f>IF(OR(ISNUMBER(FIND({"M";"N";"D"},AF20))),"1","")</f>
        <v/>
      </c>
      <c r="BX20" s="17" t="str">
        <f>IF(OR(ISNUMBER(FIND({"M";"N";"D"},AG20))),"1","")</f>
        <v/>
      </c>
      <c r="BY20" s="17" t="str">
        <f>IF(OR(ISNUMBER(FIND({"M";"N";"D"},AH20))),"1","")</f>
        <v/>
      </c>
      <c r="BZ20" s="17" t="str">
        <f>IF(OR(ISNUMBER(FIND({"M";"N";"D"},AI20))),"1","")</f>
        <v/>
      </c>
      <c r="CA20" s="17" t="str">
        <f>IF(OR(ISNUMBER(FIND({"M";"N";"D"},AJ20))),"1","")</f>
        <v/>
      </c>
      <c r="CB20" s="17" t="str">
        <f>IF(OR(ISNUMBER(FIND({"M";"N";"D"},AK20))),"1","")</f>
        <v/>
      </c>
      <c r="CC20" s="17" t="str">
        <f>IF(OR(ISNUMBER(FIND({"M";"N";"D"},AL20))),"1","")</f>
        <v/>
      </c>
      <c r="CD20" s="17" t="str">
        <f>IF(OR(ISNUMBER(FIND({"M";"N";"D"},AM20))),"1","")</f>
        <v/>
      </c>
      <c r="CE20" s="17" t="str">
        <f>IF(OR(ISNUMBER(FIND({"M";"N";"D"},AN20))),"1","")</f>
        <v/>
      </c>
      <c r="CF20" s="16">
        <f t="array" ref="CF20">MAX(FREQUENCY(IF(AU20:CE20&lt;&gt;"",COLUMN(AU20:CE20)),IF(AU20:CE20="",COLUMN(AU20:CE20))))</f>
        <v>0</v>
      </c>
      <c r="CG20" s="7"/>
      <c r="CH20" s="18">
        <f t="shared" si="12"/>
        <v>0</v>
      </c>
      <c r="CI20" s="8">
        <v>168</v>
      </c>
      <c r="CJ20" s="18">
        <f t="shared" si="5"/>
        <v>-168</v>
      </c>
      <c r="CK20" s="19">
        <f t="shared" si="13"/>
        <v>0</v>
      </c>
      <c r="CL20" s="30">
        <f t="shared" si="14"/>
        <v>0</v>
      </c>
      <c r="CM20" s="30">
        <f t="shared" si="15"/>
        <v>0</v>
      </c>
      <c r="CN20" s="19">
        <f t="shared" si="6"/>
        <v>0</v>
      </c>
      <c r="CO20" s="19">
        <f t="shared" si="7"/>
        <v>0</v>
      </c>
      <c r="CP20" s="19">
        <f t="shared" si="8"/>
        <v>0</v>
      </c>
      <c r="CQ20" s="19">
        <f t="shared" si="9"/>
        <v>0</v>
      </c>
      <c r="CR20" s="19">
        <f t="shared" si="10"/>
        <v>0</v>
      </c>
    </row>
    <row r="21" spans="1:96" s="9" customFormat="1" ht="12.75">
      <c r="A21" s="20"/>
      <c r="B21" s="21"/>
      <c r="C21" s="2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6">
        <f t="shared" si="0"/>
        <v>0</v>
      </c>
      <c r="AP21" s="6">
        <f t="shared" si="1"/>
        <v>0</v>
      </c>
      <c r="AQ21" s="6">
        <f t="shared" si="2"/>
        <v>0</v>
      </c>
      <c r="AR21" s="6">
        <f t="shared" si="3"/>
        <v>0</v>
      </c>
      <c r="AS21" s="6">
        <f t="shared" si="4"/>
        <v>0</v>
      </c>
      <c r="AT21" s="16">
        <f t="shared" si="11"/>
        <v>0</v>
      </c>
      <c r="AU21" s="17" t="str">
        <f>IF(OR(ISNUMBER(FIND({"M";"N";"D"},D21))),"1","")</f>
        <v/>
      </c>
      <c r="AV21" s="17" t="str">
        <f>IF(OR(ISNUMBER(FIND({"M";"N";"D"},E21))),"1","")</f>
        <v/>
      </c>
      <c r="AW21" s="17" t="str">
        <f>IF(OR(ISNUMBER(FIND({"M";"N";"D"},F21))),"1","")</f>
        <v/>
      </c>
      <c r="AX21" s="17" t="str">
        <f>IF(OR(ISNUMBER(FIND({"M";"N";"D"},G21))),"1","")</f>
        <v/>
      </c>
      <c r="AY21" s="17" t="str">
        <f>IF(OR(ISNUMBER(FIND({"M";"N";"D"},H21))),"1","")</f>
        <v/>
      </c>
      <c r="AZ21" s="17" t="str">
        <f>IF(OR(ISNUMBER(FIND({"M";"N";"D"},I21))),"1","")</f>
        <v/>
      </c>
      <c r="BA21" s="17" t="str">
        <f>IF(OR(ISNUMBER(FIND({"M";"N";"D"},J21))),"1","")</f>
        <v/>
      </c>
      <c r="BB21" s="17" t="str">
        <f>IF(OR(ISNUMBER(FIND({"M";"N";"D"},K21))),"1","")</f>
        <v/>
      </c>
      <c r="BC21" s="17" t="str">
        <f>IF(OR(ISNUMBER(FIND({"M";"N";"D"},L21))),"1","")</f>
        <v/>
      </c>
      <c r="BD21" s="17" t="str">
        <f>IF(OR(ISNUMBER(FIND({"M";"N";"D"},M21))),"1","")</f>
        <v/>
      </c>
      <c r="BE21" s="17" t="str">
        <f>IF(OR(ISNUMBER(FIND({"M";"N";"D"},N21))),"1","")</f>
        <v/>
      </c>
      <c r="BF21" s="17" t="str">
        <f>IF(OR(ISNUMBER(FIND({"M";"N";"D"},O21))),"1","")</f>
        <v/>
      </c>
      <c r="BG21" s="17" t="str">
        <f>IF(OR(ISNUMBER(FIND({"M";"N";"D"},P21))),"1","")</f>
        <v/>
      </c>
      <c r="BH21" s="17" t="str">
        <f>IF(OR(ISNUMBER(FIND({"M";"N";"D"},Q21))),"1","")</f>
        <v/>
      </c>
      <c r="BI21" s="17" t="str">
        <f>IF(OR(ISNUMBER(FIND({"M";"N";"D"},R21))),"1","")</f>
        <v/>
      </c>
      <c r="BJ21" s="17" t="str">
        <f>IF(OR(ISNUMBER(FIND({"M";"N";"D"},S21))),"1","")</f>
        <v/>
      </c>
      <c r="BK21" s="17" t="str">
        <f>IF(OR(ISNUMBER(FIND({"M";"N";"D"},T21))),"1","")</f>
        <v/>
      </c>
      <c r="BL21" s="17" t="str">
        <f>IF(OR(ISNUMBER(FIND({"M";"N";"D"},U21))),"1","")</f>
        <v/>
      </c>
      <c r="BM21" s="17" t="str">
        <f>IF(OR(ISNUMBER(FIND({"M";"N";"D"},V21))),"1","")</f>
        <v/>
      </c>
      <c r="BN21" s="17" t="str">
        <f>IF(OR(ISNUMBER(FIND({"M";"N";"D"},W21))),"1","")</f>
        <v/>
      </c>
      <c r="BO21" s="17" t="str">
        <f>IF(OR(ISNUMBER(FIND({"M";"N";"D"},X21))),"1","")</f>
        <v/>
      </c>
      <c r="BP21" s="17" t="str">
        <f>IF(OR(ISNUMBER(FIND({"M";"N";"D"},Y21))),"1","")</f>
        <v/>
      </c>
      <c r="BQ21" s="17" t="str">
        <f>IF(OR(ISNUMBER(FIND({"M";"N";"D"},Z21))),"1","")</f>
        <v/>
      </c>
      <c r="BR21" s="17" t="str">
        <f>IF(OR(ISNUMBER(FIND({"M";"N";"D"},AA21))),"1","")</f>
        <v/>
      </c>
      <c r="BS21" s="17" t="str">
        <f>IF(OR(ISNUMBER(FIND({"M";"N";"D"},AB21))),"1","")</f>
        <v/>
      </c>
      <c r="BT21" s="17" t="str">
        <f>IF(OR(ISNUMBER(FIND({"M";"N";"D"},AC21))),"1","")</f>
        <v/>
      </c>
      <c r="BU21" s="17" t="str">
        <f>IF(OR(ISNUMBER(FIND({"M";"N";"D"},AD21))),"1","")</f>
        <v/>
      </c>
      <c r="BV21" s="17" t="str">
        <f>IF(OR(ISNUMBER(FIND({"M";"N";"D"},AE21))),"1","")</f>
        <v/>
      </c>
      <c r="BW21" s="17" t="str">
        <f>IF(OR(ISNUMBER(FIND({"M";"N";"D"},AF21))),"1","")</f>
        <v/>
      </c>
      <c r="BX21" s="17" t="str">
        <f>IF(OR(ISNUMBER(FIND({"M";"N";"D"},AG21))),"1","")</f>
        <v/>
      </c>
      <c r="BY21" s="17" t="str">
        <f>IF(OR(ISNUMBER(FIND({"M";"N";"D"},AH21))),"1","")</f>
        <v/>
      </c>
      <c r="BZ21" s="17" t="str">
        <f>IF(OR(ISNUMBER(FIND({"M";"N";"D"},AI21))),"1","")</f>
        <v/>
      </c>
      <c r="CA21" s="17" t="str">
        <f>IF(OR(ISNUMBER(FIND({"M";"N";"D"},AJ21))),"1","")</f>
        <v/>
      </c>
      <c r="CB21" s="17" t="str">
        <f>IF(OR(ISNUMBER(FIND({"M";"N";"D"},AK21))),"1","")</f>
        <v/>
      </c>
      <c r="CC21" s="17" t="str">
        <f>IF(OR(ISNUMBER(FIND({"M";"N";"D"},AL21))),"1","")</f>
        <v/>
      </c>
      <c r="CD21" s="17" t="str">
        <f>IF(OR(ISNUMBER(FIND({"M";"N";"D"},AM21))),"1","")</f>
        <v/>
      </c>
      <c r="CE21" s="17" t="str">
        <f>IF(OR(ISNUMBER(FIND({"M";"N";"D"},AN21))),"1","")</f>
        <v/>
      </c>
      <c r="CF21" s="16">
        <f t="array" ref="CF21">MAX(FREQUENCY(IF(AU21:CE21&lt;&gt;"",COLUMN(AU21:CE21)),IF(AU21:CE21="",COLUMN(AU21:CE21))))</f>
        <v>0</v>
      </c>
      <c r="CG21" s="7"/>
      <c r="CH21" s="18">
        <f t="shared" si="12"/>
        <v>0</v>
      </c>
      <c r="CI21" s="8">
        <v>168</v>
      </c>
      <c r="CJ21" s="18">
        <f t="shared" si="5"/>
        <v>-168</v>
      </c>
      <c r="CK21" s="19">
        <f t="shared" si="13"/>
        <v>0</v>
      </c>
      <c r="CL21" s="30">
        <f t="shared" si="14"/>
        <v>0</v>
      </c>
      <c r="CM21" s="30">
        <f t="shared" si="15"/>
        <v>0</v>
      </c>
      <c r="CN21" s="19">
        <f t="shared" si="6"/>
        <v>0</v>
      </c>
      <c r="CO21" s="19">
        <f t="shared" si="7"/>
        <v>0</v>
      </c>
      <c r="CP21" s="19">
        <f t="shared" si="8"/>
        <v>0</v>
      </c>
      <c r="CQ21" s="19">
        <f t="shared" si="9"/>
        <v>0</v>
      </c>
      <c r="CR21" s="19">
        <f t="shared" si="10"/>
        <v>0</v>
      </c>
    </row>
    <row r="22" spans="1:96" s="9" customFormat="1" ht="12.75">
      <c r="A22" s="20"/>
      <c r="B22" s="21"/>
      <c r="C22" s="21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6">
        <f t="shared" si="0"/>
        <v>0</v>
      </c>
      <c r="AP22" s="6">
        <f t="shared" si="1"/>
        <v>0</v>
      </c>
      <c r="AQ22" s="6">
        <f t="shared" si="2"/>
        <v>0</v>
      </c>
      <c r="AR22" s="6">
        <f t="shared" si="3"/>
        <v>0</v>
      </c>
      <c r="AS22" s="6">
        <f t="shared" si="4"/>
        <v>0</v>
      </c>
      <c r="AT22" s="16">
        <f t="shared" si="11"/>
        <v>0</v>
      </c>
      <c r="AU22" s="17" t="str">
        <f>IF(OR(ISNUMBER(FIND({"M";"N";"D"},D22))),"1","")</f>
        <v/>
      </c>
      <c r="AV22" s="17" t="str">
        <f>IF(OR(ISNUMBER(FIND({"M";"N";"D"},E22))),"1","")</f>
        <v/>
      </c>
      <c r="AW22" s="17" t="str">
        <f>IF(OR(ISNUMBER(FIND({"M";"N";"D"},F22))),"1","")</f>
        <v/>
      </c>
      <c r="AX22" s="17" t="str">
        <f>IF(OR(ISNUMBER(FIND({"M";"N";"D"},G22))),"1","")</f>
        <v/>
      </c>
      <c r="AY22" s="17" t="str">
        <f>IF(OR(ISNUMBER(FIND({"M";"N";"D"},H22))),"1","")</f>
        <v/>
      </c>
      <c r="AZ22" s="17" t="str">
        <f>IF(OR(ISNUMBER(FIND({"M";"N";"D"},I22))),"1","")</f>
        <v/>
      </c>
      <c r="BA22" s="17" t="str">
        <f>IF(OR(ISNUMBER(FIND({"M";"N";"D"},J22))),"1","")</f>
        <v/>
      </c>
      <c r="BB22" s="17" t="str">
        <f>IF(OR(ISNUMBER(FIND({"M";"N";"D"},K22))),"1","")</f>
        <v/>
      </c>
      <c r="BC22" s="17" t="str">
        <f>IF(OR(ISNUMBER(FIND({"M";"N";"D"},L22))),"1","")</f>
        <v/>
      </c>
      <c r="BD22" s="17" t="str">
        <f>IF(OR(ISNUMBER(FIND({"M";"N";"D"},M22))),"1","")</f>
        <v/>
      </c>
      <c r="BE22" s="17" t="str">
        <f>IF(OR(ISNUMBER(FIND({"M";"N";"D"},N22))),"1","")</f>
        <v/>
      </c>
      <c r="BF22" s="17" t="str">
        <f>IF(OR(ISNUMBER(FIND({"M";"N";"D"},O22))),"1","")</f>
        <v/>
      </c>
      <c r="BG22" s="17" t="str">
        <f>IF(OR(ISNUMBER(FIND({"M";"N";"D"},P22))),"1","")</f>
        <v/>
      </c>
      <c r="BH22" s="17" t="str">
        <f>IF(OR(ISNUMBER(FIND({"M";"N";"D"},Q22))),"1","")</f>
        <v/>
      </c>
      <c r="BI22" s="17" t="str">
        <f>IF(OR(ISNUMBER(FIND({"M";"N";"D"},R22))),"1","")</f>
        <v/>
      </c>
      <c r="BJ22" s="17" t="str">
        <f>IF(OR(ISNUMBER(FIND({"M";"N";"D"},S22))),"1","")</f>
        <v/>
      </c>
      <c r="BK22" s="17" t="str">
        <f>IF(OR(ISNUMBER(FIND({"M";"N";"D"},T22))),"1","")</f>
        <v/>
      </c>
      <c r="BL22" s="17" t="str">
        <f>IF(OR(ISNUMBER(FIND({"M";"N";"D"},U22))),"1","")</f>
        <v/>
      </c>
      <c r="BM22" s="17" t="str">
        <f>IF(OR(ISNUMBER(FIND({"M";"N";"D"},V22))),"1","")</f>
        <v/>
      </c>
      <c r="BN22" s="17" t="str">
        <f>IF(OR(ISNUMBER(FIND({"M";"N";"D"},W22))),"1","")</f>
        <v/>
      </c>
      <c r="BO22" s="17" t="str">
        <f>IF(OR(ISNUMBER(FIND({"M";"N";"D"},X22))),"1","")</f>
        <v/>
      </c>
      <c r="BP22" s="17" t="str">
        <f>IF(OR(ISNUMBER(FIND({"M";"N";"D"},Y22))),"1","")</f>
        <v/>
      </c>
      <c r="BQ22" s="17" t="str">
        <f>IF(OR(ISNUMBER(FIND({"M";"N";"D"},Z22))),"1","")</f>
        <v/>
      </c>
      <c r="BR22" s="17" t="str">
        <f>IF(OR(ISNUMBER(FIND({"M";"N";"D"},AA22))),"1","")</f>
        <v/>
      </c>
      <c r="BS22" s="17" t="str">
        <f>IF(OR(ISNUMBER(FIND({"M";"N";"D"},AB22))),"1","")</f>
        <v/>
      </c>
      <c r="BT22" s="17" t="str">
        <f>IF(OR(ISNUMBER(FIND({"M";"N";"D"},AC22))),"1","")</f>
        <v/>
      </c>
      <c r="BU22" s="17" t="str">
        <f>IF(OR(ISNUMBER(FIND({"M";"N";"D"},AD22))),"1","")</f>
        <v/>
      </c>
      <c r="BV22" s="17" t="str">
        <f>IF(OR(ISNUMBER(FIND({"M";"N";"D"},AE22))),"1","")</f>
        <v/>
      </c>
      <c r="BW22" s="17" t="str">
        <f>IF(OR(ISNUMBER(FIND({"M";"N";"D"},AF22))),"1","")</f>
        <v/>
      </c>
      <c r="BX22" s="17" t="str">
        <f>IF(OR(ISNUMBER(FIND({"M";"N";"D"},AG22))),"1","")</f>
        <v/>
      </c>
      <c r="BY22" s="17" t="str">
        <f>IF(OR(ISNUMBER(FIND({"M";"N";"D"},AH22))),"1","")</f>
        <v/>
      </c>
      <c r="BZ22" s="17" t="str">
        <f>IF(OR(ISNUMBER(FIND({"M";"N";"D"},AI22))),"1","")</f>
        <v/>
      </c>
      <c r="CA22" s="17" t="str">
        <f>IF(OR(ISNUMBER(FIND({"M";"N";"D"},AJ22))),"1","")</f>
        <v/>
      </c>
      <c r="CB22" s="17" t="str">
        <f>IF(OR(ISNUMBER(FIND({"M";"N";"D"},AK22))),"1","")</f>
        <v/>
      </c>
      <c r="CC22" s="17" t="str">
        <f>IF(OR(ISNUMBER(FIND({"M";"N";"D"},AL22))),"1","")</f>
        <v/>
      </c>
      <c r="CD22" s="17" t="str">
        <f>IF(OR(ISNUMBER(FIND({"M";"N";"D"},AM22))),"1","")</f>
        <v/>
      </c>
      <c r="CE22" s="17" t="str">
        <f>IF(OR(ISNUMBER(FIND({"M";"N";"D"},AN22))),"1","")</f>
        <v/>
      </c>
      <c r="CF22" s="16">
        <f t="array" ref="CF22">MAX(FREQUENCY(IF(AU22:CE22&lt;&gt;"",COLUMN(AU22:CE22)),IF(AU22:CE22="",COLUMN(AU22:CE22))))</f>
        <v>0</v>
      </c>
      <c r="CG22" s="7"/>
      <c r="CH22" s="18">
        <f t="shared" si="12"/>
        <v>0</v>
      </c>
      <c r="CI22" s="8">
        <v>168</v>
      </c>
      <c r="CJ22" s="18">
        <f t="shared" si="5"/>
        <v>-168</v>
      </c>
      <c r="CK22" s="19">
        <f t="shared" si="13"/>
        <v>0</v>
      </c>
      <c r="CL22" s="30">
        <f t="shared" si="14"/>
        <v>0</v>
      </c>
      <c r="CM22" s="30">
        <f t="shared" si="15"/>
        <v>0</v>
      </c>
      <c r="CN22" s="19">
        <f t="shared" si="6"/>
        <v>0</v>
      </c>
      <c r="CO22" s="19">
        <f t="shared" si="7"/>
        <v>0</v>
      </c>
      <c r="CP22" s="19">
        <f t="shared" si="8"/>
        <v>0</v>
      </c>
      <c r="CQ22" s="19">
        <f t="shared" si="9"/>
        <v>0</v>
      </c>
      <c r="CR22" s="19">
        <f t="shared" si="10"/>
        <v>0</v>
      </c>
    </row>
    <row r="23" spans="1:96" s="9" customFormat="1" ht="12.75" customHeight="1">
      <c r="A23" s="20"/>
      <c r="B23" s="21"/>
      <c r="C23" s="21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6">
        <f t="shared" si="0"/>
        <v>0</v>
      </c>
      <c r="AP23" s="6">
        <f t="shared" si="1"/>
        <v>0</v>
      </c>
      <c r="AQ23" s="6">
        <f t="shared" si="2"/>
        <v>0</v>
      </c>
      <c r="AR23" s="6">
        <f t="shared" si="3"/>
        <v>0</v>
      </c>
      <c r="AS23" s="6">
        <f t="shared" si="4"/>
        <v>0</v>
      </c>
      <c r="AT23" s="16">
        <f t="shared" si="11"/>
        <v>0</v>
      </c>
      <c r="AU23" s="17" t="str">
        <f>IF(OR(ISNUMBER(FIND({"M";"N";"D"},D23))),"1","")</f>
        <v/>
      </c>
      <c r="AV23" s="17" t="str">
        <f>IF(OR(ISNUMBER(FIND({"M";"N";"D"},E23))),"1","")</f>
        <v/>
      </c>
      <c r="AW23" s="17" t="str">
        <f>IF(OR(ISNUMBER(FIND({"M";"N";"D"},F23))),"1","")</f>
        <v/>
      </c>
      <c r="AX23" s="17" t="str">
        <f>IF(OR(ISNUMBER(FIND({"M";"N";"D"},G23))),"1","")</f>
        <v/>
      </c>
      <c r="AY23" s="17" t="str">
        <f>IF(OR(ISNUMBER(FIND({"M";"N";"D"},H23))),"1","")</f>
        <v/>
      </c>
      <c r="AZ23" s="17" t="str">
        <f>IF(OR(ISNUMBER(FIND({"M";"N";"D"},I23))),"1","")</f>
        <v/>
      </c>
      <c r="BA23" s="17" t="str">
        <f>IF(OR(ISNUMBER(FIND({"M";"N";"D"},J23))),"1","")</f>
        <v/>
      </c>
      <c r="BB23" s="17" t="str">
        <f>IF(OR(ISNUMBER(FIND({"M";"N";"D"},K23))),"1","")</f>
        <v/>
      </c>
      <c r="BC23" s="17" t="str">
        <f>IF(OR(ISNUMBER(FIND({"M";"N";"D"},L23))),"1","")</f>
        <v/>
      </c>
      <c r="BD23" s="17" t="str">
        <f>IF(OR(ISNUMBER(FIND({"M";"N";"D"},M23))),"1","")</f>
        <v/>
      </c>
      <c r="BE23" s="17" t="str">
        <f>IF(OR(ISNUMBER(FIND({"M";"N";"D"},N23))),"1","")</f>
        <v/>
      </c>
      <c r="BF23" s="17" t="str">
        <f>IF(OR(ISNUMBER(FIND({"M";"N";"D"},O23))),"1","")</f>
        <v/>
      </c>
      <c r="BG23" s="17" t="str">
        <f>IF(OR(ISNUMBER(FIND({"M";"N";"D"},P23))),"1","")</f>
        <v/>
      </c>
      <c r="BH23" s="17" t="str">
        <f>IF(OR(ISNUMBER(FIND({"M";"N";"D"},Q23))),"1","")</f>
        <v/>
      </c>
      <c r="BI23" s="17" t="str">
        <f>IF(OR(ISNUMBER(FIND({"M";"N";"D"},R23))),"1","")</f>
        <v/>
      </c>
      <c r="BJ23" s="17" t="str">
        <f>IF(OR(ISNUMBER(FIND({"M";"N";"D"},S23))),"1","")</f>
        <v/>
      </c>
      <c r="BK23" s="17" t="str">
        <f>IF(OR(ISNUMBER(FIND({"M";"N";"D"},T23))),"1","")</f>
        <v/>
      </c>
      <c r="BL23" s="17" t="str">
        <f>IF(OR(ISNUMBER(FIND({"M";"N";"D"},U23))),"1","")</f>
        <v/>
      </c>
      <c r="BM23" s="17" t="str">
        <f>IF(OR(ISNUMBER(FIND({"M";"N";"D"},V23))),"1","")</f>
        <v/>
      </c>
      <c r="BN23" s="17" t="str">
        <f>IF(OR(ISNUMBER(FIND({"M";"N";"D"},W23))),"1","")</f>
        <v/>
      </c>
      <c r="BO23" s="17" t="str">
        <f>IF(OR(ISNUMBER(FIND({"M";"N";"D"},X23))),"1","")</f>
        <v/>
      </c>
      <c r="BP23" s="17" t="str">
        <f>IF(OR(ISNUMBER(FIND({"M";"N";"D"},Y23))),"1","")</f>
        <v/>
      </c>
      <c r="BQ23" s="17" t="str">
        <f>IF(OR(ISNUMBER(FIND({"M";"N";"D"},Z23))),"1","")</f>
        <v/>
      </c>
      <c r="BR23" s="17" t="str">
        <f>IF(OR(ISNUMBER(FIND({"M";"N";"D"},AA23))),"1","")</f>
        <v/>
      </c>
      <c r="BS23" s="17" t="str">
        <f>IF(OR(ISNUMBER(FIND({"M";"N";"D"},AB23))),"1","")</f>
        <v/>
      </c>
      <c r="BT23" s="17" t="str">
        <f>IF(OR(ISNUMBER(FIND({"M";"N";"D"},AC23))),"1","")</f>
        <v/>
      </c>
      <c r="BU23" s="17" t="str">
        <f>IF(OR(ISNUMBER(FIND({"M";"N";"D"},AD23))),"1","")</f>
        <v/>
      </c>
      <c r="BV23" s="17" t="str">
        <f>IF(OR(ISNUMBER(FIND({"M";"N";"D"},AE23))),"1","")</f>
        <v/>
      </c>
      <c r="BW23" s="17" t="str">
        <f>IF(OR(ISNUMBER(FIND({"M";"N";"D"},AF23))),"1","")</f>
        <v/>
      </c>
      <c r="BX23" s="17" t="str">
        <f>IF(OR(ISNUMBER(FIND({"M";"N";"D"},AG23))),"1","")</f>
        <v/>
      </c>
      <c r="BY23" s="17" t="str">
        <f>IF(OR(ISNUMBER(FIND({"M";"N";"D"},AH23))),"1","")</f>
        <v/>
      </c>
      <c r="BZ23" s="17" t="str">
        <f>IF(OR(ISNUMBER(FIND({"M";"N";"D"},AI23))),"1","")</f>
        <v/>
      </c>
      <c r="CA23" s="17" t="str">
        <f>IF(OR(ISNUMBER(FIND({"M";"N";"D"},AJ23))),"1","")</f>
        <v/>
      </c>
      <c r="CB23" s="17" t="str">
        <f>IF(OR(ISNUMBER(FIND({"M";"N";"D"},AK23))),"1","")</f>
        <v/>
      </c>
      <c r="CC23" s="17" t="str">
        <f>IF(OR(ISNUMBER(FIND({"M";"N";"D"},AL23))),"1","")</f>
        <v/>
      </c>
      <c r="CD23" s="17" t="str">
        <f>IF(OR(ISNUMBER(FIND({"M";"N";"D"},AM23))),"1","")</f>
        <v/>
      </c>
      <c r="CE23" s="17" t="str">
        <f>IF(OR(ISNUMBER(FIND({"M";"N";"D"},AN23))),"1","")</f>
        <v/>
      </c>
      <c r="CF23" s="16">
        <f t="array" ref="CF23">MAX(FREQUENCY(IF(AU23:CE23&lt;&gt;"",COLUMN(AU23:CE23)),IF(AU23:CE23="",COLUMN(AU23:CE23))))</f>
        <v>0</v>
      </c>
      <c r="CG23" s="7"/>
      <c r="CH23" s="18">
        <f t="shared" si="12"/>
        <v>0</v>
      </c>
      <c r="CI23" s="8">
        <v>168</v>
      </c>
      <c r="CJ23" s="18">
        <f t="shared" si="5"/>
        <v>-168</v>
      </c>
      <c r="CK23" s="19">
        <f t="shared" si="13"/>
        <v>0</v>
      </c>
      <c r="CL23" s="30">
        <f t="shared" si="14"/>
        <v>0</v>
      </c>
      <c r="CM23" s="30">
        <f t="shared" si="15"/>
        <v>0</v>
      </c>
      <c r="CN23" s="19">
        <f t="shared" si="6"/>
        <v>0</v>
      </c>
      <c r="CO23" s="19">
        <f t="shared" si="7"/>
        <v>0</v>
      </c>
      <c r="CP23" s="19">
        <f t="shared" si="8"/>
        <v>0</v>
      </c>
      <c r="CQ23" s="19">
        <f t="shared" si="9"/>
        <v>0</v>
      </c>
      <c r="CR23" s="19">
        <f t="shared" si="10"/>
        <v>0</v>
      </c>
    </row>
    <row r="24" spans="1:96" s="9" customFormat="1" ht="12.75">
      <c r="A24" s="20"/>
      <c r="B24" s="21"/>
      <c r="C24" s="2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6">
        <f t="shared" si="0"/>
        <v>0</v>
      </c>
      <c r="AP24" s="6">
        <f t="shared" si="1"/>
        <v>0</v>
      </c>
      <c r="AQ24" s="6">
        <f t="shared" si="2"/>
        <v>0</v>
      </c>
      <c r="AR24" s="6">
        <f t="shared" si="3"/>
        <v>0</v>
      </c>
      <c r="AS24" s="6">
        <f t="shared" si="4"/>
        <v>0</v>
      </c>
      <c r="AT24" s="16">
        <f t="shared" si="11"/>
        <v>0</v>
      </c>
      <c r="AU24" s="17" t="str">
        <f>IF(OR(ISNUMBER(FIND({"M";"N";"D"},D24))),"1","")</f>
        <v/>
      </c>
      <c r="AV24" s="17" t="str">
        <f>IF(OR(ISNUMBER(FIND({"M";"N";"D"},E24))),"1","")</f>
        <v/>
      </c>
      <c r="AW24" s="17" t="str">
        <f>IF(OR(ISNUMBER(FIND({"M";"N";"D"},F24))),"1","")</f>
        <v/>
      </c>
      <c r="AX24" s="17" t="str">
        <f>IF(OR(ISNUMBER(FIND({"M";"N";"D"},G24))),"1","")</f>
        <v/>
      </c>
      <c r="AY24" s="17" t="str">
        <f>IF(OR(ISNUMBER(FIND({"M";"N";"D"},H24))),"1","")</f>
        <v/>
      </c>
      <c r="AZ24" s="17" t="str">
        <f>IF(OR(ISNUMBER(FIND({"M";"N";"D"},I24))),"1","")</f>
        <v/>
      </c>
      <c r="BA24" s="17" t="str">
        <f>IF(OR(ISNUMBER(FIND({"M";"N";"D"},J24))),"1","")</f>
        <v/>
      </c>
      <c r="BB24" s="17" t="str">
        <f>IF(OR(ISNUMBER(FIND({"M";"N";"D"},K24))),"1","")</f>
        <v/>
      </c>
      <c r="BC24" s="17" t="str">
        <f>IF(OR(ISNUMBER(FIND({"M";"N";"D"},L24))),"1","")</f>
        <v/>
      </c>
      <c r="BD24" s="17" t="str">
        <f>IF(OR(ISNUMBER(FIND({"M";"N";"D"},M24))),"1","")</f>
        <v/>
      </c>
      <c r="BE24" s="17" t="str">
        <f>IF(OR(ISNUMBER(FIND({"M";"N";"D"},N24))),"1","")</f>
        <v/>
      </c>
      <c r="BF24" s="17" t="str">
        <f>IF(OR(ISNUMBER(FIND({"M";"N";"D"},O24))),"1","")</f>
        <v/>
      </c>
      <c r="BG24" s="17" t="str">
        <f>IF(OR(ISNUMBER(FIND({"M";"N";"D"},P24))),"1","")</f>
        <v/>
      </c>
      <c r="BH24" s="17" t="str">
        <f>IF(OR(ISNUMBER(FIND({"M";"N";"D"},Q24))),"1","")</f>
        <v/>
      </c>
      <c r="BI24" s="17" t="str">
        <f>IF(OR(ISNUMBER(FIND({"M";"N";"D"},R24))),"1","")</f>
        <v/>
      </c>
      <c r="BJ24" s="17" t="str">
        <f>IF(OR(ISNUMBER(FIND({"M";"N";"D"},S24))),"1","")</f>
        <v/>
      </c>
      <c r="BK24" s="17" t="str">
        <f>IF(OR(ISNUMBER(FIND({"M";"N";"D"},T24))),"1","")</f>
        <v/>
      </c>
      <c r="BL24" s="17" t="str">
        <f>IF(OR(ISNUMBER(FIND({"M";"N";"D"},U24))),"1","")</f>
        <v/>
      </c>
      <c r="BM24" s="17" t="str">
        <f>IF(OR(ISNUMBER(FIND({"M";"N";"D"},V24))),"1","")</f>
        <v/>
      </c>
      <c r="BN24" s="17" t="str">
        <f>IF(OR(ISNUMBER(FIND({"M";"N";"D"},W24))),"1","")</f>
        <v/>
      </c>
      <c r="BO24" s="17" t="str">
        <f>IF(OR(ISNUMBER(FIND({"M";"N";"D"},X24))),"1","")</f>
        <v/>
      </c>
      <c r="BP24" s="17" t="str">
        <f>IF(OR(ISNUMBER(FIND({"M";"N";"D"},Y24))),"1","")</f>
        <v/>
      </c>
      <c r="BQ24" s="17" t="str">
        <f>IF(OR(ISNUMBER(FIND({"M";"N";"D"},Z24))),"1","")</f>
        <v/>
      </c>
      <c r="BR24" s="17" t="str">
        <f>IF(OR(ISNUMBER(FIND({"M";"N";"D"},AA24))),"1","")</f>
        <v/>
      </c>
      <c r="BS24" s="17" t="str">
        <f>IF(OR(ISNUMBER(FIND({"M";"N";"D"},AB24))),"1","")</f>
        <v/>
      </c>
      <c r="BT24" s="17" t="str">
        <f>IF(OR(ISNUMBER(FIND({"M";"N";"D"},AC24))),"1","")</f>
        <v/>
      </c>
      <c r="BU24" s="17" t="str">
        <f>IF(OR(ISNUMBER(FIND({"M";"N";"D"},AD24))),"1","")</f>
        <v/>
      </c>
      <c r="BV24" s="17" t="str">
        <f>IF(OR(ISNUMBER(FIND({"M";"N";"D"},AE24))),"1","")</f>
        <v/>
      </c>
      <c r="BW24" s="17" t="str">
        <f>IF(OR(ISNUMBER(FIND({"M";"N";"D"},AF24))),"1","")</f>
        <v/>
      </c>
      <c r="BX24" s="17" t="str">
        <f>IF(OR(ISNUMBER(FIND({"M";"N";"D"},AG24))),"1","")</f>
        <v/>
      </c>
      <c r="BY24" s="17" t="str">
        <f>IF(OR(ISNUMBER(FIND({"M";"N";"D"},AH24))),"1","")</f>
        <v/>
      </c>
      <c r="BZ24" s="17" t="str">
        <f>IF(OR(ISNUMBER(FIND({"M";"N";"D"},AI24))),"1","")</f>
        <v/>
      </c>
      <c r="CA24" s="17" t="str">
        <f>IF(OR(ISNUMBER(FIND({"M";"N";"D"},AJ24))),"1","")</f>
        <v/>
      </c>
      <c r="CB24" s="17" t="str">
        <f>IF(OR(ISNUMBER(FIND({"M";"N";"D"},AK24))),"1","")</f>
        <v/>
      </c>
      <c r="CC24" s="17" t="str">
        <f>IF(OR(ISNUMBER(FIND({"M";"N";"D"},AL24))),"1","")</f>
        <v/>
      </c>
      <c r="CD24" s="17" t="str">
        <f>IF(OR(ISNUMBER(FIND({"M";"N";"D"},AM24))),"1","")</f>
        <v/>
      </c>
      <c r="CE24" s="17" t="str">
        <f>IF(OR(ISNUMBER(FIND({"M";"N";"D"},AN24))),"1","")</f>
        <v/>
      </c>
      <c r="CF24" s="16">
        <f t="array" ref="CF24">MAX(FREQUENCY(IF(AU24:CE24&lt;&gt;"",COLUMN(AU24:CE24)),IF(AU24:CE24="",COLUMN(AU24:CE24))))</f>
        <v>0</v>
      </c>
      <c r="CG24" s="7"/>
      <c r="CH24" s="18">
        <f t="shared" si="12"/>
        <v>0</v>
      </c>
      <c r="CI24" s="8">
        <v>168</v>
      </c>
      <c r="CJ24" s="18">
        <f t="shared" si="5"/>
        <v>-168</v>
      </c>
      <c r="CK24" s="19">
        <f t="shared" si="13"/>
        <v>0</v>
      </c>
      <c r="CL24" s="30">
        <f t="shared" si="14"/>
        <v>0</v>
      </c>
      <c r="CM24" s="30">
        <f t="shared" si="15"/>
        <v>0</v>
      </c>
      <c r="CN24" s="19">
        <f t="shared" si="6"/>
        <v>0</v>
      </c>
      <c r="CO24" s="19">
        <f t="shared" si="7"/>
        <v>0</v>
      </c>
      <c r="CP24" s="19">
        <f t="shared" si="8"/>
        <v>0</v>
      </c>
      <c r="CQ24" s="19">
        <f t="shared" si="9"/>
        <v>0</v>
      </c>
      <c r="CR24" s="19">
        <f t="shared" si="10"/>
        <v>0</v>
      </c>
    </row>
    <row r="25" spans="1:96" s="9" customFormat="1" ht="12.75">
      <c r="A25" s="20"/>
      <c r="B25" s="21"/>
      <c r="C25" s="2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6">
        <f t="shared" si="0"/>
        <v>0</v>
      </c>
      <c r="AP25" s="6">
        <f t="shared" si="1"/>
        <v>0</v>
      </c>
      <c r="AQ25" s="6">
        <f t="shared" si="2"/>
        <v>0</v>
      </c>
      <c r="AR25" s="6">
        <f t="shared" si="3"/>
        <v>0</v>
      </c>
      <c r="AS25" s="6">
        <f t="shared" si="4"/>
        <v>0</v>
      </c>
      <c r="AT25" s="16">
        <f t="shared" si="11"/>
        <v>0</v>
      </c>
      <c r="AU25" s="17" t="str">
        <f>IF(OR(ISNUMBER(FIND({"M";"N";"D"},D25))),"1","")</f>
        <v/>
      </c>
      <c r="AV25" s="17" t="str">
        <f>IF(OR(ISNUMBER(FIND({"M";"N";"D"},E25))),"1","")</f>
        <v/>
      </c>
      <c r="AW25" s="17" t="str">
        <f>IF(OR(ISNUMBER(FIND({"M";"N";"D"},F25))),"1","")</f>
        <v/>
      </c>
      <c r="AX25" s="17" t="str">
        <f>IF(OR(ISNUMBER(FIND({"M";"N";"D"},G25))),"1","")</f>
        <v/>
      </c>
      <c r="AY25" s="17" t="str">
        <f>IF(OR(ISNUMBER(FIND({"M";"N";"D"},H25))),"1","")</f>
        <v/>
      </c>
      <c r="AZ25" s="17" t="str">
        <f>IF(OR(ISNUMBER(FIND({"M";"N";"D"},I25))),"1","")</f>
        <v/>
      </c>
      <c r="BA25" s="17" t="str">
        <f>IF(OR(ISNUMBER(FIND({"M";"N";"D"},J25))),"1","")</f>
        <v/>
      </c>
      <c r="BB25" s="17" t="str">
        <f>IF(OR(ISNUMBER(FIND({"M";"N";"D"},K25))),"1","")</f>
        <v/>
      </c>
      <c r="BC25" s="17" t="str">
        <f>IF(OR(ISNUMBER(FIND({"M";"N";"D"},L25))),"1","")</f>
        <v/>
      </c>
      <c r="BD25" s="17" t="str">
        <f>IF(OR(ISNUMBER(FIND({"M";"N";"D"},M25))),"1","")</f>
        <v/>
      </c>
      <c r="BE25" s="17" t="str">
        <f>IF(OR(ISNUMBER(FIND({"M";"N";"D"},N25))),"1","")</f>
        <v/>
      </c>
      <c r="BF25" s="17" t="str">
        <f>IF(OR(ISNUMBER(FIND({"M";"N";"D"},O25))),"1","")</f>
        <v/>
      </c>
      <c r="BG25" s="17" t="str">
        <f>IF(OR(ISNUMBER(FIND({"M";"N";"D"},P25))),"1","")</f>
        <v/>
      </c>
      <c r="BH25" s="17" t="str">
        <f>IF(OR(ISNUMBER(FIND({"M";"N";"D"},Q25))),"1","")</f>
        <v/>
      </c>
      <c r="BI25" s="17" t="str">
        <f>IF(OR(ISNUMBER(FIND({"M";"N";"D"},R25))),"1","")</f>
        <v/>
      </c>
      <c r="BJ25" s="17" t="str">
        <f>IF(OR(ISNUMBER(FIND({"M";"N";"D"},S25))),"1","")</f>
        <v/>
      </c>
      <c r="BK25" s="17" t="str">
        <f>IF(OR(ISNUMBER(FIND({"M";"N";"D"},T25))),"1","")</f>
        <v/>
      </c>
      <c r="BL25" s="17" t="str">
        <f>IF(OR(ISNUMBER(FIND({"M";"N";"D"},U25))),"1","")</f>
        <v/>
      </c>
      <c r="BM25" s="17" t="str">
        <f>IF(OR(ISNUMBER(FIND({"M";"N";"D"},V25))),"1","")</f>
        <v/>
      </c>
      <c r="BN25" s="17" t="str">
        <f>IF(OR(ISNUMBER(FIND({"M";"N";"D"},W25))),"1","")</f>
        <v/>
      </c>
      <c r="BO25" s="17" t="str">
        <f>IF(OR(ISNUMBER(FIND({"M";"N";"D"},X25))),"1","")</f>
        <v/>
      </c>
      <c r="BP25" s="17" t="str">
        <f>IF(OR(ISNUMBER(FIND({"M";"N";"D"},Y25))),"1","")</f>
        <v/>
      </c>
      <c r="BQ25" s="17" t="str">
        <f>IF(OR(ISNUMBER(FIND({"M";"N";"D"},Z25))),"1","")</f>
        <v/>
      </c>
      <c r="BR25" s="17" t="str">
        <f>IF(OR(ISNUMBER(FIND({"M";"N";"D"},AA25))),"1","")</f>
        <v/>
      </c>
      <c r="BS25" s="17" t="str">
        <f>IF(OR(ISNUMBER(FIND({"M";"N";"D"},AB25))),"1","")</f>
        <v/>
      </c>
      <c r="BT25" s="17" t="str">
        <f>IF(OR(ISNUMBER(FIND({"M";"N";"D"},AC25))),"1","")</f>
        <v/>
      </c>
      <c r="BU25" s="17" t="str">
        <f>IF(OR(ISNUMBER(FIND({"M";"N";"D"},AD25))),"1","")</f>
        <v/>
      </c>
      <c r="BV25" s="17" t="str">
        <f>IF(OR(ISNUMBER(FIND({"M";"N";"D"},AE25))),"1","")</f>
        <v/>
      </c>
      <c r="BW25" s="17" t="str">
        <f>IF(OR(ISNUMBER(FIND({"M";"N";"D"},AF25))),"1","")</f>
        <v/>
      </c>
      <c r="BX25" s="17" t="str">
        <f>IF(OR(ISNUMBER(FIND({"M";"N";"D"},AG25))),"1","")</f>
        <v/>
      </c>
      <c r="BY25" s="17" t="str">
        <f>IF(OR(ISNUMBER(FIND({"M";"N";"D"},AH25))),"1","")</f>
        <v/>
      </c>
      <c r="BZ25" s="17" t="str">
        <f>IF(OR(ISNUMBER(FIND({"M";"N";"D"},AI25))),"1","")</f>
        <v/>
      </c>
      <c r="CA25" s="17" t="str">
        <f>IF(OR(ISNUMBER(FIND({"M";"N";"D"},AJ25))),"1","")</f>
        <v/>
      </c>
      <c r="CB25" s="17" t="str">
        <f>IF(OR(ISNUMBER(FIND({"M";"N";"D"},AK25))),"1","")</f>
        <v/>
      </c>
      <c r="CC25" s="17" t="str">
        <f>IF(OR(ISNUMBER(FIND({"M";"N";"D"},AL25))),"1","")</f>
        <v/>
      </c>
      <c r="CD25" s="17" t="str">
        <f>IF(OR(ISNUMBER(FIND({"M";"N";"D"},AM25))),"1","")</f>
        <v/>
      </c>
      <c r="CE25" s="17" t="str">
        <f>IF(OR(ISNUMBER(FIND({"M";"N";"D"},AN25))),"1","")</f>
        <v/>
      </c>
      <c r="CF25" s="16">
        <f t="array" ref="CF25">MAX(FREQUENCY(IF(AU25:CE25&lt;&gt;"",COLUMN(AU25:CE25)),IF(AU25:CE25="",COLUMN(AU25:CE25))))</f>
        <v>0</v>
      </c>
      <c r="CG25" s="7"/>
      <c r="CH25" s="18">
        <f t="shared" si="12"/>
        <v>0</v>
      </c>
      <c r="CI25" s="8">
        <v>168</v>
      </c>
      <c r="CJ25" s="18">
        <f t="shared" si="5"/>
        <v>-168</v>
      </c>
      <c r="CK25" s="19">
        <f t="shared" si="13"/>
        <v>0</v>
      </c>
      <c r="CL25" s="30">
        <f t="shared" si="14"/>
        <v>0</v>
      </c>
      <c r="CM25" s="30">
        <f t="shared" si="15"/>
        <v>0</v>
      </c>
      <c r="CN25" s="19">
        <f t="shared" si="6"/>
        <v>0</v>
      </c>
      <c r="CO25" s="19">
        <f t="shared" si="7"/>
        <v>0</v>
      </c>
      <c r="CP25" s="19">
        <f t="shared" si="8"/>
        <v>0</v>
      </c>
      <c r="CQ25" s="19">
        <f t="shared" si="9"/>
        <v>0</v>
      </c>
      <c r="CR25" s="19">
        <f t="shared" si="10"/>
        <v>0</v>
      </c>
    </row>
    <row r="26" spans="1:96" s="9" customFormat="1" ht="12.75" customHeight="1">
      <c r="A26" s="20"/>
      <c r="B26" s="21"/>
      <c r="C26" s="2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6">
        <f t="shared" si="0"/>
        <v>0</v>
      </c>
      <c r="AP26" s="6">
        <f t="shared" si="1"/>
        <v>0</v>
      </c>
      <c r="AQ26" s="6">
        <f t="shared" si="2"/>
        <v>0</v>
      </c>
      <c r="AR26" s="6">
        <f t="shared" si="3"/>
        <v>0</v>
      </c>
      <c r="AS26" s="6">
        <f t="shared" si="4"/>
        <v>0</v>
      </c>
      <c r="AT26" s="16">
        <f t="shared" si="11"/>
        <v>0</v>
      </c>
      <c r="AU26" s="17" t="str">
        <f>IF(OR(ISNUMBER(FIND({"M";"N";"D"},D26))),"1","")</f>
        <v/>
      </c>
      <c r="AV26" s="17" t="str">
        <f>IF(OR(ISNUMBER(FIND({"M";"N";"D"},E26))),"1","")</f>
        <v/>
      </c>
      <c r="AW26" s="17" t="str">
        <f>IF(OR(ISNUMBER(FIND({"M";"N";"D"},F26))),"1","")</f>
        <v/>
      </c>
      <c r="AX26" s="17" t="str">
        <f>IF(OR(ISNUMBER(FIND({"M";"N";"D"},G26))),"1","")</f>
        <v/>
      </c>
      <c r="AY26" s="17" t="str">
        <f>IF(OR(ISNUMBER(FIND({"M";"N";"D"},H26))),"1","")</f>
        <v/>
      </c>
      <c r="AZ26" s="17" t="str">
        <f>IF(OR(ISNUMBER(FIND({"M";"N";"D"},I26))),"1","")</f>
        <v/>
      </c>
      <c r="BA26" s="17" t="str">
        <f>IF(OR(ISNUMBER(FIND({"M";"N";"D"},J26))),"1","")</f>
        <v/>
      </c>
      <c r="BB26" s="17" t="str">
        <f>IF(OR(ISNUMBER(FIND({"M";"N";"D"},K26))),"1","")</f>
        <v/>
      </c>
      <c r="BC26" s="17" t="str">
        <f>IF(OR(ISNUMBER(FIND({"M";"N";"D"},L26))),"1","")</f>
        <v/>
      </c>
      <c r="BD26" s="17" t="str">
        <f>IF(OR(ISNUMBER(FIND({"M";"N";"D"},M26))),"1","")</f>
        <v/>
      </c>
      <c r="BE26" s="17" t="str">
        <f>IF(OR(ISNUMBER(FIND({"M";"N";"D"},N26))),"1","")</f>
        <v/>
      </c>
      <c r="BF26" s="17" t="str">
        <f>IF(OR(ISNUMBER(FIND({"M";"N";"D"},O26))),"1","")</f>
        <v/>
      </c>
      <c r="BG26" s="17" t="str">
        <f>IF(OR(ISNUMBER(FIND({"M";"N";"D"},P26))),"1","")</f>
        <v/>
      </c>
      <c r="BH26" s="17" t="str">
        <f>IF(OR(ISNUMBER(FIND({"M";"N";"D"},Q26))),"1","")</f>
        <v/>
      </c>
      <c r="BI26" s="17" t="str">
        <f>IF(OR(ISNUMBER(FIND({"M";"N";"D"},R26))),"1","")</f>
        <v/>
      </c>
      <c r="BJ26" s="17" t="str">
        <f>IF(OR(ISNUMBER(FIND({"M";"N";"D"},S26))),"1","")</f>
        <v/>
      </c>
      <c r="BK26" s="17" t="str">
        <f>IF(OR(ISNUMBER(FIND({"M";"N";"D"},T26))),"1","")</f>
        <v/>
      </c>
      <c r="BL26" s="17" t="str">
        <f>IF(OR(ISNUMBER(FIND({"M";"N";"D"},U26))),"1","")</f>
        <v/>
      </c>
      <c r="BM26" s="17" t="str">
        <f>IF(OR(ISNUMBER(FIND({"M";"N";"D"},V26))),"1","")</f>
        <v/>
      </c>
      <c r="BN26" s="17" t="str">
        <f>IF(OR(ISNUMBER(FIND({"M";"N";"D"},W26))),"1","")</f>
        <v/>
      </c>
      <c r="BO26" s="17" t="str">
        <f>IF(OR(ISNUMBER(FIND({"M";"N";"D"},X26))),"1","")</f>
        <v/>
      </c>
      <c r="BP26" s="17" t="str">
        <f>IF(OR(ISNUMBER(FIND({"M";"N";"D"},Y26))),"1","")</f>
        <v/>
      </c>
      <c r="BQ26" s="17" t="str">
        <f>IF(OR(ISNUMBER(FIND({"M";"N";"D"},Z26))),"1","")</f>
        <v/>
      </c>
      <c r="BR26" s="17" t="str">
        <f>IF(OR(ISNUMBER(FIND({"M";"N";"D"},AA26))),"1","")</f>
        <v/>
      </c>
      <c r="BS26" s="17" t="str">
        <f>IF(OR(ISNUMBER(FIND({"M";"N";"D"},AB26))),"1","")</f>
        <v/>
      </c>
      <c r="BT26" s="17" t="str">
        <f>IF(OR(ISNUMBER(FIND({"M";"N";"D"},AC26))),"1","")</f>
        <v/>
      </c>
      <c r="BU26" s="17" t="str">
        <f>IF(OR(ISNUMBER(FIND({"M";"N";"D"},AD26))),"1","")</f>
        <v/>
      </c>
      <c r="BV26" s="17" t="str">
        <f>IF(OR(ISNUMBER(FIND({"M";"N";"D"},AE26))),"1","")</f>
        <v/>
      </c>
      <c r="BW26" s="17" t="str">
        <f>IF(OR(ISNUMBER(FIND({"M";"N";"D"},AF26))),"1","")</f>
        <v/>
      </c>
      <c r="BX26" s="17" t="str">
        <f>IF(OR(ISNUMBER(FIND({"M";"N";"D"},AG26))),"1","")</f>
        <v/>
      </c>
      <c r="BY26" s="17" t="str">
        <f>IF(OR(ISNUMBER(FIND({"M";"N";"D"},AH26))),"1","")</f>
        <v/>
      </c>
      <c r="BZ26" s="17" t="str">
        <f>IF(OR(ISNUMBER(FIND({"M";"N";"D"},AI26))),"1","")</f>
        <v/>
      </c>
      <c r="CA26" s="17" t="str">
        <f>IF(OR(ISNUMBER(FIND({"M";"N";"D"},AJ26))),"1","")</f>
        <v/>
      </c>
      <c r="CB26" s="17" t="str">
        <f>IF(OR(ISNUMBER(FIND({"M";"N";"D"},AK26))),"1","")</f>
        <v/>
      </c>
      <c r="CC26" s="17" t="str">
        <f>IF(OR(ISNUMBER(FIND({"M";"N";"D"},AL26))),"1","")</f>
        <v/>
      </c>
      <c r="CD26" s="17" t="str">
        <f>IF(OR(ISNUMBER(FIND({"M";"N";"D"},AM26))),"1","")</f>
        <v/>
      </c>
      <c r="CE26" s="17" t="str">
        <f>IF(OR(ISNUMBER(FIND({"M";"N";"D"},AN26))),"1","")</f>
        <v/>
      </c>
      <c r="CF26" s="16">
        <f t="array" ref="CF26">MAX(FREQUENCY(IF(AU26:CE26&lt;&gt;"",COLUMN(AU26:CE26)),IF(AU26:CE26="",COLUMN(AU26:CE26))))</f>
        <v>0</v>
      </c>
      <c r="CG26" s="7"/>
      <c r="CH26" s="18">
        <f t="shared" si="12"/>
        <v>0</v>
      </c>
      <c r="CI26" s="8">
        <v>168</v>
      </c>
      <c r="CJ26" s="18">
        <f t="shared" si="5"/>
        <v>-168</v>
      </c>
      <c r="CK26" s="19">
        <f t="shared" si="13"/>
        <v>0</v>
      </c>
      <c r="CL26" s="30">
        <f t="shared" si="14"/>
        <v>0</v>
      </c>
      <c r="CM26" s="30">
        <f t="shared" si="15"/>
        <v>0</v>
      </c>
      <c r="CN26" s="19">
        <f t="shared" si="6"/>
        <v>0</v>
      </c>
      <c r="CO26" s="19">
        <f t="shared" si="7"/>
        <v>0</v>
      </c>
      <c r="CP26" s="19">
        <f t="shared" si="8"/>
        <v>0</v>
      </c>
      <c r="CQ26" s="19">
        <f t="shared" si="9"/>
        <v>0</v>
      </c>
      <c r="CR26" s="19">
        <f t="shared" si="10"/>
        <v>0</v>
      </c>
    </row>
    <row r="27" spans="1:96" s="9" customFormat="1" ht="12.75">
      <c r="A27" s="20"/>
      <c r="B27" s="21"/>
      <c r="C27" s="2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6">
        <f t="shared" si="0"/>
        <v>0</v>
      </c>
      <c r="AP27" s="6">
        <f t="shared" si="1"/>
        <v>0</v>
      </c>
      <c r="AQ27" s="6">
        <f t="shared" si="2"/>
        <v>0</v>
      </c>
      <c r="AR27" s="6">
        <f t="shared" si="3"/>
        <v>0</v>
      </c>
      <c r="AS27" s="6">
        <f t="shared" si="4"/>
        <v>0</v>
      </c>
      <c r="AT27" s="16">
        <f t="shared" si="11"/>
        <v>0</v>
      </c>
      <c r="AU27" s="17" t="str">
        <f>IF(OR(ISNUMBER(FIND({"M";"N";"D"},D27))),"1","")</f>
        <v/>
      </c>
      <c r="AV27" s="17" t="str">
        <f>IF(OR(ISNUMBER(FIND({"M";"N";"D"},E27))),"1","")</f>
        <v/>
      </c>
      <c r="AW27" s="17" t="str">
        <f>IF(OR(ISNUMBER(FIND({"M";"N";"D"},F27))),"1","")</f>
        <v/>
      </c>
      <c r="AX27" s="17" t="str">
        <f>IF(OR(ISNUMBER(FIND({"M";"N";"D"},G27))),"1","")</f>
        <v/>
      </c>
      <c r="AY27" s="17" t="str">
        <f>IF(OR(ISNUMBER(FIND({"M";"N";"D"},H27))),"1","")</f>
        <v/>
      </c>
      <c r="AZ27" s="17" t="str">
        <f>IF(OR(ISNUMBER(FIND({"M";"N";"D"},I27))),"1","")</f>
        <v/>
      </c>
      <c r="BA27" s="17" t="str">
        <f>IF(OR(ISNUMBER(FIND({"M";"N";"D"},J27))),"1","")</f>
        <v/>
      </c>
      <c r="BB27" s="17" t="str">
        <f>IF(OR(ISNUMBER(FIND({"M";"N";"D"},K27))),"1","")</f>
        <v/>
      </c>
      <c r="BC27" s="17" t="str">
        <f>IF(OR(ISNUMBER(FIND({"M";"N";"D"},L27))),"1","")</f>
        <v/>
      </c>
      <c r="BD27" s="17" t="str">
        <f>IF(OR(ISNUMBER(FIND({"M";"N";"D"},M27))),"1","")</f>
        <v/>
      </c>
      <c r="BE27" s="17" t="str">
        <f>IF(OR(ISNUMBER(FIND({"M";"N";"D"},N27))),"1","")</f>
        <v/>
      </c>
      <c r="BF27" s="17" t="str">
        <f>IF(OR(ISNUMBER(FIND({"M";"N";"D"},O27))),"1","")</f>
        <v/>
      </c>
      <c r="BG27" s="17" t="str">
        <f>IF(OR(ISNUMBER(FIND({"M";"N";"D"},P27))),"1","")</f>
        <v/>
      </c>
      <c r="BH27" s="17" t="str">
        <f>IF(OR(ISNUMBER(FIND({"M";"N";"D"},Q27))),"1","")</f>
        <v/>
      </c>
      <c r="BI27" s="17" t="str">
        <f>IF(OR(ISNUMBER(FIND({"M";"N";"D"},R27))),"1","")</f>
        <v/>
      </c>
      <c r="BJ27" s="17" t="str">
        <f>IF(OR(ISNUMBER(FIND({"M";"N";"D"},S27))),"1","")</f>
        <v/>
      </c>
      <c r="BK27" s="17" t="str">
        <f>IF(OR(ISNUMBER(FIND({"M";"N";"D"},T27))),"1","")</f>
        <v/>
      </c>
      <c r="BL27" s="17" t="str">
        <f>IF(OR(ISNUMBER(FIND({"M";"N";"D"},U27))),"1","")</f>
        <v/>
      </c>
      <c r="BM27" s="17" t="str">
        <f>IF(OR(ISNUMBER(FIND({"M";"N";"D"},V27))),"1","")</f>
        <v/>
      </c>
      <c r="BN27" s="17" t="str">
        <f>IF(OR(ISNUMBER(FIND({"M";"N";"D"},W27))),"1","")</f>
        <v/>
      </c>
      <c r="BO27" s="17" t="str">
        <f>IF(OR(ISNUMBER(FIND({"M";"N";"D"},X27))),"1","")</f>
        <v/>
      </c>
      <c r="BP27" s="17" t="str">
        <f>IF(OR(ISNUMBER(FIND({"M";"N";"D"},Y27))),"1","")</f>
        <v/>
      </c>
      <c r="BQ27" s="17" t="str">
        <f>IF(OR(ISNUMBER(FIND({"M";"N";"D"},Z27))),"1","")</f>
        <v/>
      </c>
      <c r="BR27" s="17" t="str">
        <f>IF(OR(ISNUMBER(FIND({"M";"N";"D"},AA27))),"1","")</f>
        <v/>
      </c>
      <c r="BS27" s="17" t="str">
        <f>IF(OR(ISNUMBER(FIND({"M";"N";"D"},AB27))),"1","")</f>
        <v/>
      </c>
      <c r="BT27" s="17" t="str">
        <f>IF(OR(ISNUMBER(FIND({"M";"N";"D"},AC27))),"1","")</f>
        <v/>
      </c>
      <c r="BU27" s="17" t="str">
        <f>IF(OR(ISNUMBER(FIND({"M";"N";"D"},AD27))),"1","")</f>
        <v/>
      </c>
      <c r="BV27" s="17" t="str">
        <f>IF(OR(ISNUMBER(FIND({"M";"N";"D"},AE27))),"1","")</f>
        <v/>
      </c>
      <c r="BW27" s="17" t="str">
        <f>IF(OR(ISNUMBER(FIND({"M";"N";"D"},AF27))),"1","")</f>
        <v/>
      </c>
      <c r="BX27" s="17" t="str">
        <f>IF(OR(ISNUMBER(FIND({"M";"N";"D"},AG27))),"1","")</f>
        <v/>
      </c>
      <c r="BY27" s="17" t="str">
        <f>IF(OR(ISNUMBER(FIND({"M";"N";"D"},AH27))),"1","")</f>
        <v/>
      </c>
      <c r="BZ27" s="17" t="str">
        <f>IF(OR(ISNUMBER(FIND({"M";"N";"D"},AI27))),"1","")</f>
        <v/>
      </c>
      <c r="CA27" s="17" t="str">
        <f>IF(OR(ISNUMBER(FIND({"M";"N";"D"},AJ27))),"1","")</f>
        <v/>
      </c>
      <c r="CB27" s="17" t="str">
        <f>IF(OR(ISNUMBER(FIND({"M";"N";"D"},AK27))),"1","")</f>
        <v/>
      </c>
      <c r="CC27" s="17" t="str">
        <f>IF(OR(ISNUMBER(FIND({"M";"N";"D"},AL27))),"1","")</f>
        <v/>
      </c>
      <c r="CD27" s="17" t="str">
        <f>IF(OR(ISNUMBER(FIND({"M";"N";"D"},AM27))),"1","")</f>
        <v/>
      </c>
      <c r="CE27" s="17" t="str">
        <f>IF(OR(ISNUMBER(FIND({"M";"N";"D"},AN27))),"1","")</f>
        <v/>
      </c>
      <c r="CF27" s="16">
        <f t="array" ref="CF27">MAX(FREQUENCY(IF(AU27:CE27&lt;&gt;"",COLUMN(AU27:CE27)),IF(AU27:CE27="",COLUMN(AU27:CE27))))</f>
        <v>0</v>
      </c>
      <c r="CG27" s="7"/>
      <c r="CH27" s="18">
        <f t="shared" si="12"/>
        <v>0</v>
      </c>
      <c r="CI27" s="8">
        <v>168</v>
      </c>
      <c r="CJ27" s="18">
        <f t="shared" si="5"/>
        <v>-168</v>
      </c>
      <c r="CK27" s="19">
        <f t="shared" si="13"/>
        <v>0</v>
      </c>
      <c r="CL27" s="30">
        <f t="shared" si="14"/>
        <v>0</v>
      </c>
      <c r="CM27" s="30">
        <f t="shared" si="15"/>
        <v>0</v>
      </c>
      <c r="CN27" s="19">
        <f t="shared" si="6"/>
        <v>0</v>
      </c>
      <c r="CO27" s="19">
        <f t="shared" si="7"/>
        <v>0</v>
      </c>
      <c r="CP27" s="19">
        <f t="shared" si="8"/>
        <v>0</v>
      </c>
      <c r="CQ27" s="19">
        <f t="shared" si="9"/>
        <v>0</v>
      </c>
      <c r="CR27" s="19">
        <f t="shared" si="10"/>
        <v>0</v>
      </c>
    </row>
    <row r="28" spans="1:96" s="9" customFormat="1" ht="12.75">
      <c r="A28" s="20"/>
      <c r="B28" s="21"/>
      <c r="C28" s="2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6">
        <f t="shared" si="0"/>
        <v>0</v>
      </c>
      <c r="AP28" s="6">
        <f t="shared" si="1"/>
        <v>0</v>
      </c>
      <c r="AQ28" s="6">
        <f t="shared" si="2"/>
        <v>0</v>
      </c>
      <c r="AR28" s="6">
        <f t="shared" si="3"/>
        <v>0</v>
      </c>
      <c r="AS28" s="6">
        <f t="shared" si="4"/>
        <v>0</v>
      </c>
      <c r="AT28" s="16">
        <f t="shared" si="11"/>
        <v>0</v>
      </c>
      <c r="AU28" s="17" t="str">
        <f>IF(OR(ISNUMBER(FIND({"M";"N";"D"},D28))),"1","")</f>
        <v/>
      </c>
      <c r="AV28" s="17" t="str">
        <f>IF(OR(ISNUMBER(FIND({"M";"N";"D"},E28))),"1","")</f>
        <v/>
      </c>
      <c r="AW28" s="17" t="str">
        <f>IF(OR(ISNUMBER(FIND({"M";"N";"D"},F28))),"1","")</f>
        <v/>
      </c>
      <c r="AX28" s="17" t="str">
        <f>IF(OR(ISNUMBER(FIND({"M";"N";"D"},G28))),"1","")</f>
        <v/>
      </c>
      <c r="AY28" s="17" t="str">
        <f>IF(OR(ISNUMBER(FIND({"M";"N";"D"},H28))),"1","")</f>
        <v/>
      </c>
      <c r="AZ28" s="17" t="str">
        <f>IF(OR(ISNUMBER(FIND({"M";"N";"D"},I28))),"1","")</f>
        <v/>
      </c>
      <c r="BA28" s="17" t="str">
        <f>IF(OR(ISNUMBER(FIND({"M";"N";"D"},J28))),"1","")</f>
        <v/>
      </c>
      <c r="BB28" s="17" t="str">
        <f>IF(OR(ISNUMBER(FIND({"M";"N";"D"},K28))),"1","")</f>
        <v/>
      </c>
      <c r="BC28" s="17" t="str">
        <f>IF(OR(ISNUMBER(FIND({"M";"N";"D"},L28))),"1","")</f>
        <v/>
      </c>
      <c r="BD28" s="17" t="str">
        <f>IF(OR(ISNUMBER(FIND({"M";"N";"D"},M28))),"1","")</f>
        <v/>
      </c>
      <c r="BE28" s="17" t="str">
        <f>IF(OR(ISNUMBER(FIND({"M";"N";"D"},N28))),"1","")</f>
        <v/>
      </c>
      <c r="BF28" s="17" t="str">
        <f>IF(OR(ISNUMBER(FIND({"M";"N";"D"},O28))),"1","")</f>
        <v/>
      </c>
      <c r="BG28" s="17" t="str">
        <f>IF(OR(ISNUMBER(FIND({"M";"N";"D"},P28))),"1","")</f>
        <v/>
      </c>
      <c r="BH28" s="17" t="str">
        <f>IF(OR(ISNUMBER(FIND({"M";"N";"D"},Q28))),"1","")</f>
        <v/>
      </c>
      <c r="BI28" s="17" t="str">
        <f>IF(OR(ISNUMBER(FIND({"M";"N";"D"},R28))),"1","")</f>
        <v/>
      </c>
      <c r="BJ28" s="17" t="str">
        <f>IF(OR(ISNUMBER(FIND({"M";"N";"D"},S28))),"1","")</f>
        <v/>
      </c>
      <c r="BK28" s="17" t="str">
        <f>IF(OR(ISNUMBER(FIND({"M";"N";"D"},T28))),"1","")</f>
        <v/>
      </c>
      <c r="BL28" s="17" t="str">
        <f>IF(OR(ISNUMBER(FIND({"M";"N";"D"},U28))),"1","")</f>
        <v/>
      </c>
      <c r="BM28" s="17" t="str">
        <f>IF(OR(ISNUMBER(FIND({"M";"N";"D"},V28))),"1","")</f>
        <v/>
      </c>
      <c r="BN28" s="17" t="str">
        <f>IF(OR(ISNUMBER(FIND({"M";"N";"D"},W28))),"1","")</f>
        <v/>
      </c>
      <c r="BO28" s="17" t="str">
        <f>IF(OR(ISNUMBER(FIND({"M";"N";"D"},X28))),"1","")</f>
        <v/>
      </c>
      <c r="BP28" s="17" t="str">
        <f>IF(OR(ISNUMBER(FIND({"M";"N";"D"},Y28))),"1","")</f>
        <v/>
      </c>
      <c r="BQ28" s="17" t="str">
        <f>IF(OR(ISNUMBER(FIND({"M";"N";"D"},Z28))),"1","")</f>
        <v/>
      </c>
      <c r="BR28" s="17" t="str">
        <f>IF(OR(ISNUMBER(FIND({"M";"N";"D"},AA28))),"1","")</f>
        <v/>
      </c>
      <c r="BS28" s="17" t="str">
        <f>IF(OR(ISNUMBER(FIND({"M";"N";"D"},AB28))),"1","")</f>
        <v/>
      </c>
      <c r="BT28" s="17" t="str">
        <f>IF(OR(ISNUMBER(FIND({"M";"N";"D"},AC28))),"1","")</f>
        <v/>
      </c>
      <c r="BU28" s="17" t="str">
        <f>IF(OR(ISNUMBER(FIND({"M";"N";"D"},AD28))),"1","")</f>
        <v/>
      </c>
      <c r="BV28" s="17" t="str">
        <f>IF(OR(ISNUMBER(FIND({"M";"N";"D"},AE28))),"1","")</f>
        <v/>
      </c>
      <c r="BW28" s="17" t="str">
        <f>IF(OR(ISNUMBER(FIND({"M";"N";"D"},AF28))),"1","")</f>
        <v/>
      </c>
      <c r="BX28" s="17" t="str">
        <f>IF(OR(ISNUMBER(FIND({"M";"N";"D"},AG28))),"1","")</f>
        <v/>
      </c>
      <c r="BY28" s="17" t="str">
        <f>IF(OR(ISNUMBER(FIND({"M";"N";"D"},AH28))),"1","")</f>
        <v/>
      </c>
      <c r="BZ28" s="17" t="str">
        <f>IF(OR(ISNUMBER(FIND({"M";"N";"D"},AI28))),"1","")</f>
        <v/>
      </c>
      <c r="CA28" s="17" t="str">
        <f>IF(OR(ISNUMBER(FIND({"M";"N";"D"},AJ28))),"1","")</f>
        <v/>
      </c>
      <c r="CB28" s="17" t="str">
        <f>IF(OR(ISNUMBER(FIND({"M";"N";"D"},AK28))),"1","")</f>
        <v/>
      </c>
      <c r="CC28" s="17" t="str">
        <f>IF(OR(ISNUMBER(FIND({"M";"N";"D"},AL28))),"1","")</f>
        <v/>
      </c>
      <c r="CD28" s="17" t="str">
        <f>IF(OR(ISNUMBER(FIND({"M";"N";"D"},AM28))),"1","")</f>
        <v/>
      </c>
      <c r="CE28" s="17" t="str">
        <f>IF(OR(ISNUMBER(FIND({"M";"N";"D"},AN28))),"1","")</f>
        <v/>
      </c>
      <c r="CF28" s="16">
        <f t="array" ref="CF28">MAX(FREQUENCY(IF(AU28:CE28&lt;&gt;"",COLUMN(AU28:CE28)),IF(AU28:CE28="",COLUMN(AU28:CE28))))</f>
        <v>0</v>
      </c>
      <c r="CG28" s="7"/>
      <c r="CH28" s="18">
        <f t="shared" si="12"/>
        <v>0</v>
      </c>
      <c r="CI28" s="8">
        <v>168</v>
      </c>
      <c r="CJ28" s="18">
        <f t="shared" si="5"/>
        <v>-168</v>
      </c>
      <c r="CK28" s="19">
        <f t="shared" si="13"/>
        <v>0</v>
      </c>
      <c r="CL28" s="30">
        <f t="shared" si="14"/>
        <v>0</v>
      </c>
      <c r="CM28" s="30">
        <f t="shared" si="15"/>
        <v>0</v>
      </c>
      <c r="CN28" s="19">
        <f t="shared" si="6"/>
        <v>0</v>
      </c>
      <c r="CO28" s="19">
        <f t="shared" si="7"/>
        <v>0</v>
      </c>
      <c r="CP28" s="19">
        <f t="shared" si="8"/>
        <v>0</v>
      </c>
      <c r="CQ28" s="19">
        <f t="shared" si="9"/>
        <v>0</v>
      </c>
      <c r="CR28" s="19">
        <f t="shared" si="10"/>
        <v>0</v>
      </c>
    </row>
    <row r="29" spans="1:96" s="9" customFormat="1" ht="12.75" customHeight="1">
      <c r="A29" s="20"/>
      <c r="B29" s="21"/>
      <c r="C29" s="2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6">
        <f t="shared" si="0"/>
        <v>0</v>
      </c>
      <c r="AP29" s="6">
        <f t="shared" si="1"/>
        <v>0</v>
      </c>
      <c r="AQ29" s="6">
        <f t="shared" si="2"/>
        <v>0</v>
      </c>
      <c r="AR29" s="6">
        <f t="shared" si="3"/>
        <v>0</v>
      </c>
      <c r="AS29" s="6">
        <f t="shared" si="4"/>
        <v>0</v>
      </c>
      <c r="AT29" s="16">
        <f t="shared" si="11"/>
        <v>0</v>
      </c>
      <c r="AU29" s="17" t="str">
        <f>IF(OR(ISNUMBER(FIND({"M";"N";"D"},D29))),"1","")</f>
        <v/>
      </c>
      <c r="AV29" s="17" t="str">
        <f>IF(OR(ISNUMBER(FIND({"M";"N";"D"},E29))),"1","")</f>
        <v/>
      </c>
      <c r="AW29" s="17" t="str">
        <f>IF(OR(ISNUMBER(FIND({"M";"N";"D"},F29))),"1","")</f>
        <v/>
      </c>
      <c r="AX29" s="17" t="str">
        <f>IF(OR(ISNUMBER(FIND({"M";"N";"D"},G29))),"1","")</f>
        <v/>
      </c>
      <c r="AY29" s="17" t="str">
        <f>IF(OR(ISNUMBER(FIND({"M";"N";"D"},H29))),"1","")</f>
        <v/>
      </c>
      <c r="AZ29" s="17" t="str">
        <f>IF(OR(ISNUMBER(FIND({"M";"N";"D"},I29))),"1","")</f>
        <v/>
      </c>
      <c r="BA29" s="17" t="str">
        <f>IF(OR(ISNUMBER(FIND({"M";"N";"D"},J29))),"1","")</f>
        <v/>
      </c>
      <c r="BB29" s="17" t="str">
        <f>IF(OR(ISNUMBER(FIND({"M";"N";"D"},K29))),"1","")</f>
        <v/>
      </c>
      <c r="BC29" s="17" t="str">
        <f>IF(OR(ISNUMBER(FIND({"M";"N";"D"},L29))),"1","")</f>
        <v/>
      </c>
      <c r="BD29" s="17" t="str">
        <f>IF(OR(ISNUMBER(FIND({"M";"N";"D"},M29))),"1","")</f>
        <v/>
      </c>
      <c r="BE29" s="17" t="str">
        <f>IF(OR(ISNUMBER(FIND({"M";"N";"D"},N29))),"1","")</f>
        <v/>
      </c>
      <c r="BF29" s="17" t="str">
        <f>IF(OR(ISNUMBER(FIND({"M";"N";"D"},O29))),"1","")</f>
        <v/>
      </c>
      <c r="BG29" s="17" t="str">
        <f>IF(OR(ISNUMBER(FIND({"M";"N";"D"},P29))),"1","")</f>
        <v/>
      </c>
      <c r="BH29" s="17" t="str">
        <f>IF(OR(ISNUMBER(FIND({"M";"N";"D"},Q29))),"1","")</f>
        <v/>
      </c>
      <c r="BI29" s="17" t="str">
        <f>IF(OR(ISNUMBER(FIND({"M";"N";"D"},R29))),"1","")</f>
        <v/>
      </c>
      <c r="BJ29" s="17" t="str">
        <f>IF(OR(ISNUMBER(FIND({"M";"N";"D"},S29))),"1","")</f>
        <v/>
      </c>
      <c r="BK29" s="17" t="str">
        <f>IF(OR(ISNUMBER(FIND({"M";"N";"D"},T29))),"1","")</f>
        <v/>
      </c>
      <c r="BL29" s="17" t="str">
        <f>IF(OR(ISNUMBER(FIND({"M";"N";"D"},U29))),"1","")</f>
        <v/>
      </c>
      <c r="BM29" s="17" t="str">
        <f>IF(OR(ISNUMBER(FIND({"M";"N";"D"},V29))),"1","")</f>
        <v/>
      </c>
      <c r="BN29" s="17" t="str">
        <f>IF(OR(ISNUMBER(FIND({"M";"N";"D"},W29))),"1","")</f>
        <v/>
      </c>
      <c r="BO29" s="17" t="str">
        <f>IF(OR(ISNUMBER(FIND({"M";"N";"D"},X29))),"1","")</f>
        <v/>
      </c>
      <c r="BP29" s="17" t="str">
        <f>IF(OR(ISNUMBER(FIND({"M";"N";"D"},Y29))),"1","")</f>
        <v/>
      </c>
      <c r="BQ29" s="17" t="str">
        <f>IF(OR(ISNUMBER(FIND({"M";"N";"D"},Z29))),"1","")</f>
        <v/>
      </c>
      <c r="BR29" s="17" t="str">
        <f>IF(OR(ISNUMBER(FIND({"M";"N";"D"},AA29))),"1","")</f>
        <v/>
      </c>
      <c r="BS29" s="17" t="str">
        <f>IF(OR(ISNUMBER(FIND({"M";"N";"D"},AB29))),"1","")</f>
        <v/>
      </c>
      <c r="BT29" s="17" t="str">
        <f>IF(OR(ISNUMBER(FIND({"M";"N";"D"},AC29))),"1","")</f>
        <v/>
      </c>
      <c r="BU29" s="17" t="str">
        <f>IF(OR(ISNUMBER(FIND({"M";"N";"D"},AD29))),"1","")</f>
        <v/>
      </c>
      <c r="BV29" s="17" t="str">
        <f>IF(OR(ISNUMBER(FIND({"M";"N";"D"},AE29))),"1","")</f>
        <v/>
      </c>
      <c r="BW29" s="17" t="str">
        <f>IF(OR(ISNUMBER(FIND({"M";"N";"D"},AF29))),"1","")</f>
        <v/>
      </c>
      <c r="BX29" s="17" t="str">
        <f>IF(OR(ISNUMBER(FIND({"M";"N";"D"},AG29))),"1","")</f>
        <v/>
      </c>
      <c r="BY29" s="17" t="str">
        <f>IF(OR(ISNUMBER(FIND({"M";"N";"D"},AH29))),"1","")</f>
        <v/>
      </c>
      <c r="BZ29" s="17" t="str">
        <f>IF(OR(ISNUMBER(FIND({"M";"N";"D"},AI29))),"1","")</f>
        <v/>
      </c>
      <c r="CA29" s="17" t="str">
        <f>IF(OR(ISNUMBER(FIND({"M";"N";"D"},AJ29))),"1","")</f>
        <v/>
      </c>
      <c r="CB29" s="17" t="str">
        <f>IF(OR(ISNUMBER(FIND({"M";"N";"D"},AK29))),"1","")</f>
        <v/>
      </c>
      <c r="CC29" s="17" t="str">
        <f>IF(OR(ISNUMBER(FIND({"M";"N";"D"},AL29))),"1","")</f>
        <v/>
      </c>
      <c r="CD29" s="17" t="str">
        <f>IF(OR(ISNUMBER(FIND({"M";"N";"D"},AM29))),"1","")</f>
        <v/>
      </c>
      <c r="CE29" s="17" t="str">
        <f>IF(OR(ISNUMBER(FIND({"M";"N";"D"},AN29))),"1","")</f>
        <v/>
      </c>
      <c r="CF29" s="16">
        <f t="array" ref="CF29">MAX(FREQUENCY(IF(AU29:CE29&lt;&gt;"",COLUMN(AU29:CE29)),IF(AU29:CE29="",COLUMN(AU29:CE29))))</f>
        <v>0</v>
      </c>
      <c r="CG29" s="7"/>
      <c r="CH29" s="18">
        <f t="shared" si="12"/>
        <v>0</v>
      </c>
      <c r="CI29" s="8">
        <v>168</v>
      </c>
      <c r="CJ29" s="18">
        <f t="shared" si="5"/>
        <v>-168</v>
      </c>
      <c r="CK29" s="19">
        <f t="shared" si="13"/>
        <v>0</v>
      </c>
      <c r="CL29" s="30">
        <f t="shared" si="14"/>
        <v>0</v>
      </c>
      <c r="CM29" s="30">
        <f t="shared" si="15"/>
        <v>0</v>
      </c>
      <c r="CN29" s="19">
        <f t="shared" si="6"/>
        <v>0</v>
      </c>
      <c r="CO29" s="19">
        <f t="shared" si="7"/>
        <v>0</v>
      </c>
      <c r="CP29" s="19">
        <f t="shared" si="8"/>
        <v>0</v>
      </c>
      <c r="CQ29" s="19">
        <f t="shared" si="9"/>
        <v>0</v>
      </c>
      <c r="CR29" s="19">
        <f t="shared" si="10"/>
        <v>0</v>
      </c>
    </row>
    <row r="30" spans="1:96" s="9" customFormat="1" ht="12.75">
      <c r="A30" s="20"/>
      <c r="B30" s="21"/>
      <c r="C30" s="2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6">
        <f t="shared" si="0"/>
        <v>0</v>
      </c>
      <c r="AP30" s="6">
        <f t="shared" si="1"/>
        <v>0</v>
      </c>
      <c r="AQ30" s="6">
        <f t="shared" si="2"/>
        <v>0</v>
      </c>
      <c r="AR30" s="6">
        <f t="shared" si="3"/>
        <v>0</v>
      </c>
      <c r="AS30" s="6">
        <f t="shared" si="4"/>
        <v>0</v>
      </c>
      <c r="AT30" s="16">
        <f t="shared" si="11"/>
        <v>0</v>
      </c>
      <c r="AU30" s="17" t="str">
        <f>IF(OR(ISNUMBER(FIND({"M";"N";"D"},D30))),"1","")</f>
        <v/>
      </c>
      <c r="AV30" s="17" t="str">
        <f>IF(OR(ISNUMBER(FIND({"M";"N";"D"},E30))),"1","")</f>
        <v/>
      </c>
      <c r="AW30" s="17" t="str">
        <f>IF(OR(ISNUMBER(FIND({"M";"N";"D"},F30))),"1","")</f>
        <v/>
      </c>
      <c r="AX30" s="17" t="str">
        <f>IF(OR(ISNUMBER(FIND({"M";"N";"D"},G30))),"1","")</f>
        <v/>
      </c>
      <c r="AY30" s="17" t="str">
        <f>IF(OR(ISNUMBER(FIND({"M";"N";"D"},H30))),"1","")</f>
        <v/>
      </c>
      <c r="AZ30" s="17" t="str">
        <f>IF(OR(ISNUMBER(FIND({"M";"N";"D"},I30))),"1","")</f>
        <v/>
      </c>
      <c r="BA30" s="17" t="str">
        <f>IF(OR(ISNUMBER(FIND({"M";"N";"D"},J30))),"1","")</f>
        <v/>
      </c>
      <c r="BB30" s="17" t="str">
        <f>IF(OR(ISNUMBER(FIND({"M";"N";"D"},K30))),"1","")</f>
        <v/>
      </c>
      <c r="BC30" s="17" t="str">
        <f>IF(OR(ISNUMBER(FIND({"M";"N";"D"},L30))),"1","")</f>
        <v/>
      </c>
      <c r="BD30" s="17" t="str">
        <f>IF(OR(ISNUMBER(FIND({"M";"N";"D"},M30))),"1","")</f>
        <v/>
      </c>
      <c r="BE30" s="17" t="str">
        <f>IF(OR(ISNUMBER(FIND({"M";"N";"D"},N30))),"1","")</f>
        <v/>
      </c>
      <c r="BF30" s="17" t="str">
        <f>IF(OR(ISNUMBER(FIND({"M";"N";"D"},O30))),"1","")</f>
        <v/>
      </c>
      <c r="BG30" s="17" t="str">
        <f>IF(OR(ISNUMBER(FIND({"M";"N";"D"},P30))),"1","")</f>
        <v/>
      </c>
      <c r="BH30" s="17" t="str">
        <f>IF(OR(ISNUMBER(FIND({"M";"N";"D"},Q30))),"1","")</f>
        <v/>
      </c>
      <c r="BI30" s="17" t="str">
        <f>IF(OR(ISNUMBER(FIND({"M";"N";"D"},R30))),"1","")</f>
        <v/>
      </c>
      <c r="BJ30" s="17" t="str">
        <f>IF(OR(ISNUMBER(FIND({"M";"N";"D"},S30))),"1","")</f>
        <v/>
      </c>
      <c r="BK30" s="17" t="str">
        <f>IF(OR(ISNUMBER(FIND({"M";"N";"D"},T30))),"1","")</f>
        <v/>
      </c>
      <c r="BL30" s="17" t="str">
        <f>IF(OR(ISNUMBER(FIND({"M";"N";"D"},U30))),"1","")</f>
        <v/>
      </c>
      <c r="BM30" s="17" t="str">
        <f>IF(OR(ISNUMBER(FIND({"M";"N";"D"},V30))),"1","")</f>
        <v/>
      </c>
      <c r="BN30" s="17" t="str">
        <f>IF(OR(ISNUMBER(FIND({"M";"N";"D"},W30))),"1","")</f>
        <v/>
      </c>
      <c r="BO30" s="17" t="str">
        <f>IF(OR(ISNUMBER(FIND({"M";"N";"D"},X30))),"1","")</f>
        <v/>
      </c>
      <c r="BP30" s="17" t="str">
        <f>IF(OR(ISNUMBER(FIND({"M";"N";"D"},Y30))),"1","")</f>
        <v/>
      </c>
      <c r="BQ30" s="17" t="str">
        <f>IF(OR(ISNUMBER(FIND({"M";"N";"D"},Z30))),"1","")</f>
        <v/>
      </c>
      <c r="BR30" s="17" t="str">
        <f>IF(OR(ISNUMBER(FIND({"M";"N";"D"},AA30))),"1","")</f>
        <v/>
      </c>
      <c r="BS30" s="17" t="str">
        <f>IF(OR(ISNUMBER(FIND({"M";"N";"D"},AB30))),"1","")</f>
        <v/>
      </c>
      <c r="BT30" s="17" t="str">
        <f>IF(OR(ISNUMBER(FIND({"M";"N";"D"},AC30))),"1","")</f>
        <v/>
      </c>
      <c r="BU30" s="17" t="str">
        <f>IF(OR(ISNUMBER(FIND({"M";"N";"D"},AD30))),"1","")</f>
        <v/>
      </c>
      <c r="BV30" s="17" t="str">
        <f>IF(OR(ISNUMBER(FIND({"M";"N";"D"},AE30))),"1","")</f>
        <v/>
      </c>
      <c r="BW30" s="17" t="str">
        <f>IF(OR(ISNUMBER(FIND({"M";"N";"D"},AF30))),"1","")</f>
        <v/>
      </c>
      <c r="BX30" s="17" t="str">
        <f>IF(OR(ISNUMBER(FIND({"M";"N";"D"},AG30))),"1","")</f>
        <v/>
      </c>
      <c r="BY30" s="17" t="str">
        <f>IF(OR(ISNUMBER(FIND({"M";"N";"D"},AH30))),"1","")</f>
        <v/>
      </c>
      <c r="BZ30" s="17" t="str">
        <f>IF(OR(ISNUMBER(FIND({"M";"N";"D"},AI30))),"1","")</f>
        <v/>
      </c>
      <c r="CA30" s="17" t="str">
        <f>IF(OR(ISNUMBER(FIND({"M";"N";"D"},AJ30))),"1","")</f>
        <v/>
      </c>
      <c r="CB30" s="17" t="str">
        <f>IF(OR(ISNUMBER(FIND({"M";"N";"D"},AK30))),"1","")</f>
        <v/>
      </c>
      <c r="CC30" s="17" t="str">
        <f>IF(OR(ISNUMBER(FIND({"M";"N";"D"},AL30))),"1","")</f>
        <v/>
      </c>
      <c r="CD30" s="17" t="str">
        <f>IF(OR(ISNUMBER(FIND({"M";"N";"D"},AM30))),"1","")</f>
        <v/>
      </c>
      <c r="CE30" s="17" t="str">
        <f>IF(OR(ISNUMBER(FIND({"M";"N";"D"},AN30))),"1","")</f>
        <v/>
      </c>
      <c r="CF30" s="16">
        <f t="array" ref="CF30">MAX(FREQUENCY(IF(AU30:CE30&lt;&gt;"",COLUMN(AU30:CE30)),IF(AU30:CE30="",COLUMN(AU30:CE30))))</f>
        <v>0</v>
      </c>
      <c r="CG30" s="7"/>
      <c r="CH30" s="18">
        <f t="shared" si="12"/>
        <v>0</v>
      </c>
      <c r="CI30" s="8">
        <v>168</v>
      </c>
      <c r="CJ30" s="18">
        <f t="shared" si="5"/>
        <v>-168</v>
      </c>
      <c r="CK30" s="19">
        <f t="shared" si="13"/>
        <v>0</v>
      </c>
      <c r="CL30" s="30">
        <f t="shared" si="14"/>
        <v>0</v>
      </c>
      <c r="CM30" s="30">
        <f t="shared" si="15"/>
        <v>0</v>
      </c>
      <c r="CN30" s="19">
        <f t="shared" si="6"/>
        <v>0</v>
      </c>
      <c r="CO30" s="19">
        <f t="shared" si="7"/>
        <v>0</v>
      </c>
      <c r="CP30" s="19">
        <f t="shared" si="8"/>
        <v>0</v>
      </c>
      <c r="CQ30" s="19">
        <f t="shared" si="9"/>
        <v>0</v>
      </c>
      <c r="CR30" s="19">
        <f t="shared" si="10"/>
        <v>0</v>
      </c>
    </row>
    <row r="31" spans="1:96" s="9" customFormat="1" ht="12.75">
      <c r="A31" s="20"/>
      <c r="B31" s="21"/>
      <c r="C31" s="2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6">
        <f t="shared" si="0"/>
        <v>0</v>
      </c>
      <c r="AP31" s="6">
        <f t="shared" si="1"/>
        <v>0</v>
      </c>
      <c r="AQ31" s="6">
        <f t="shared" si="2"/>
        <v>0</v>
      </c>
      <c r="AR31" s="6">
        <f t="shared" si="3"/>
        <v>0</v>
      </c>
      <c r="AS31" s="6">
        <f t="shared" si="4"/>
        <v>0</v>
      </c>
      <c r="AT31" s="16">
        <f t="shared" si="11"/>
        <v>0</v>
      </c>
      <c r="AU31" s="17" t="str">
        <f>IF(OR(ISNUMBER(FIND({"M";"N";"D"},D31))),"1","")</f>
        <v/>
      </c>
      <c r="AV31" s="17" t="str">
        <f>IF(OR(ISNUMBER(FIND({"M";"N";"D"},E31))),"1","")</f>
        <v/>
      </c>
      <c r="AW31" s="17" t="str">
        <f>IF(OR(ISNUMBER(FIND({"M";"N";"D"},F31))),"1","")</f>
        <v/>
      </c>
      <c r="AX31" s="17" t="str">
        <f>IF(OR(ISNUMBER(FIND({"M";"N";"D"},G31))),"1","")</f>
        <v/>
      </c>
      <c r="AY31" s="17" t="str">
        <f>IF(OR(ISNUMBER(FIND({"M";"N";"D"},H31))),"1","")</f>
        <v/>
      </c>
      <c r="AZ31" s="17" t="str">
        <f>IF(OR(ISNUMBER(FIND({"M";"N";"D"},I31))),"1","")</f>
        <v/>
      </c>
      <c r="BA31" s="17" t="str">
        <f>IF(OR(ISNUMBER(FIND({"M";"N";"D"},J31))),"1","")</f>
        <v/>
      </c>
      <c r="BB31" s="17" t="str">
        <f>IF(OR(ISNUMBER(FIND({"M";"N";"D"},K31))),"1","")</f>
        <v/>
      </c>
      <c r="BC31" s="17" t="str">
        <f>IF(OR(ISNUMBER(FIND({"M";"N";"D"},L31))),"1","")</f>
        <v/>
      </c>
      <c r="BD31" s="17" t="str">
        <f>IF(OR(ISNUMBER(FIND({"M";"N";"D"},M31))),"1","")</f>
        <v/>
      </c>
      <c r="BE31" s="17" t="str">
        <f>IF(OR(ISNUMBER(FIND({"M";"N";"D"},N31))),"1","")</f>
        <v/>
      </c>
      <c r="BF31" s="17" t="str">
        <f>IF(OR(ISNUMBER(FIND({"M";"N";"D"},O31))),"1","")</f>
        <v/>
      </c>
      <c r="BG31" s="17" t="str">
        <f>IF(OR(ISNUMBER(FIND({"M";"N";"D"},P31))),"1","")</f>
        <v/>
      </c>
      <c r="BH31" s="17" t="str">
        <f>IF(OR(ISNUMBER(FIND({"M";"N";"D"},Q31))),"1","")</f>
        <v/>
      </c>
      <c r="BI31" s="17" t="str">
        <f>IF(OR(ISNUMBER(FIND({"M";"N";"D"},R31))),"1","")</f>
        <v/>
      </c>
      <c r="BJ31" s="17" t="str">
        <f>IF(OR(ISNUMBER(FIND({"M";"N";"D"},S31))),"1","")</f>
        <v/>
      </c>
      <c r="BK31" s="17" t="str">
        <f>IF(OR(ISNUMBER(FIND({"M";"N";"D"},T31))),"1","")</f>
        <v/>
      </c>
      <c r="BL31" s="17" t="str">
        <f>IF(OR(ISNUMBER(FIND({"M";"N";"D"},U31))),"1","")</f>
        <v/>
      </c>
      <c r="BM31" s="17" t="str">
        <f>IF(OR(ISNUMBER(FIND({"M";"N";"D"},V31))),"1","")</f>
        <v/>
      </c>
      <c r="BN31" s="17" t="str">
        <f>IF(OR(ISNUMBER(FIND({"M";"N";"D"},W31))),"1","")</f>
        <v/>
      </c>
      <c r="BO31" s="17" t="str">
        <f>IF(OR(ISNUMBER(FIND({"M";"N";"D"},X31))),"1","")</f>
        <v/>
      </c>
      <c r="BP31" s="17" t="str">
        <f>IF(OR(ISNUMBER(FIND({"M";"N";"D"},Y31))),"1","")</f>
        <v/>
      </c>
      <c r="BQ31" s="17" t="str">
        <f>IF(OR(ISNUMBER(FIND({"M";"N";"D"},Z31))),"1","")</f>
        <v/>
      </c>
      <c r="BR31" s="17" t="str">
        <f>IF(OR(ISNUMBER(FIND({"M";"N";"D"},AA31))),"1","")</f>
        <v/>
      </c>
      <c r="BS31" s="17" t="str">
        <f>IF(OR(ISNUMBER(FIND({"M";"N";"D"},AB31))),"1","")</f>
        <v/>
      </c>
      <c r="BT31" s="17" t="str">
        <f>IF(OR(ISNUMBER(FIND({"M";"N";"D"},AC31))),"1","")</f>
        <v/>
      </c>
      <c r="BU31" s="17" t="str">
        <f>IF(OR(ISNUMBER(FIND({"M";"N";"D"},AD31))),"1","")</f>
        <v/>
      </c>
      <c r="BV31" s="17" t="str">
        <f>IF(OR(ISNUMBER(FIND({"M";"N";"D"},AE31))),"1","")</f>
        <v/>
      </c>
      <c r="BW31" s="17" t="str">
        <f>IF(OR(ISNUMBER(FIND({"M";"N";"D"},AF31))),"1","")</f>
        <v/>
      </c>
      <c r="BX31" s="17" t="str">
        <f>IF(OR(ISNUMBER(FIND({"M";"N";"D"},AG31))),"1","")</f>
        <v/>
      </c>
      <c r="BY31" s="17" t="str">
        <f>IF(OR(ISNUMBER(FIND({"M";"N";"D"},AH31))),"1","")</f>
        <v/>
      </c>
      <c r="BZ31" s="17" t="str">
        <f>IF(OR(ISNUMBER(FIND({"M";"N";"D"},AI31))),"1","")</f>
        <v/>
      </c>
      <c r="CA31" s="17" t="str">
        <f>IF(OR(ISNUMBER(FIND({"M";"N";"D"},AJ31))),"1","")</f>
        <v/>
      </c>
      <c r="CB31" s="17" t="str">
        <f>IF(OR(ISNUMBER(FIND({"M";"N";"D"},AK31))),"1","")</f>
        <v/>
      </c>
      <c r="CC31" s="17" t="str">
        <f>IF(OR(ISNUMBER(FIND({"M";"N";"D"},AL31))),"1","")</f>
        <v/>
      </c>
      <c r="CD31" s="17" t="str">
        <f>IF(OR(ISNUMBER(FIND({"M";"N";"D"},AM31))),"1","")</f>
        <v/>
      </c>
      <c r="CE31" s="17" t="str">
        <f>IF(OR(ISNUMBER(FIND({"M";"N";"D"},AN31))),"1","")</f>
        <v/>
      </c>
      <c r="CF31" s="16">
        <f t="array" ref="CF31">MAX(FREQUENCY(IF(AU31:CE31&lt;&gt;"",COLUMN(AU31:CE31)),IF(AU31:CE31="",COLUMN(AU31:CE31))))</f>
        <v>0</v>
      </c>
      <c r="CG31" s="7"/>
      <c r="CH31" s="18">
        <f t="shared" si="12"/>
        <v>0</v>
      </c>
      <c r="CI31" s="8">
        <v>168</v>
      </c>
      <c r="CJ31" s="18">
        <f t="shared" si="5"/>
        <v>-168</v>
      </c>
      <c r="CK31" s="19">
        <f t="shared" si="13"/>
        <v>0</v>
      </c>
      <c r="CL31" s="30">
        <f t="shared" si="14"/>
        <v>0</v>
      </c>
      <c r="CM31" s="30">
        <f t="shared" si="15"/>
        <v>0</v>
      </c>
      <c r="CN31" s="19">
        <f t="shared" si="6"/>
        <v>0</v>
      </c>
      <c r="CO31" s="19">
        <f t="shared" si="7"/>
        <v>0</v>
      </c>
      <c r="CP31" s="19">
        <f t="shared" si="8"/>
        <v>0</v>
      </c>
      <c r="CQ31" s="19">
        <f t="shared" si="9"/>
        <v>0</v>
      </c>
      <c r="CR31" s="19">
        <f t="shared" si="10"/>
        <v>0</v>
      </c>
    </row>
    <row r="32" spans="1:96" s="9" customFormat="1" ht="12.75" customHeight="1">
      <c r="A32" s="20"/>
      <c r="B32" s="21"/>
      <c r="C32" s="2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6">
        <f t="shared" si="0"/>
        <v>0</v>
      </c>
      <c r="AP32" s="6">
        <f t="shared" si="1"/>
        <v>0</v>
      </c>
      <c r="AQ32" s="6">
        <f t="shared" si="2"/>
        <v>0</v>
      </c>
      <c r="AR32" s="6">
        <f t="shared" si="3"/>
        <v>0</v>
      </c>
      <c r="AS32" s="6">
        <f t="shared" si="4"/>
        <v>0</v>
      </c>
      <c r="AT32" s="16">
        <f t="shared" si="11"/>
        <v>0</v>
      </c>
      <c r="AU32" s="17" t="str">
        <f>IF(OR(ISNUMBER(FIND({"M";"N";"D"},D32))),"1","")</f>
        <v/>
      </c>
      <c r="AV32" s="17" t="str">
        <f>IF(OR(ISNUMBER(FIND({"M";"N";"D"},E32))),"1","")</f>
        <v/>
      </c>
      <c r="AW32" s="17" t="str">
        <f>IF(OR(ISNUMBER(FIND({"M";"N";"D"},F32))),"1","")</f>
        <v/>
      </c>
      <c r="AX32" s="17" t="str">
        <f>IF(OR(ISNUMBER(FIND({"M";"N";"D"},G32))),"1","")</f>
        <v/>
      </c>
      <c r="AY32" s="17" t="str">
        <f>IF(OR(ISNUMBER(FIND({"M";"N";"D"},H32))),"1","")</f>
        <v/>
      </c>
      <c r="AZ32" s="17" t="str">
        <f>IF(OR(ISNUMBER(FIND({"M";"N";"D"},I32))),"1","")</f>
        <v/>
      </c>
      <c r="BA32" s="17" t="str">
        <f>IF(OR(ISNUMBER(FIND({"M";"N";"D"},J32))),"1","")</f>
        <v/>
      </c>
      <c r="BB32" s="17" t="str">
        <f>IF(OR(ISNUMBER(FIND({"M";"N";"D"},K32))),"1","")</f>
        <v/>
      </c>
      <c r="BC32" s="17" t="str">
        <f>IF(OR(ISNUMBER(FIND({"M";"N";"D"},L32))),"1","")</f>
        <v/>
      </c>
      <c r="BD32" s="17" t="str">
        <f>IF(OR(ISNUMBER(FIND({"M";"N";"D"},M32))),"1","")</f>
        <v/>
      </c>
      <c r="BE32" s="17" t="str">
        <f>IF(OR(ISNUMBER(FIND({"M";"N";"D"},N32))),"1","")</f>
        <v/>
      </c>
      <c r="BF32" s="17" t="str">
        <f>IF(OR(ISNUMBER(FIND({"M";"N";"D"},O32))),"1","")</f>
        <v/>
      </c>
      <c r="BG32" s="17" t="str">
        <f>IF(OR(ISNUMBER(FIND({"M";"N";"D"},P32))),"1","")</f>
        <v/>
      </c>
      <c r="BH32" s="17" t="str">
        <f>IF(OR(ISNUMBER(FIND({"M";"N";"D"},Q32))),"1","")</f>
        <v/>
      </c>
      <c r="BI32" s="17" t="str">
        <f>IF(OR(ISNUMBER(FIND({"M";"N";"D"},R32))),"1","")</f>
        <v/>
      </c>
      <c r="BJ32" s="17" t="str">
        <f>IF(OR(ISNUMBER(FIND({"M";"N";"D"},S32))),"1","")</f>
        <v/>
      </c>
      <c r="BK32" s="17" t="str">
        <f>IF(OR(ISNUMBER(FIND({"M";"N";"D"},T32))),"1","")</f>
        <v/>
      </c>
      <c r="BL32" s="17" t="str">
        <f>IF(OR(ISNUMBER(FIND({"M";"N";"D"},U32))),"1","")</f>
        <v/>
      </c>
      <c r="BM32" s="17" t="str">
        <f>IF(OR(ISNUMBER(FIND({"M";"N";"D"},V32))),"1","")</f>
        <v/>
      </c>
      <c r="BN32" s="17" t="str">
        <f>IF(OR(ISNUMBER(FIND({"M";"N";"D"},W32))),"1","")</f>
        <v/>
      </c>
      <c r="BO32" s="17" t="str">
        <f>IF(OR(ISNUMBER(FIND({"M";"N";"D"},X32))),"1","")</f>
        <v/>
      </c>
      <c r="BP32" s="17" t="str">
        <f>IF(OR(ISNUMBER(FIND({"M";"N";"D"},Y32))),"1","")</f>
        <v/>
      </c>
      <c r="BQ32" s="17" t="str">
        <f>IF(OR(ISNUMBER(FIND({"M";"N";"D"},Z32))),"1","")</f>
        <v/>
      </c>
      <c r="BR32" s="17" t="str">
        <f>IF(OR(ISNUMBER(FIND({"M";"N";"D"},AA32))),"1","")</f>
        <v/>
      </c>
      <c r="BS32" s="17" t="str">
        <f>IF(OR(ISNUMBER(FIND({"M";"N";"D"},AB32))),"1","")</f>
        <v/>
      </c>
      <c r="BT32" s="17" t="str">
        <f>IF(OR(ISNUMBER(FIND({"M";"N";"D"},AC32))),"1","")</f>
        <v/>
      </c>
      <c r="BU32" s="17" t="str">
        <f>IF(OR(ISNUMBER(FIND({"M";"N";"D"},AD32))),"1","")</f>
        <v/>
      </c>
      <c r="BV32" s="17" t="str">
        <f>IF(OR(ISNUMBER(FIND({"M";"N";"D"},AE32))),"1","")</f>
        <v/>
      </c>
      <c r="BW32" s="17" t="str">
        <f>IF(OR(ISNUMBER(FIND({"M";"N";"D"},AF32))),"1","")</f>
        <v/>
      </c>
      <c r="BX32" s="17" t="str">
        <f>IF(OR(ISNUMBER(FIND({"M";"N";"D"},AG32))),"1","")</f>
        <v/>
      </c>
      <c r="BY32" s="17" t="str">
        <f>IF(OR(ISNUMBER(FIND({"M";"N";"D"},AH32))),"1","")</f>
        <v/>
      </c>
      <c r="BZ32" s="17" t="str">
        <f>IF(OR(ISNUMBER(FIND({"M";"N";"D"},AI32))),"1","")</f>
        <v/>
      </c>
      <c r="CA32" s="17" t="str">
        <f>IF(OR(ISNUMBER(FIND({"M";"N";"D"},AJ32))),"1","")</f>
        <v/>
      </c>
      <c r="CB32" s="17" t="str">
        <f>IF(OR(ISNUMBER(FIND({"M";"N";"D"},AK32))),"1","")</f>
        <v/>
      </c>
      <c r="CC32" s="17" t="str">
        <f>IF(OR(ISNUMBER(FIND({"M";"N";"D"},AL32))),"1","")</f>
        <v/>
      </c>
      <c r="CD32" s="17" t="str">
        <f>IF(OR(ISNUMBER(FIND({"M";"N";"D"},AM32))),"1","")</f>
        <v/>
      </c>
      <c r="CE32" s="17" t="str">
        <f>IF(OR(ISNUMBER(FIND({"M";"N";"D"},AN32))),"1","")</f>
        <v/>
      </c>
      <c r="CF32" s="16">
        <f t="array" ref="CF32">MAX(FREQUENCY(IF(AU32:CE32&lt;&gt;"",COLUMN(AU32:CE32)),IF(AU32:CE32="",COLUMN(AU32:CE32))))</f>
        <v>0</v>
      </c>
      <c r="CG32" s="7"/>
      <c r="CH32" s="18">
        <f t="shared" si="12"/>
        <v>0</v>
      </c>
      <c r="CI32" s="8">
        <v>168</v>
      </c>
      <c r="CJ32" s="18">
        <f t="shared" si="5"/>
        <v>-168</v>
      </c>
      <c r="CK32" s="19">
        <f t="shared" si="13"/>
        <v>0</v>
      </c>
      <c r="CL32" s="30">
        <f t="shared" si="14"/>
        <v>0</v>
      </c>
      <c r="CM32" s="30">
        <f t="shared" si="15"/>
        <v>0</v>
      </c>
      <c r="CN32" s="19">
        <f t="shared" si="6"/>
        <v>0</v>
      </c>
      <c r="CO32" s="19">
        <f t="shared" si="7"/>
        <v>0</v>
      </c>
      <c r="CP32" s="19">
        <f t="shared" si="8"/>
        <v>0</v>
      </c>
      <c r="CQ32" s="19">
        <f t="shared" si="9"/>
        <v>0</v>
      </c>
      <c r="CR32" s="19">
        <f t="shared" si="10"/>
        <v>0</v>
      </c>
    </row>
    <row r="33" spans="1:96" s="9" customFormat="1" ht="12.75">
      <c r="A33" s="20"/>
      <c r="B33" s="21"/>
      <c r="C33" s="2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6">
        <f t="shared" si="0"/>
        <v>0</v>
      </c>
      <c r="AP33" s="6">
        <f t="shared" si="1"/>
        <v>0</v>
      </c>
      <c r="AQ33" s="6">
        <f t="shared" si="2"/>
        <v>0</v>
      </c>
      <c r="AR33" s="6">
        <f t="shared" si="3"/>
        <v>0</v>
      </c>
      <c r="AS33" s="6">
        <f t="shared" si="4"/>
        <v>0</v>
      </c>
      <c r="AT33" s="16">
        <f t="shared" si="11"/>
        <v>0</v>
      </c>
      <c r="AU33" s="17" t="str">
        <f>IF(OR(ISNUMBER(FIND({"M";"N";"D"},D33))),"1","")</f>
        <v/>
      </c>
      <c r="AV33" s="17" t="str">
        <f>IF(OR(ISNUMBER(FIND({"M";"N";"D"},E33))),"1","")</f>
        <v/>
      </c>
      <c r="AW33" s="17" t="str">
        <f>IF(OR(ISNUMBER(FIND({"M";"N";"D"},F33))),"1","")</f>
        <v/>
      </c>
      <c r="AX33" s="17" t="str">
        <f>IF(OR(ISNUMBER(FIND({"M";"N";"D"},G33))),"1","")</f>
        <v/>
      </c>
      <c r="AY33" s="17" t="str">
        <f>IF(OR(ISNUMBER(FIND({"M";"N";"D"},H33))),"1","")</f>
        <v/>
      </c>
      <c r="AZ33" s="17" t="str">
        <f>IF(OR(ISNUMBER(FIND({"M";"N";"D"},I33))),"1","")</f>
        <v/>
      </c>
      <c r="BA33" s="17" t="str">
        <f>IF(OR(ISNUMBER(FIND({"M";"N";"D"},J33))),"1","")</f>
        <v/>
      </c>
      <c r="BB33" s="17" t="str">
        <f>IF(OR(ISNUMBER(FIND({"M";"N";"D"},K33))),"1","")</f>
        <v/>
      </c>
      <c r="BC33" s="17" t="str">
        <f>IF(OR(ISNUMBER(FIND({"M";"N";"D"},L33))),"1","")</f>
        <v/>
      </c>
      <c r="BD33" s="17" t="str">
        <f>IF(OR(ISNUMBER(FIND({"M";"N";"D"},M33))),"1","")</f>
        <v/>
      </c>
      <c r="BE33" s="17" t="str">
        <f>IF(OR(ISNUMBER(FIND({"M";"N";"D"},N33))),"1","")</f>
        <v/>
      </c>
      <c r="BF33" s="17" t="str">
        <f>IF(OR(ISNUMBER(FIND({"M";"N";"D"},O33))),"1","")</f>
        <v/>
      </c>
      <c r="BG33" s="17" t="str">
        <f>IF(OR(ISNUMBER(FIND({"M";"N";"D"},P33))),"1","")</f>
        <v/>
      </c>
      <c r="BH33" s="17" t="str">
        <f>IF(OR(ISNUMBER(FIND({"M";"N";"D"},Q33))),"1","")</f>
        <v/>
      </c>
      <c r="BI33" s="17" t="str">
        <f>IF(OR(ISNUMBER(FIND({"M";"N";"D"},R33))),"1","")</f>
        <v/>
      </c>
      <c r="BJ33" s="17" t="str">
        <f>IF(OR(ISNUMBER(FIND({"M";"N";"D"},S33))),"1","")</f>
        <v/>
      </c>
      <c r="BK33" s="17" t="str">
        <f>IF(OR(ISNUMBER(FIND({"M";"N";"D"},T33))),"1","")</f>
        <v/>
      </c>
      <c r="BL33" s="17" t="str">
        <f>IF(OR(ISNUMBER(FIND({"M";"N";"D"},U33))),"1","")</f>
        <v/>
      </c>
      <c r="BM33" s="17" t="str">
        <f>IF(OR(ISNUMBER(FIND({"M";"N";"D"},V33))),"1","")</f>
        <v/>
      </c>
      <c r="BN33" s="17" t="str">
        <f>IF(OR(ISNUMBER(FIND({"M";"N";"D"},W33))),"1","")</f>
        <v/>
      </c>
      <c r="BO33" s="17" t="str">
        <f>IF(OR(ISNUMBER(FIND({"M";"N";"D"},X33))),"1","")</f>
        <v/>
      </c>
      <c r="BP33" s="17" t="str">
        <f>IF(OR(ISNUMBER(FIND({"M";"N";"D"},Y33))),"1","")</f>
        <v/>
      </c>
      <c r="BQ33" s="17" t="str">
        <f>IF(OR(ISNUMBER(FIND({"M";"N";"D"},Z33))),"1","")</f>
        <v/>
      </c>
      <c r="BR33" s="17" t="str">
        <f>IF(OR(ISNUMBER(FIND({"M";"N";"D"},AA33))),"1","")</f>
        <v/>
      </c>
      <c r="BS33" s="17" t="str">
        <f>IF(OR(ISNUMBER(FIND({"M";"N";"D"},AB33))),"1","")</f>
        <v/>
      </c>
      <c r="BT33" s="17" t="str">
        <f>IF(OR(ISNUMBER(FIND({"M";"N";"D"},AC33))),"1","")</f>
        <v/>
      </c>
      <c r="BU33" s="17" t="str">
        <f>IF(OR(ISNUMBER(FIND({"M";"N";"D"},AD33))),"1","")</f>
        <v/>
      </c>
      <c r="BV33" s="17" t="str">
        <f>IF(OR(ISNUMBER(FIND({"M";"N";"D"},AE33))),"1","")</f>
        <v/>
      </c>
      <c r="BW33" s="17" t="str">
        <f>IF(OR(ISNUMBER(FIND({"M";"N";"D"},AF33))),"1","")</f>
        <v/>
      </c>
      <c r="BX33" s="17" t="str">
        <f>IF(OR(ISNUMBER(FIND({"M";"N";"D"},AG33))),"1","")</f>
        <v/>
      </c>
      <c r="BY33" s="17" t="str">
        <f>IF(OR(ISNUMBER(FIND({"M";"N";"D"},AH33))),"1","")</f>
        <v/>
      </c>
      <c r="BZ33" s="17" t="str">
        <f>IF(OR(ISNUMBER(FIND({"M";"N";"D"},AI33))),"1","")</f>
        <v/>
      </c>
      <c r="CA33" s="17" t="str">
        <f>IF(OR(ISNUMBER(FIND({"M";"N";"D"},AJ33))),"1","")</f>
        <v/>
      </c>
      <c r="CB33" s="17" t="str">
        <f>IF(OR(ISNUMBER(FIND({"M";"N";"D"},AK33))),"1","")</f>
        <v/>
      </c>
      <c r="CC33" s="17" t="str">
        <f>IF(OR(ISNUMBER(FIND({"M";"N";"D"},AL33))),"1","")</f>
        <v/>
      </c>
      <c r="CD33" s="17" t="str">
        <f>IF(OR(ISNUMBER(FIND({"M";"N";"D"},AM33))),"1","")</f>
        <v/>
      </c>
      <c r="CE33" s="17" t="str">
        <f>IF(OR(ISNUMBER(FIND({"M";"N";"D"},AN33))),"1","")</f>
        <v/>
      </c>
      <c r="CF33" s="16">
        <f t="array" ref="CF33">MAX(FREQUENCY(IF(AU33:CE33&lt;&gt;"",COLUMN(AU33:CE33)),IF(AU33:CE33="",COLUMN(AU33:CE33))))</f>
        <v>0</v>
      </c>
      <c r="CG33" s="7"/>
      <c r="CH33" s="18">
        <f t="shared" si="12"/>
        <v>0</v>
      </c>
      <c r="CI33" s="8">
        <v>168</v>
      </c>
      <c r="CJ33" s="18">
        <f t="shared" si="5"/>
        <v>-168</v>
      </c>
      <c r="CK33" s="19">
        <f t="shared" si="13"/>
        <v>0</v>
      </c>
      <c r="CL33" s="30">
        <f t="shared" si="14"/>
        <v>0</v>
      </c>
      <c r="CM33" s="30">
        <f t="shared" si="15"/>
        <v>0</v>
      </c>
      <c r="CN33" s="19">
        <f t="shared" si="6"/>
        <v>0</v>
      </c>
      <c r="CO33" s="19">
        <f t="shared" si="7"/>
        <v>0</v>
      </c>
      <c r="CP33" s="19">
        <f t="shared" si="8"/>
        <v>0</v>
      </c>
      <c r="CQ33" s="19">
        <f t="shared" si="9"/>
        <v>0</v>
      </c>
      <c r="CR33" s="19">
        <f t="shared" si="10"/>
        <v>0</v>
      </c>
    </row>
    <row r="34" spans="1:96" s="9" customFormat="1" ht="12.75">
      <c r="A34" s="20"/>
      <c r="B34" s="21"/>
      <c r="C34" s="2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6">
        <f t="shared" si="0"/>
        <v>0</v>
      </c>
      <c r="AP34" s="6">
        <f t="shared" si="1"/>
        <v>0</v>
      </c>
      <c r="AQ34" s="6">
        <f t="shared" si="2"/>
        <v>0</v>
      </c>
      <c r="AR34" s="6">
        <f t="shared" si="3"/>
        <v>0</v>
      </c>
      <c r="AS34" s="6">
        <f t="shared" si="4"/>
        <v>0</v>
      </c>
      <c r="AT34" s="16">
        <f t="shared" si="11"/>
        <v>0</v>
      </c>
      <c r="AU34" s="17" t="str">
        <f>IF(OR(ISNUMBER(FIND({"M";"N";"D"},D34))),"1","")</f>
        <v/>
      </c>
      <c r="AV34" s="17" t="str">
        <f>IF(OR(ISNUMBER(FIND({"M";"N";"D"},E34))),"1","")</f>
        <v/>
      </c>
      <c r="AW34" s="17" t="str">
        <f>IF(OR(ISNUMBER(FIND({"M";"N";"D"},F34))),"1","")</f>
        <v/>
      </c>
      <c r="AX34" s="17" t="str">
        <f>IF(OR(ISNUMBER(FIND({"M";"N";"D"},G34))),"1","")</f>
        <v/>
      </c>
      <c r="AY34" s="17" t="str">
        <f>IF(OR(ISNUMBER(FIND({"M";"N";"D"},H34))),"1","")</f>
        <v/>
      </c>
      <c r="AZ34" s="17" t="str">
        <f>IF(OR(ISNUMBER(FIND({"M";"N";"D"},I34))),"1","")</f>
        <v/>
      </c>
      <c r="BA34" s="17" t="str">
        <f>IF(OR(ISNUMBER(FIND({"M";"N";"D"},J34))),"1","")</f>
        <v/>
      </c>
      <c r="BB34" s="17" t="str">
        <f>IF(OR(ISNUMBER(FIND({"M";"N";"D"},K34))),"1","")</f>
        <v/>
      </c>
      <c r="BC34" s="17" t="str">
        <f>IF(OR(ISNUMBER(FIND({"M";"N";"D"},L34))),"1","")</f>
        <v/>
      </c>
      <c r="BD34" s="17" t="str">
        <f>IF(OR(ISNUMBER(FIND({"M";"N";"D"},M34))),"1","")</f>
        <v/>
      </c>
      <c r="BE34" s="17" t="str">
        <f>IF(OR(ISNUMBER(FIND({"M";"N";"D"},N34))),"1","")</f>
        <v/>
      </c>
      <c r="BF34" s="17" t="str">
        <f>IF(OR(ISNUMBER(FIND({"M";"N";"D"},O34))),"1","")</f>
        <v/>
      </c>
      <c r="BG34" s="17" t="str">
        <f>IF(OR(ISNUMBER(FIND({"M";"N";"D"},P34))),"1","")</f>
        <v/>
      </c>
      <c r="BH34" s="17" t="str">
        <f>IF(OR(ISNUMBER(FIND({"M";"N";"D"},Q34))),"1","")</f>
        <v/>
      </c>
      <c r="BI34" s="17" t="str">
        <f>IF(OR(ISNUMBER(FIND({"M";"N";"D"},R34))),"1","")</f>
        <v/>
      </c>
      <c r="BJ34" s="17" t="str">
        <f>IF(OR(ISNUMBER(FIND({"M";"N";"D"},S34))),"1","")</f>
        <v/>
      </c>
      <c r="BK34" s="17" t="str">
        <f>IF(OR(ISNUMBER(FIND({"M";"N";"D"},T34))),"1","")</f>
        <v/>
      </c>
      <c r="BL34" s="17" t="str">
        <f>IF(OR(ISNUMBER(FIND({"M";"N";"D"},U34))),"1","")</f>
        <v/>
      </c>
      <c r="BM34" s="17" t="str">
        <f>IF(OR(ISNUMBER(FIND({"M";"N";"D"},V34))),"1","")</f>
        <v/>
      </c>
      <c r="BN34" s="17" t="str">
        <f>IF(OR(ISNUMBER(FIND({"M";"N";"D"},W34))),"1","")</f>
        <v/>
      </c>
      <c r="BO34" s="17" t="str">
        <f>IF(OR(ISNUMBER(FIND({"M";"N";"D"},X34))),"1","")</f>
        <v/>
      </c>
      <c r="BP34" s="17" t="str">
        <f>IF(OR(ISNUMBER(FIND({"M";"N";"D"},Y34))),"1","")</f>
        <v/>
      </c>
      <c r="BQ34" s="17" t="str">
        <f>IF(OR(ISNUMBER(FIND({"M";"N";"D"},Z34))),"1","")</f>
        <v/>
      </c>
      <c r="BR34" s="17" t="str">
        <f>IF(OR(ISNUMBER(FIND({"M";"N";"D"},AA34))),"1","")</f>
        <v/>
      </c>
      <c r="BS34" s="17" t="str">
        <f>IF(OR(ISNUMBER(FIND({"M";"N";"D"},AB34))),"1","")</f>
        <v/>
      </c>
      <c r="BT34" s="17" t="str">
        <f>IF(OR(ISNUMBER(FIND({"M";"N";"D"},AC34))),"1","")</f>
        <v/>
      </c>
      <c r="BU34" s="17" t="str">
        <f>IF(OR(ISNUMBER(FIND({"M";"N";"D"},AD34))),"1","")</f>
        <v/>
      </c>
      <c r="BV34" s="17" t="str">
        <f>IF(OR(ISNUMBER(FIND({"M";"N";"D"},AE34))),"1","")</f>
        <v/>
      </c>
      <c r="BW34" s="17" t="str">
        <f>IF(OR(ISNUMBER(FIND({"M";"N";"D"},AF34))),"1","")</f>
        <v/>
      </c>
      <c r="BX34" s="17" t="str">
        <f>IF(OR(ISNUMBER(FIND({"M";"N";"D"},AG34))),"1","")</f>
        <v/>
      </c>
      <c r="BY34" s="17" t="str">
        <f>IF(OR(ISNUMBER(FIND({"M";"N";"D"},AH34))),"1","")</f>
        <v/>
      </c>
      <c r="BZ34" s="17" t="str">
        <f>IF(OR(ISNUMBER(FIND({"M";"N";"D"},AI34))),"1","")</f>
        <v/>
      </c>
      <c r="CA34" s="17" t="str">
        <f>IF(OR(ISNUMBER(FIND({"M";"N";"D"},AJ34))),"1","")</f>
        <v/>
      </c>
      <c r="CB34" s="17" t="str">
        <f>IF(OR(ISNUMBER(FIND({"M";"N";"D"},AK34))),"1","")</f>
        <v/>
      </c>
      <c r="CC34" s="17" t="str">
        <f>IF(OR(ISNUMBER(FIND({"M";"N";"D"},AL34))),"1","")</f>
        <v/>
      </c>
      <c r="CD34" s="17" t="str">
        <f>IF(OR(ISNUMBER(FIND({"M";"N";"D"},AM34))),"1","")</f>
        <v/>
      </c>
      <c r="CE34" s="17" t="str">
        <f>IF(OR(ISNUMBER(FIND({"M";"N";"D"},AN34))),"1","")</f>
        <v/>
      </c>
      <c r="CF34" s="16">
        <f t="array" ref="CF34">MAX(FREQUENCY(IF(AU34:CE34&lt;&gt;"",COLUMN(AU34:CE34)),IF(AU34:CE34="",COLUMN(AU34:CE34))))</f>
        <v>0</v>
      </c>
      <c r="CG34" s="7"/>
      <c r="CH34" s="18">
        <f t="shared" si="12"/>
        <v>0</v>
      </c>
      <c r="CI34" s="8">
        <v>168</v>
      </c>
      <c r="CJ34" s="18">
        <f t="shared" si="5"/>
        <v>-168</v>
      </c>
      <c r="CK34" s="19">
        <f t="shared" si="13"/>
        <v>0</v>
      </c>
      <c r="CL34" s="30">
        <f t="shared" si="14"/>
        <v>0</v>
      </c>
      <c r="CM34" s="30">
        <f t="shared" si="15"/>
        <v>0</v>
      </c>
      <c r="CN34" s="19">
        <f t="shared" si="6"/>
        <v>0</v>
      </c>
      <c r="CO34" s="19">
        <f t="shared" si="7"/>
        <v>0</v>
      </c>
      <c r="CP34" s="19">
        <f t="shared" si="8"/>
        <v>0</v>
      </c>
      <c r="CQ34" s="19">
        <f t="shared" si="9"/>
        <v>0</v>
      </c>
      <c r="CR34" s="19">
        <f t="shared" si="10"/>
        <v>0</v>
      </c>
    </row>
    <row r="35" spans="1:96" s="9" customFormat="1" ht="12.75" customHeight="1">
      <c r="A35" s="20"/>
      <c r="B35" s="21"/>
      <c r="C35" s="2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6">
        <f t="shared" si="0"/>
        <v>0</v>
      </c>
      <c r="AP35" s="6">
        <f t="shared" si="1"/>
        <v>0</v>
      </c>
      <c r="AQ35" s="6">
        <f t="shared" si="2"/>
        <v>0</v>
      </c>
      <c r="AR35" s="6">
        <f t="shared" si="3"/>
        <v>0</v>
      </c>
      <c r="AS35" s="6">
        <f t="shared" si="4"/>
        <v>0</v>
      </c>
      <c r="AT35" s="16">
        <f t="shared" si="11"/>
        <v>0</v>
      </c>
      <c r="AU35" s="17" t="str">
        <f>IF(OR(ISNUMBER(FIND({"M";"N";"D"},D35))),"1","")</f>
        <v/>
      </c>
      <c r="AV35" s="17" t="str">
        <f>IF(OR(ISNUMBER(FIND({"M";"N";"D"},E35))),"1","")</f>
        <v/>
      </c>
      <c r="AW35" s="17" t="str">
        <f>IF(OR(ISNUMBER(FIND({"M";"N";"D"},F35))),"1","")</f>
        <v/>
      </c>
      <c r="AX35" s="17" t="str">
        <f>IF(OR(ISNUMBER(FIND({"M";"N";"D"},G35))),"1","")</f>
        <v/>
      </c>
      <c r="AY35" s="17" t="str">
        <f>IF(OR(ISNUMBER(FIND({"M";"N";"D"},H35))),"1","")</f>
        <v/>
      </c>
      <c r="AZ35" s="17" t="str">
        <f>IF(OR(ISNUMBER(FIND({"M";"N";"D"},I35))),"1","")</f>
        <v/>
      </c>
      <c r="BA35" s="17" t="str">
        <f>IF(OR(ISNUMBER(FIND({"M";"N";"D"},J35))),"1","")</f>
        <v/>
      </c>
      <c r="BB35" s="17" t="str">
        <f>IF(OR(ISNUMBER(FIND({"M";"N";"D"},K35))),"1","")</f>
        <v/>
      </c>
      <c r="BC35" s="17" t="str">
        <f>IF(OR(ISNUMBER(FIND({"M";"N";"D"},L35))),"1","")</f>
        <v/>
      </c>
      <c r="BD35" s="17" t="str">
        <f>IF(OR(ISNUMBER(FIND({"M";"N";"D"},M35))),"1","")</f>
        <v/>
      </c>
      <c r="BE35" s="17" t="str">
        <f>IF(OR(ISNUMBER(FIND({"M";"N";"D"},N35))),"1","")</f>
        <v/>
      </c>
      <c r="BF35" s="17" t="str">
        <f>IF(OR(ISNUMBER(FIND({"M";"N";"D"},O35))),"1","")</f>
        <v/>
      </c>
      <c r="BG35" s="17" t="str">
        <f>IF(OR(ISNUMBER(FIND({"M";"N";"D"},P35))),"1","")</f>
        <v/>
      </c>
      <c r="BH35" s="17" t="str">
        <f>IF(OR(ISNUMBER(FIND({"M";"N";"D"},Q35))),"1","")</f>
        <v/>
      </c>
      <c r="BI35" s="17" t="str">
        <f>IF(OR(ISNUMBER(FIND({"M";"N";"D"},R35))),"1","")</f>
        <v/>
      </c>
      <c r="BJ35" s="17" t="str">
        <f>IF(OR(ISNUMBER(FIND({"M";"N";"D"},S35))),"1","")</f>
        <v/>
      </c>
      <c r="BK35" s="17" t="str">
        <f>IF(OR(ISNUMBER(FIND({"M";"N";"D"},T35))),"1","")</f>
        <v/>
      </c>
      <c r="BL35" s="17" t="str">
        <f>IF(OR(ISNUMBER(FIND({"M";"N";"D"},U35))),"1","")</f>
        <v/>
      </c>
      <c r="BM35" s="17" t="str">
        <f>IF(OR(ISNUMBER(FIND({"M";"N";"D"},V35))),"1","")</f>
        <v/>
      </c>
      <c r="BN35" s="17" t="str">
        <f>IF(OR(ISNUMBER(FIND({"M";"N";"D"},W35))),"1","")</f>
        <v/>
      </c>
      <c r="BO35" s="17" t="str">
        <f>IF(OR(ISNUMBER(FIND({"M";"N";"D"},X35))),"1","")</f>
        <v/>
      </c>
      <c r="BP35" s="17" t="str">
        <f>IF(OR(ISNUMBER(FIND({"M";"N";"D"},Y35))),"1","")</f>
        <v/>
      </c>
      <c r="BQ35" s="17" t="str">
        <f>IF(OR(ISNUMBER(FIND({"M";"N";"D"},Z35))),"1","")</f>
        <v/>
      </c>
      <c r="BR35" s="17" t="str">
        <f>IF(OR(ISNUMBER(FIND({"M";"N";"D"},AA35))),"1","")</f>
        <v/>
      </c>
      <c r="BS35" s="17" t="str">
        <f>IF(OR(ISNUMBER(FIND({"M";"N";"D"},AB35))),"1","")</f>
        <v/>
      </c>
      <c r="BT35" s="17" t="str">
        <f>IF(OR(ISNUMBER(FIND({"M";"N";"D"},AC35))),"1","")</f>
        <v/>
      </c>
      <c r="BU35" s="17" t="str">
        <f>IF(OR(ISNUMBER(FIND({"M";"N";"D"},AD35))),"1","")</f>
        <v/>
      </c>
      <c r="BV35" s="17" t="str">
        <f>IF(OR(ISNUMBER(FIND({"M";"N";"D"},AE35))),"1","")</f>
        <v/>
      </c>
      <c r="BW35" s="17" t="str">
        <f>IF(OR(ISNUMBER(FIND({"M";"N";"D"},AF35))),"1","")</f>
        <v/>
      </c>
      <c r="BX35" s="17" t="str">
        <f>IF(OR(ISNUMBER(FIND({"M";"N";"D"},AG35))),"1","")</f>
        <v/>
      </c>
      <c r="BY35" s="17" t="str">
        <f>IF(OR(ISNUMBER(FIND({"M";"N";"D"},AH35))),"1","")</f>
        <v/>
      </c>
      <c r="BZ35" s="17" t="str">
        <f>IF(OR(ISNUMBER(FIND({"M";"N";"D"},AI35))),"1","")</f>
        <v/>
      </c>
      <c r="CA35" s="17" t="str">
        <f>IF(OR(ISNUMBER(FIND({"M";"N";"D"},AJ35))),"1","")</f>
        <v/>
      </c>
      <c r="CB35" s="17" t="str">
        <f>IF(OR(ISNUMBER(FIND({"M";"N";"D"},AK35))),"1","")</f>
        <v/>
      </c>
      <c r="CC35" s="17" t="str">
        <f>IF(OR(ISNUMBER(FIND({"M";"N";"D"},AL35))),"1","")</f>
        <v/>
      </c>
      <c r="CD35" s="17" t="str">
        <f>IF(OR(ISNUMBER(FIND({"M";"N";"D"},AM35))),"1","")</f>
        <v/>
      </c>
      <c r="CE35" s="17" t="str">
        <f>IF(OR(ISNUMBER(FIND({"M";"N";"D"},AN35))),"1","")</f>
        <v/>
      </c>
      <c r="CF35" s="16">
        <f t="array" ref="CF35">MAX(FREQUENCY(IF(AU35:CE35&lt;&gt;"",COLUMN(AU35:CE35)),IF(AU35:CE35="",COLUMN(AU35:CE35))))</f>
        <v>0</v>
      </c>
      <c r="CG35" s="7"/>
      <c r="CH35" s="18">
        <f t="shared" si="12"/>
        <v>0</v>
      </c>
      <c r="CI35" s="8">
        <v>168</v>
      </c>
      <c r="CJ35" s="18">
        <f t="shared" si="5"/>
        <v>-168</v>
      </c>
      <c r="CK35" s="19">
        <f t="shared" si="13"/>
        <v>0</v>
      </c>
      <c r="CL35" s="30">
        <f t="shared" si="14"/>
        <v>0</v>
      </c>
      <c r="CM35" s="30">
        <f t="shared" si="15"/>
        <v>0</v>
      </c>
      <c r="CN35" s="19">
        <f t="shared" si="6"/>
        <v>0</v>
      </c>
      <c r="CO35" s="19">
        <f t="shared" si="7"/>
        <v>0</v>
      </c>
      <c r="CP35" s="19">
        <f t="shared" si="8"/>
        <v>0</v>
      </c>
      <c r="CQ35" s="19">
        <f t="shared" si="9"/>
        <v>0</v>
      </c>
      <c r="CR35" s="19">
        <f t="shared" si="10"/>
        <v>0</v>
      </c>
    </row>
    <row r="36" spans="1:96" s="9" customFormat="1" ht="12.75">
      <c r="A36" s="20"/>
      <c r="B36" s="21"/>
      <c r="C36" s="2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6">
        <f t="shared" si="0"/>
        <v>0</v>
      </c>
      <c r="AP36" s="6">
        <f t="shared" si="1"/>
        <v>0</v>
      </c>
      <c r="AQ36" s="6">
        <f t="shared" si="2"/>
        <v>0</v>
      </c>
      <c r="AR36" s="6">
        <f t="shared" si="3"/>
        <v>0</v>
      </c>
      <c r="AS36" s="6">
        <f t="shared" si="4"/>
        <v>0</v>
      </c>
      <c r="AT36" s="16">
        <f t="shared" si="11"/>
        <v>0</v>
      </c>
      <c r="AU36" s="17" t="str">
        <f>IF(OR(ISNUMBER(FIND({"M";"N";"D"},D36))),"1","")</f>
        <v/>
      </c>
      <c r="AV36" s="17" t="str">
        <f>IF(OR(ISNUMBER(FIND({"M";"N";"D"},E36))),"1","")</f>
        <v/>
      </c>
      <c r="AW36" s="17" t="str">
        <f>IF(OR(ISNUMBER(FIND({"M";"N";"D"},F36))),"1","")</f>
        <v/>
      </c>
      <c r="AX36" s="17" t="str">
        <f>IF(OR(ISNUMBER(FIND({"M";"N";"D"},G36))),"1","")</f>
        <v/>
      </c>
      <c r="AY36" s="17" t="str">
        <f>IF(OR(ISNUMBER(FIND({"M";"N";"D"},H36))),"1","")</f>
        <v/>
      </c>
      <c r="AZ36" s="17" t="str">
        <f>IF(OR(ISNUMBER(FIND({"M";"N";"D"},I36))),"1","")</f>
        <v/>
      </c>
      <c r="BA36" s="17" t="str">
        <f>IF(OR(ISNUMBER(FIND({"M";"N";"D"},J36))),"1","")</f>
        <v/>
      </c>
      <c r="BB36" s="17" t="str">
        <f>IF(OR(ISNUMBER(FIND({"M";"N";"D"},K36))),"1","")</f>
        <v/>
      </c>
      <c r="BC36" s="17" t="str">
        <f>IF(OR(ISNUMBER(FIND({"M";"N";"D"},L36))),"1","")</f>
        <v/>
      </c>
      <c r="BD36" s="17" t="str">
        <f>IF(OR(ISNUMBER(FIND({"M";"N";"D"},M36))),"1","")</f>
        <v/>
      </c>
      <c r="BE36" s="17" t="str">
        <f>IF(OR(ISNUMBER(FIND({"M";"N";"D"},N36))),"1","")</f>
        <v/>
      </c>
      <c r="BF36" s="17" t="str">
        <f>IF(OR(ISNUMBER(FIND({"M";"N";"D"},O36))),"1","")</f>
        <v/>
      </c>
      <c r="BG36" s="17" t="str">
        <f>IF(OR(ISNUMBER(FIND({"M";"N";"D"},P36))),"1","")</f>
        <v/>
      </c>
      <c r="BH36" s="17" t="str">
        <f>IF(OR(ISNUMBER(FIND({"M";"N";"D"},Q36))),"1","")</f>
        <v/>
      </c>
      <c r="BI36" s="17" t="str">
        <f>IF(OR(ISNUMBER(FIND({"M";"N";"D"},R36))),"1","")</f>
        <v/>
      </c>
      <c r="BJ36" s="17" t="str">
        <f>IF(OR(ISNUMBER(FIND({"M";"N";"D"},S36))),"1","")</f>
        <v/>
      </c>
      <c r="BK36" s="17" t="str">
        <f>IF(OR(ISNUMBER(FIND({"M";"N";"D"},T36))),"1","")</f>
        <v/>
      </c>
      <c r="BL36" s="17" t="str">
        <f>IF(OR(ISNUMBER(FIND({"M";"N";"D"},U36))),"1","")</f>
        <v/>
      </c>
      <c r="BM36" s="17" t="str">
        <f>IF(OR(ISNUMBER(FIND({"M";"N";"D"},V36))),"1","")</f>
        <v/>
      </c>
      <c r="BN36" s="17" t="str">
        <f>IF(OR(ISNUMBER(FIND({"M";"N";"D"},W36))),"1","")</f>
        <v/>
      </c>
      <c r="BO36" s="17" t="str">
        <f>IF(OR(ISNUMBER(FIND({"M";"N";"D"},X36))),"1","")</f>
        <v/>
      </c>
      <c r="BP36" s="17" t="str">
        <f>IF(OR(ISNUMBER(FIND({"M";"N";"D"},Y36))),"1","")</f>
        <v/>
      </c>
      <c r="BQ36" s="17" t="str">
        <f>IF(OR(ISNUMBER(FIND({"M";"N";"D"},Z36))),"1","")</f>
        <v/>
      </c>
      <c r="BR36" s="17" t="str">
        <f>IF(OR(ISNUMBER(FIND({"M";"N";"D"},AA36))),"1","")</f>
        <v/>
      </c>
      <c r="BS36" s="17" t="str">
        <f>IF(OR(ISNUMBER(FIND({"M";"N";"D"},AB36))),"1","")</f>
        <v/>
      </c>
      <c r="BT36" s="17" t="str">
        <f>IF(OR(ISNUMBER(FIND({"M";"N";"D"},AC36))),"1","")</f>
        <v/>
      </c>
      <c r="BU36" s="17" t="str">
        <f>IF(OR(ISNUMBER(FIND({"M";"N";"D"},AD36))),"1","")</f>
        <v/>
      </c>
      <c r="BV36" s="17" t="str">
        <f>IF(OR(ISNUMBER(FIND({"M";"N";"D"},AE36))),"1","")</f>
        <v/>
      </c>
      <c r="BW36" s="17" t="str">
        <f>IF(OR(ISNUMBER(FIND({"M";"N";"D"},AF36))),"1","")</f>
        <v/>
      </c>
      <c r="BX36" s="17" t="str">
        <f>IF(OR(ISNUMBER(FIND({"M";"N";"D"},AG36))),"1","")</f>
        <v/>
      </c>
      <c r="BY36" s="17" t="str">
        <f>IF(OR(ISNUMBER(FIND({"M";"N";"D"},AH36))),"1","")</f>
        <v/>
      </c>
      <c r="BZ36" s="17" t="str">
        <f>IF(OR(ISNUMBER(FIND({"M";"N";"D"},AI36))),"1","")</f>
        <v/>
      </c>
      <c r="CA36" s="17" t="str">
        <f>IF(OR(ISNUMBER(FIND({"M";"N";"D"},AJ36))),"1","")</f>
        <v/>
      </c>
      <c r="CB36" s="17" t="str">
        <f>IF(OR(ISNUMBER(FIND({"M";"N";"D"},AK36))),"1","")</f>
        <v/>
      </c>
      <c r="CC36" s="17" t="str">
        <f>IF(OR(ISNUMBER(FIND({"M";"N";"D"},AL36))),"1","")</f>
        <v/>
      </c>
      <c r="CD36" s="17" t="str">
        <f>IF(OR(ISNUMBER(FIND({"M";"N";"D"},AM36))),"1","")</f>
        <v/>
      </c>
      <c r="CE36" s="17" t="str">
        <f>IF(OR(ISNUMBER(FIND({"M";"N";"D"},AN36))),"1","")</f>
        <v/>
      </c>
      <c r="CF36" s="16">
        <f t="array" ref="CF36">MAX(FREQUENCY(IF(AU36:CE36&lt;&gt;"",COLUMN(AU36:CE36)),IF(AU36:CE36="",COLUMN(AU36:CE36))))</f>
        <v>0</v>
      </c>
      <c r="CG36" s="7"/>
      <c r="CH36" s="18">
        <f t="shared" si="12"/>
        <v>0</v>
      </c>
      <c r="CI36" s="8">
        <v>168</v>
      </c>
      <c r="CJ36" s="18">
        <f t="shared" si="5"/>
        <v>-168</v>
      </c>
      <c r="CK36" s="19">
        <f t="shared" si="13"/>
        <v>0</v>
      </c>
      <c r="CL36" s="30">
        <f t="shared" si="14"/>
        <v>0</v>
      </c>
      <c r="CM36" s="30">
        <f t="shared" si="15"/>
        <v>0</v>
      </c>
      <c r="CN36" s="19">
        <f t="shared" si="6"/>
        <v>0</v>
      </c>
      <c r="CO36" s="19">
        <f t="shared" si="7"/>
        <v>0</v>
      </c>
      <c r="CP36" s="19">
        <f t="shared" si="8"/>
        <v>0</v>
      </c>
      <c r="CQ36" s="19">
        <f t="shared" si="9"/>
        <v>0</v>
      </c>
      <c r="CR36" s="19">
        <f t="shared" si="10"/>
        <v>0</v>
      </c>
    </row>
    <row r="37" spans="1:96" s="9" customFormat="1" ht="12.75">
      <c r="A37" s="20"/>
      <c r="B37" s="21"/>
      <c r="C37" s="21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6">
        <f t="shared" si="0"/>
        <v>0</v>
      </c>
      <c r="AP37" s="6">
        <f t="shared" si="1"/>
        <v>0</v>
      </c>
      <c r="AQ37" s="6">
        <f t="shared" si="2"/>
        <v>0</v>
      </c>
      <c r="AR37" s="6">
        <f t="shared" si="3"/>
        <v>0</v>
      </c>
      <c r="AS37" s="6">
        <f t="shared" si="4"/>
        <v>0</v>
      </c>
      <c r="AT37" s="16">
        <f t="shared" si="11"/>
        <v>0</v>
      </c>
      <c r="AU37" s="17" t="str">
        <f>IF(OR(ISNUMBER(FIND({"M";"N";"D"},D37))),"1","")</f>
        <v/>
      </c>
      <c r="AV37" s="17" t="str">
        <f>IF(OR(ISNUMBER(FIND({"M";"N";"D"},E37))),"1","")</f>
        <v/>
      </c>
      <c r="AW37" s="17" t="str">
        <f>IF(OR(ISNUMBER(FIND({"M";"N";"D"},F37))),"1","")</f>
        <v/>
      </c>
      <c r="AX37" s="17" t="str">
        <f>IF(OR(ISNUMBER(FIND({"M";"N";"D"},G37))),"1","")</f>
        <v/>
      </c>
      <c r="AY37" s="17" t="str">
        <f>IF(OR(ISNUMBER(FIND({"M";"N";"D"},H37))),"1","")</f>
        <v/>
      </c>
      <c r="AZ37" s="17" t="str">
        <f>IF(OR(ISNUMBER(FIND({"M";"N";"D"},I37))),"1","")</f>
        <v/>
      </c>
      <c r="BA37" s="17" t="str">
        <f>IF(OR(ISNUMBER(FIND({"M";"N";"D"},J37))),"1","")</f>
        <v/>
      </c>
      <c r="BB37" s="17" t="str">
        <f>IF(OR(ISNUMBER(FIND({"M";"N";"D"},K37))),"1","")</f>
        <v/>
      </c>
      <c r="BC37" s="17" t="str">
        <f>IF(OR(ISNUMBER(FIND({"M";"N";"D"},L37))),"1","")</f>
        <v/>
      </c>
      <c r="BD37" s="17" t="str">
        <f>IF(OR(ISNUMBER(FIND({"M";"N";"D"},M37))),"1","")</f>
        <v/>
      </c>
      <c r="BE37" s="17" t="str">
        <f>IF(OR(ISNUMBER(FIND({"M";"N";"D"},N37))),"1","")</f>
        <v/>
      </c>
      <c r="BF37" s="17" t="str">
        <f>IF(OR(ISNUMBER(FIND({"M";"N";"D"},O37))),"1","")</f>
        <v/>
      </c>
      <c r="BG37" s="17" t="str">
        <f>IF(OR(ISNUMBER(FIND({"M";"N";"D"},P37))),"1","")</f>
        <v/>
      </c>
      <c r="BH37" s="17" t="str">
        <f>IF(OR(ISNUMBER(FIND({"M";"N";"D"},Q37))),"1","")</f>
        <v/>
      </c>
      <c r="BI37" s="17" t="str">
        <f>IF(OR(ISNUMBER(FIND({"M";"N";"D"},R37))),"1","")</f>
        <v/>
      </c>
      <c r="BJ37" s="17" t="str">
        <f>IF(OR(ISNUMBER(FIND({"M";"N";"D"},S37))),"1","")</f>
        <v/>
      </c>
      <c r="BK37" s="17" t="str">
        <f>IF(OR(ISNUMBER(FIND({"M";"N";"D"},T37))),"1","")</f>
        <v/>
      </c>
      <c r="BL37" s="17" t="str">
        <f>IF(OR(ISNUMBER(FIND({"M";"N";"D"},U37))),"1","")</f>
        <v/>
      </c>
      <c r="BM37" s="17" t="str">
        <f>IF(OR(ISNUMBER(FIND({"M";"N";"D"},V37))),"1","")</f>
        <v/>
      </c>
      <c r="BN37" s="17" t="str">
        <f>IF(OR(ISNUMBER(FIND({"M";"N";"D"},W37))),"1","")</f>
        <v/>
      </c>
      <c r="BO37" s="17" t="str">
        <f>IF(OR(ISNUMBER(FIND({"M";"N";"D"},X37))),"1","")</f>
        <v/>
      </c>
      <c r="BP37" s="17" t="str">
        <f>IF(OR(ISNUMBER(FIND({"M";"N";"D"},Y37))),"1","")</f>
        <v/>
      </c>
      <c r="BQ37" s="17" t="str">
        <f>IF(OR(ISNUMBER(FIND({"M";"N";"D"},Z37))),"1","")</f>
        <v/>
      </c>
      <c r="BR37" s="17" t="str">
        <f>IF(OR(ISNUMBER(FIND({"M";"N";"D"},AA37))),"1","")</f>
        <v/>
      </c>
      <c r="BS37" s="17" t="str">
        <f>IF(OR(ISNUMBER(FIND({"M";"N";"D"},AB37))),"1","")</f>
        <v/>
      </c>
      <c r="BT37" s="17" t="str">
        <f>IF(OR(ISNUMBER(FIND({"M";"N";"D"},AC37))),"1","")</f>
        <v/>
      </c>
      <c r="BU37" s="17" t="str">
        <f>IF(OR(ISNUMBER(FIND({"M";"N";"D"},AD37))),"1","")</f>
        <v/>
      </c>
      <c r="BV37" s="17" t="str">
        <f>IF(OR(ISNUMBER(FIND({"M";"N";"D"},AE37))),"1","")</f>
        <v/>
      </c>
      <c r="BW37" s="17" t="str">
        <f>IF(OR(ISNUMBER(FIND({"M";"N";"D"},AF37))),"1","")</f>
        <v/>
      </c>
      <c r="BX37" s="17" t="str">
        <f>IF(OR(ISNUMBER(FIND({"M";"N";"D"},AG37))),"1","")</f>
        <v/>
      </c>
      <c r="BY37" s="17" t="str">
        <f>IF(OR(ISNUMBER(FIND({"M";"N";"D"},AH37))),"1","")</f>
        <v/>
      </c>
      <c r="BZ37" s="17" t="str">
        <f>IF(OR(ISNUMBER(FIND({"M";"N";"D"},AI37))),"1","")</f>
        <v/>
      </c>
      <c r="CA37" s="17" t="str">
        <f>IF(OR(ISNUMBER(FIND({"M";"N";"D"},AJ37))),"1","")</f>
        <v/>
      </c>
      <c r="CB37" s="17" t="str">
        <f>IF(OR(ISNUMBER(FIND({"M";"N";"D"},AK37))),"1","")</f>
        <v/>
      </c>
      <c r="CC37" s="17" t="str">
        <f>IF(OR(ISNUMBER(FIND({"M";"N";"D"},AL37))),"1","")</f>
        <v/>
      </c>
      <c r="CD37" s="17" t="str">
        <f>IF(OR(ISNUMBER(FIND({"M";"N";"D"},AM37))),"1","")</f>
        <v/>
      </c>
      <c r="CE37" s="17" t="str">
        <f>IF(OR(ISNUMBER(FIND({"M";"N";"D"},AN37))),"1","")</f>
        <v/>
      </c>
      <c r="CF37" s="16">
        <f t="array" ref="CF37">MAX(FREQUENCY(IF(AU37:CE37&lt;&gt;"",COLUMN(AU37:CE37)),IF(AU37:CE37="",COLUMN(AU37:CE37))))</f>
        <v>0</v>
      </c>
      <c r="CG37" s="7"/>
      <c r="CH37" s="18">
        <f t="shared" si="12"/>
        <v>0</v>
      </c>
      <c r="CI37" s="8">
        <v>168</v>
      </c>
      <c r="CJ37" s="18">
        <f t="shared" si="5"/>
        <v>-168</v>
      </c>
      <c r="CK37" s="19">
        <f t="shared" si="13"/>
        <v>0</v>
      </c>
      <c r="CL37" s="30">
        <f t="shared" si="14"/>
        <v>0</v>
      </c>
      <c r="CM37" s="30">
        <f t="shared" si="15"/>
        <v>0</v>
      </c>
      <c r="CN37" s="19">
        <f t="shared" si="6"/>
        <v>0</v>
      </c>
      <c r="CO37" s="19">
        <f t="shared" si="7"/>
        <v>0</v>
      </c>
      <c r="CP37" s="19">
        <f t="shared" si="8"/>
        <v>0</v>
      </c>
      <c r="CQ37" s="19">
        <f t="shared" si="9"/>
        <v>0</v>
      </c>
      <c r="CR37" s="19">
        <f t="shared" si="10"/>
        <v>0</v>
      </c>
    </row>
    <row r="38" spans="1:96" s="9" customFormat="1" ht="12.75" customHeight="1">
      <c r="A38" s="20"/>
      <c r="B38" s="21"/>
      <c r="C38" s="21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6">
        <f t="shared" si="0"/>
        <v>0</v>
      </c>
      <c r="AP38" s="6">
        <f t="shared" si="1"/>
        <v>0</v>
      </c>
      <c r="AQ38" s="6">
        <f t="shared" si="2"/>
        <v>0</v>
      </c>
      <c r="AR38" s="6">
        <f t="shared" si="3"/>
        <v>0</v>
      </c>
      <c r="AS38" s="6">
        <f t="shared" si="4"/>
        <v>0</v>
      </c>
      <c r="AT38" s="16">
        <f t="shared" si="11"/>
        <v>0</v>
      </c>
      <c r="AU38" s="17" t="str">
        <f>IF(OR(ISNUMBER(FIND({"M";"N";"D"},D38))),"1","")</f>
        <v/>
      </c>
      <c r="AV38" s="17" t="str">
        <f>IF(OR(ISNUMBER(FIND({"M";"N";"D"},E38))),"1","")</f>
        <v/>
      </c>
      <c r="AW38" s="17" t="str">
        <f>IF(OR(ISNUMBER(FIND({"M";"N";"D"},F38))),"1","")</f>
        <v/>
      </c>
      <c r="AX38" s="17" t="str">
        <f>IF(OR(ISNUMBER(FIND({"M";"N";"D"},G38))),"1","")</f>
        <v/>
      </c>
      <c r="AY38" s="17" t="str">
        <f>IF(OR(ISNUMBER(FIND({"M";"N";"D"},H38))),"1","")</f>
        <v/>
      </c>
      <c r="AZ38" s="17" t="str">
        <f>IF(OR(ISNUMBER(FIND({"M";"N";"D"},I38))),"1","")</f>
        <v/>
      </c>
      <c r="BA38" s="17" t="str">
        <f>IF(OR(ISNUMBER(FIND({"M";"N";"D"},J38))),"1","")</f>
        <v/>
      </c>
      <c r="BB38" s="17" t="str">
        <f>IF(OR(ISNUMBER(FIND({"M";"N";"D"},K38))),"1","")</f>
        <v/>
      </c>
      <c r="BC38" s="17" t="str">
        <f>IF(OR(ISNUMBER(FIND({"M";"N";"D"},L38))),"1","")</f>
        <v/>
      </c>
      <c r="BD38" s="17" t="str">
        <f>IF(OR(ISNUMBER(FIND({"M";"N";"D"},M38))),"1","")</f>
        <v/>
      </c>
      <c r="BE38" s="17" t="str">
        <f>IF(OR(ISNUMBER(FIND({"M";"N";"D"},N38))),"1","")</f>
        <v/>
      </c>
      <c r="BF38" s="17" t="str">
        <f>IF(OR(ISNUMBER(FIND({"M";"N";"D"},O38))),"1","")</f>
        <v/>
      </c>
      <c r="BG38" s="17" t="str">
        <f>IF(OR(ISNUMBER(FIND({"M";"N";"D"},P38))),"1","")</f>
        <v/>
      </c>
      <c r="BH38" s="17" t="str">
        <f>IF(OR(ISNUMBER(FIND({"M";"N";"D"},Q38))),"1","")</f>
        <v/>
      </c>
      <c r="BI38" s="17" t="str">
        <f>IF(OR(ISNUMBER(FIND({"M";"N";"D"},R38))),"1","")</f>
        <v/>
      </c>
      <c r="BJ38" s="17" t="str">
        <f>IF(OR(ISNUMBER(FIND({"M";"N";"D"},S38))),"1","")</f>
        <v/>
      </c>
      <c r="BK38" s="17" t="str">
        <f>IF(OR(ISNUMBER(FIND({"M";"N";"D"},T38))),"1","")</f>
        <v/>
      </c>
      <c r="BL38" s="17" t="str">
        <f>IF(OR(ISNUMBER(FIND({"M";"N";"D"},U38))),"1","")</f>
        <v/>
      </c>
      <c r="BM38" s="17" t="str">
        <f>IF(OR(ISNUMBER(FIND({"M";"N";"D"},V38))),"1","")</f>
        <v/>
      </c>
      <c r="BN38" s="17" t="str">
        <f>IF(OR(ISNUMBER(FIND({"M";"N";"D"},W38))),"1","")</f>
        <v/>
      </c>
      <c r="BO38" s="17" t="str">
        <f>IF(OR(ISNUMBER(FIND({"M";"N";"D"},X38))),"1","")</f>
        <v/>
      </c>
      <c r="BP38" s="17" t="str">
        <f>IF(OR(ISNUMBER(FIND({"M";"N";"D"},Y38))),"1","")</f>
        <v/>
      </c>
      <c r="BQ38" s="17" t="str">
        <f>IF(OR(ISNUMBER(FIND({"M";"N";"D"},Z38))),"1","")</f>
        <v/>
      </c>
      <c r="BR38" s="17" t="str">
        <f>IF(OR(ISNUMBER(FIND({"M";"N";"D"},AA38))),"1","")</f>
        <v/>
      </c>
      <c r="BS38" s="17" t="str">
        <f>IF(OR(ISNUMBER(FIND({"M";"N";"D"},AB38))),"1","")</f>
        <v/>
      </c>
      <c r="BT38" s="17" t="str">
        <f>IF(OR(ISNUMBER(FIND({"M";"N";"D"},AC38))),"1","")</f>
        <v/>
      </c>
      <c r="BU38" s="17" t="str">
        <f>IF(OR(ISNUMBER(FIND({"M";"N";"D"},AD38))),"1","")</f>
        <v/>
      </c>
      <c r="BV38" s="17" t="str">
        <f>IF(OR(ISNUMBER(FIND({"M";"N";"D"},AE38))),"1","")</f>
        <v/>
      </c>
      <c r="BW38" s="17" t="str">
        <f>IF(OR(ISNUMBER(FIND({"M";"N";"D"},AF38))),"1","")</f>
        <v/>
      </c>
      <c r="BX38" s="17" t="str">
        <f>IF(OR(ISNUMBER(FIND({"M";"N";"D"},AG38))),"1","")</f>
        <v/>
      </c>
      <c r="BY38" s="17" t="str">
        <f>IF(OR(ISNUMBER(FIND({"M";"N";"D"},AH38))),"1","")</f>
        <v/>
      </c>
      <c r="BZ38" s="17" t="str">
        <f>IF(OR(ISNUMBER(FIND({"M";"N";"D"},AI38))),"1","")</f>
        <v/>
      </c>
      <c r="CA38" s="17" t="str">
        <f>IF(OR(ISNUMBER(FIND({"M";"N";"D"},AJ38))),"1","")</f>
        <v/>
      </c>
      <c r="CB38" s="17" t="str">
        <f>IF(OR(ISNUMBER(FIND({"M";"N";"D"},AK38))),"1","")</f>
        <v/>
      </c>
      <c r="CC38" s="17" t="str">
        <f>IF(OR(ISNUMBER(FIND({"M";"N";"D"},AL38))),"1","")</f>
        <v/>
      </c>
      <c r="CD38" s="17" t="str">
        <f>IF(OR(ISNUMBER(FIND({"M";"N";"D"},AM38))),"1","")</f>
        <v/>
      </c>
      <c r="CE38" s="17" t="str">
        <f>IF(OR(ISNUMBER(FIND({"M";"N";"D"},AN38))),"1","")</f>
        <v/>
      </c>
      <c r="CF38" s="16">
        <f t="array" ref="CF38">MAX(FREQUENCY(IF(AU38:CE38&lt;&gt;"",COLUMN(AU38:CE38)),IF(AU38:CE38="",COLUMN(AU38:CE38))))</f>
        <v>0</v>
      </c>
      <c r="CG38" s="7"/>
      <c r="CH38" s="18">
        <f t="shared" si="12"/>
        <v>0</v>
      </c>
      <c r="CI38" s="8">
        <v>168</v>
      </c>
      <c r="CJ38" s="18">
        <f t="shared" si="5"/>
        <v>-168</v>
      </c>
      <c r="CK38" s="19">
        <f t="shared" si="13"/>
        <v>0</v>
      </c>
      <c r="CL38" s="30">
        <f t="shared" si="14"/>
        <v>0</v>
      </c>
      <c r="CM38" s="30">
        <f t="shared" si="15"/>
        <v>0</v>
      </c>
      <c r="CN38" s="19">
        <f t="shared" si="6"/>
        <v>0</v>
      </c>
      <c r="CO38" s="19">
        <f t="shared" si="7"/>
        <v>0</v>
      </c>
      <c r="CP38" s="19">
        <f t="shared" si="8"/>
        <v>0</v>
      </c>
      <c r="CQ38" s="19">
        <f t="shared" si="9"/>
        <v>0</v>
      </c>
      <c r="CR38" s="19">
        <f t="shared" si="10"/>
        <v>0</v>
      </c>
    </row>
    <row r="39" spans="1:96" s="9" customFormat="1" ht="12.75">
      <c r="A39" s="20"/>
      <c r="B39" s="21"/>
      <c r="C39" s="2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6">
        <f t="shared" ref="AO39:AO70" si="32">COUNTIF(D39:J39,"*M12*")*12+COUNTIF(D39:J39,"*M8*")*8+COUNTIF(D39:J39,"*M4*")*4+COUNTIF(D39:J39,"*D8*")*8+COUNTIF(D39:J39,"*D4*")*4+COUNTIF(D39:J39,"*N12*")*12+COUNTIF(D39:J39,"*N8*")*8+COUNTIF(D39:J39,"*N4*")*4</f>
        <v>0</v>
      </c>
      <c r="AP39" s="6">
        <f t="shared" ref="AP39:AP70" si="33">COUNTIF(K39:Q39,"*M12*")*12+COUNTIF(K39:Q39,"*M8*")*8+COUNTIF(K39:Q39,"*M4*")*4+COUNTIF(K39:Q39,"*D8*")*8+COUNTIF(K39:Q39,"*D4*")*4+COUNTIF(K39:Q39,"*N12*")*12+COUNTIF(K39:Q39,"*N8*")*8+COUNTIF(K39:Q39,"*N4*")*4</f>
        <v>0</v>
      </c>
      <c r="AQ39" s="6">
        <f t="shared" ref="AQ39:AQ70" si="34">COUNTIF(R39:X39,"*M12*")*12+COUNTIF(R39:X39,"*M8*")*8+COUNTIF(R39:X39,"*M4*")*4+COUNTIF(R39:X39,"*D8*")*8+COUNTIF(R39:X39,"*D4*")*4+COUNTIF(R39:X39,"*N12*")*12+COUNTIF(R39:X39,"*N8*")*8+COUNTIF(R39:X39,"*N4*")*4</f>
        <v>0</v>
      </c>
      <c r="AR39" s="6">
        <f t="shared" ref="AR39:AR70" si="35">COUNTIF(Y39:AE39,"*M12*")*12+COUNTIF(Y39:AE39,"*M8*")*8+COUNTIF(Y39:AE39,"*M4*")*4+COUNTIF(Y39:AE39,"*D8*")*8+COUNTIF(Y39:AE39,"*D4*")*4+COUNTIF(Y39:AE39,"*N12*")*12+COUNTIF(Y39:AE39,"*N8*")*8+COUNTIF(Y39:AE39,"*N4*")*4</f>
        <v>0</v>
      </c>
      <c r="AS39" s="6">
        <f t="shared" ref="AS39:AS70" si="36">COUNTIF(AF39:AL39,"*M12*")*12+COUNTIF(AF39:AL39,"*M8*")*8+COUNTIF(AF39:AL39,"*M4*")*4+COUNTIF(AF39:AL39,"*D8*")*8+COUNTIF(AF39:AL39,"*D4*")*4+COUNTIF(AF39:AL39,"*N12*")*12+COUNTIF(AF39:AL39,"*N8*")*8+COUNTIF(AF39:AL39,"*N4*")*4</f>
        <v>0</v>
      </c>
      <c r="AT39" s="16">
        <f t="shared" si="11"/>
        <v>0</v>
      </c>
      <c r="AU39" s="17" t="str">
        <f>IF(OR(ISNUMBER(FIND({"M";"N";"D"},D39))),"1","")</f>
        <v/>
      </c>
      <c r="AV39" s="17" t="str">
        <f>IF(OR(ISNUMBER(FIND({"M";"N";"D"},E39))),"1","")</f>
        <v/>
      </c>
      <c r="AW39" s="17" t="str">
        <f>IF(OR(ISNUMBER(FIND({"M";"N";"D"},F39))),"1","")</f>
        <v/>
      </c>
      <c r="AX39" s="17" t="str">
        <f>IF(OR(ISNUMBER(FIND({"M";"N";"D"},G39))),"1","")</f>
        <v/>
      </c>
      <c r="AY39" s="17" t="str">
        <f>IF(OR(ISNUMBER(FIND({"M";"N";"D"},H39))),"1","")</f>
        <v/>
      </c>
      <c r="AZ39" s="17" t="str">
        <f>IF(OR(ISNUMBER(FIND({"M";"N";"D"},I39))),"1","")</f>
        <v/>
      </c>
      <c r="BA39" s="17" t="str">
        <f>IF(OR(ISNUMBER(FIND({"M";"N";"D"},J39))),"1","")</f>
        <v/>
      </c>
      <c r="BB39" s="17" t="str">
        <f>IF(OR(ISNUMBER(FIND({"M";"N";"D"},K39))),"1","")</f>
        <v/>
      </c>
      <c r="BC39" s="17" t="str">
        <f>IF(OR(ISNUMBER(FIND({"M";"N";"D"},L39))),"1","")</f>
        <v/>
      </c>
      <c r="BD39" s="17" t="str">
        <f>IF(OR(ISNUMBER(FIND({"M";"N";"D"},M39))),"1","")</f>
        <v/>
      </c>
      <c r="BE39" s="17" t="str">
        <f>IF(OR(ISNUMBER(FIND({"M";"N";"D"},N39))),"1","")</f>
        <v/>
      </c>
      <c r="BF39" s="17" t="str">
        <f>IF(OR(ISNUMBER(FIND({"M";"N";"D"},O39))),"1","")</f>
        <v/>
      </c>
      <c r="BG39" s="17" t="str">
        <f>IF(OR(ISNUMBER(FIND({"M";"N";"D"},P39))),"1","")</f>
        <v/>
      </c>
      <c r="BH39" s="17" t="str">
        <f>IF(OR(ISNUMBER(FIND({"M";"N";"D"},Q39))),"1","")</f>
        <v/>
      </c>
      <c r="BI39" s="17" t="str">
        <f>IF(OR(ISNUMBER(FIND({"M";"N";"D"},R39))),"1","")</f>
        <v/>
      </c>
      <c r="BJ39" s="17" t="str">
        <f>IF(OR(ISNUMBER(FIND({"M";"N";"D"},S39))),"1","")</f>
        <v/>
      </c>
      <c r="BK39" s="17" t="str">
        <f>IF(OR(ISNUMBER(FIND({"M";"N";"D"},T39))),"1","")</f>
        <v/>
      </c>
      <c r="BL39" s="17" t="str">
        <f>IF(OR(ISNUMBER(FIND({"M";"N";"D"},U39))),"1","")</f>
        <v/>
      </c>
      <c r="BM39" s="17" t="str">
        <f>IF(OR(ISNUMBER(FIND({"M";"N";"D"},V39))),"1","")</f>
        <v/>
      </c>
      <c r="BN39" s="17" t="str">
        <f>IF(OR(ISNUMBER(FIND({"M";"N";"D"},W39))),"1","")</f>
        <v/>
      </c>
      <c r="BO39" s="17" t="str">
        <f>IF(OR(ISNUMBER(FIND({"M";"N";"D"},X39))),"1","")</f>
        <v/>
      </c>
      <c r="BP39" s="17" t="str">
        <f>IF(OR(ISNUMBER(FIND({"M";"N";"D"},Y39))),"1","")</f>
        <v/>
      </c>
      <c r="BQ39" s="17" t="str">
        <f>IF(OR(ISNUMBER(FIND({"M";"N";"D"},Z39))),"1","")</f>
        <v/>
      </c>
      <c r="BR39" s="17" t="str">
        <f>IF(OR(ISNUMBER(FIND({"M";"N";"D"},AA39))),"1","")</f>
        <v/>
      </c>
      <c r="BS39" s="17" t="str">
        <f>IF(OR(ISNUMBER(FIND({"M";"N";"D"},AB39))),"1","")</f>
        <v/>
      </c>
      <c r="BT39" s="17" t="str">
        <f>IF(OR(ISNUMBER(FIND({"M";"N";"D"},AC39))),"1","")</f>
        <v/>
      </c>
      <c r="BU39" s="17" t="str">
        <f>IF(OR(ISNUMBER(FIND({"M";"N";"D"},AD39))),"1","")</f>
        <v/>
      </c>
      <c r="BV39" s="17" t="str">
        <f>IF(OR(ISNUMBER(FIND({"M";"N";"D"},AE39))),"1","")</f>
        <v/>
      </c>
      <c r="BW39" s="17" t="str">
        <f>IF(OR(ISNUMBER(FIND({"M";"N";"D"},AF39))),"1","")</f>
        <v/>
      </c>
      <c r="BX39" s="17" t="str">
        <f>IF(OR(ISNUMBER(FIND({"M";"N";"D"},AG39))),"1","")</f>
        <v/>
      </c>
      <c r="BY39" s="17" t="str">
        <f>IF(OR(ISNUMBER(FIND({"M";"N";"D"},AH39))),"1","")</f>
        <v/>
      </c>
      <c r="BZ39" s="17" t="str">
        <f>IF(OR(ISNUMBER(FIND({"M";"N";"D"},AI39))),"1","")</f>
        <v/>
      </c>
      <c r="CA39" s="17" t="str">
        <f>IF(OR(ISNUMBER(FIND({"M";"N";"D"},AJ39))),"1","")</f>
        <v/>
      </c>
      <c r="CB39" s="17" t="str">
        <f>IF(OR(ISNUMBER(FIND({"M";"N";"D"},AK39))),"1","")</f>
        <v/>
      </c>
      <c r="CC39" s="17" t="str">
        <f>IF(OR(ISNUMBER(FIND({"M";"N";"D"},AL39))),"1","")</f>
        <v/>
      </c>
      <c r="CD39" s="17" t="str">
        <f>IF(OR(ISNUMBER(FIND({"M";"N";"D"},AM39))),"1","")</f>
        <v/>
      </c>
      <c r="CE39" s="17" t="str">
        <f>IF(OR(ISNUMBER(FIND({"M";"N";"D"},AN39))),"1","")</f>
        <v/>
      </c>
      <c r="CF39" s="16">
        <f t="array" ref="CF39">MAX(FREQUENCY(IF(AU39:CE39&lt;&gt;"",COLUMN(AU39:CE39)),IF(AU39:CE39="",COLUMN(AU39:CE39))))</f>
        <v>0</v>
      </c>
      <c r="CG39" s="7"/>
      <c r="CH39" s="18">
        <f t="shared" ref="CH39:CH70" si="37">ROUNDDOWN(CK39*8+CL39*12+CM39*12,0)</f>
        <v>0</v>
      </c>
      <c r="CI39" s="8">
        <v>168</v>
      </c>
      <c r="CJ39" s="18">
        <f t="shared" si="5"/>
        <v>-168</v>
      </c>
      <c r="CK39" s="19">
        <f t="shared" si="13"/>
        <v>0</v>
      </c>
      <c r="CL39" s="30">
        <f t="shared" si="14"/>
        <v>0</v>
      </c>
      <c r="CM39" s="30">
        <f t="shared" si="15"/>
        <v>0</v>
      </c>
      <c r="CN39" s="19">
        <f t="shared" ref="CN39:CN70" si="38">COUNTIF(D39:AN39,"*A8*")*1+COUNTIF(D39:AN39,"*A4*")*0.5</f>
        <v>0</v>
      </c>
      <c r="CO39" s="19">
        <f t="shared" ref="CO39:CO70" si="39">COUNTIF(D39:AN39,"*S8*")*1+COUNTIF(D39:AN39,"*S4*")*0.5</f>
        <v>0</v>
      </c>
      <c r="CP39" s="19">
        <f t="shared" ref="CP39:CP70" si="40">COUNTIF(D39:AN39,"*P8*")*1+COUNTIF(D39:AN39,"*P4*")*0.5</f>
        <v>0</v>
      </c>
      <c r="CQ39" s="19">
        <f t="shared" ref="CQ39:CQ70" si="41">COUNTIF(D39:AN39,"*O8*")*1+COUNTIF(D39:AN39,"*O4*")*0.5</f>
        <v>0</v>
      </c>
      <c r="CR39" s="19">
        <f t="shared" ref="CR39:CR70" si="42">COUNTIF(D39:AN39,"*V8*")*1+COUNTIF(D39:AN39,"*V4*")*0.5</f>
        <v>0</v>
      </c>
    </row>
    <row r="40" spans="1:96" s="9" customFormat="1" ht="12.75">
      <c r="A40" s="20"/>
      <c r="B40" s="21"/>
      <c r="C40" s="2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6">
        <f t="shared" si="32"/>
        <v>0</v>
      </c>
      <c r="AP40" s="6">
        <f t="shared" si="33"/>
        <v>0</v>
      </c>
      <c r="AQ40" s="6">
        <f t="shared" si="34"/>
        <v>0</v>
      </c>
      <c r="AR40" s="6">
        <f t="shared" si="35"/>
        <v>0</v>
      </c>
      <c r="AS40" s="6">
        <f t="shared" si="36"/>
        <v>0</v>
      </c>
      <c r="AT40" s="16">
        <f t="shared" si="11"/>
        <v>0</v>
      </c>
      <c r="AU40" s="17" t="str">
        <f>IF(OR(ISNUMBER(FIND({"M";"N";"D"},D40))),"1","")</f>
        <v/>
      </c>
      <c r="AV40" s="17" t="str">
        <f>IF(OR(ISNUMBER(FIND({"M";"N";"D"},E40))),"1","")</f>
        <v/>
      </c>
      <c r="AW40" s="17" t="str">
        <f>IF(OR(ISNUMBER(FIND({"M";"N";"D"},F40))),"1","")</f>
        <v/>
      </c>
      <c r="AX40" s="17" t="str">
        <f>IF(OR(ISNUMBER(FIND({"M";"N";"D"},G40))),"1","")</f>
        <v/>
      </c>
      <c r="AY40" s="17" t="str">
        <f>IF(OR(ISNUMBER(FIND({"M";"N";"D"},H40))),"1","")</f>
        <v/>
      </c>
      <c r="AZ40" s="17" t="str">
        <f>IF(OR(ISNUMBER(FIND({"M";"N";"D"},I40))),"1","")</f>
        <v/>
      </c>
      <c r="BA40" s="17" t="str">
        <f>IF(OR(ISNUMBER(FIND({"M";"N";"D"},J40))),"1","")</f>
        <v/>
      </c>
      <c r="BB40" s="17" t="str">
        <f>IF(OR(ISNUMBER(FIND({"M";"N";"D"},K40))),"1","")</f>
        <v/>
      </c>
      <c r="BC40" s="17" t="str">
        <f>IF(OR(ISNUMBER(FIND({"M";"N";"D"},L40))),"1","")</f>
        <v/>
      </c>
      <c r="BD40" s="17" t="str">
        <f>IF(OR(ISNUMBER(FIND({"M";"N";"D"},M40))),"1","")</f>
        <v/>
      </c>
      <c r="BE40" s="17" t="str">
        <f>IF(OR(ISNUMBER(FIND({"M";"N";"D"},N40))),"1","")</f>
        <v/>
      </c>
      <c r="BF40" s="17" t="str">
        <f>IF(OR(ISNUMBER(FIND({"M";"N";"D"},O40))),"1","")</f>
        <v/>
      </c>
      <c r="BG40" s="17" t="str">
        <f>IF(OR(ISNUMBER(FIND({"M";"N";"D"},P40))),"1","")</f>
        <v/>
      </c>
      <c r="BH40" s="17" t="str">
        <f>IF(OR(ISNUMBER(FIND({"M";"N";"D"},Q40))),"1","")</f>
        <v/>
      </c>
      <c r="BI40" s="17" t="str">
        <f>IF(OR(ISNUMBER(FIND({"M";"N";"D"},R40))),"1","")</f>
        <v/>
      </c>
      <c r="BJ40" s="17" t="str">
        <f>IF(OR(ISNUMBER(FIND({"M";"N";"D"},S40))),"1","")</f>
        <v/>
      </c>
      <c r="BK40" s="17" t="str">
        <f>IF(OR(ISNUMBER(FIND({"M";"N";"D"},T40))),"1","")</f>
        <v/>
      </c>
      <c r="BL40" s="17" t="str">
        <f>IF(OR(ISNUMBER(FIND({"M";"N";"D"},U40))),"1","")</f>
        <v/>
      </c>
      <c r="BM40" s="17" t="str">
        <f>IF(OR(ISNUMBER(FIND({"M";"N";"D"},V40))),"1","")</f>
        <v/>
      </c>
      <c r="BN40" s="17" t="str">
        <f>IF(OR(ISNUMBER(FIND({"M";"N";"D"},W40))),"1","")</f>
        <v/>
      </c>
      <c r="BO40" s="17" t="str">
        <f>IF(OR(ISNUMBER(FIND({"M";"N";"D"},X40))),"1","")</f>
        <v/>
      </c>
      <c r="BP40" s="17" t="str">
        <f>IF(OR(ISNUMBER(FIND({"M";"N";"D"},Y40))),"1","")</f>
        <v/>
      </c>
      <c r="BQ40" s="17" t="str">
        <f>IF(OR(ISNUMBER(FIND({"M";"N";"D"},Z40))),"1","")</f>
        <v/>
      </c>
      <c r="BR40" s="17" t="str">
        <f>IF(OR(ISNUMBER(FIND({"M";"N";"D"},AA40))),"1","")</f>
        <v/>
      </c>
      <c r="BS40" s="17" t="str">
        <f>IF(OR(ISNUMBER(FIND({"M";"N";"D"},AB40))),"1","")</f>
        <v/>
      </c>
      <c r="BT40" s="17" t="str">
        <f>IF(OR(ISNUMBER(FIND({"M";"N";"D"},AC40))),"1","")</f>
        <v/>
      </c>
      <c r="BU40" s="17" t="str">
        <f>IF(OR(ISNUMBER(FIND({"M";"N";"D"},AD40))),"1","")</f>
        <v/>
      </c>
      <c r="BV40" s="17" t="str">
        <f>IF(OR(ISNUMBER(FIND({"M";"N";"D"},AE40))),"1","")</f>
        <v/>
      </c>
      <c r="BW40" s="17" t="str">
        <f>IF(OR(ISNUMBER(FIND({"M";"N";"D"},AF40))),"1","")</f>
        <v/>
      </c>
      <c r="BX40" s="17" t="str">
        <f>IF(OR(ISNUMBER(FIND({"M";"N";"D"},AG40))),"1","")</f>
        <v/>
      </c>
      <c r="BY40" s="17" t="str">
        <f>IF(OR(ISNUMBER(FIND({"M";"N";"D"},AH40))),"1","")</f>
        <v/>
      </c>
      <c r="BZ40" s="17" t="str">
        <f>IF(OR(ISNUMBER(FIND({"M";"N";"D"},AI40))),"1","")</f>
        <v/>
      </c>
      <c r="CA40" s="17" t="str">
        <f>IF(OR(ISNUMBER(FIND({"M";"N";"D"},AJ40))),"1","")</f>
        <v/>
      </c>
      <c r="CB40" s="17" t="str">
        <f>IF(OR(ISNUMBER(FIND({"M";"N";"D"},AK40))),"1","")</f>
        <v/>
      </c>
      <c r="CC40" s="17" t="str">
        <f>IF(OR(ISNUMBER(FIND({"M";"N";"D"},AL40))),"1","")</f>
        <v/>
      </c>
      <c r="CD40" s="17" t="str">
        <f>IF(OR(ISNUMBER(FIND({"M";"N";"D"},AM40))),"1","")</f>
        <v/>
      </c>
      <c r="CE40" s="17" t="str">
        <f>IF(OR(ISNUMBER(FIND({"M";"N";"D"},AN40))),"1","")</f>
        <v/>
      </c>
      <c r="CF40" s="16">
        <f t="array" ref="CF40">MAX(FREQUENCY(IF(AU40:CE40&lt;&gt;"",COLUMN(AU40:CE40)),IF(AU40:CE40="",COLUMN(AU40:CE40))))</f>
        <v>0</v>
      </c>
      <c r="CG40" s="7"/>
      <c r="CH40" s="18">
        <f t="shared" si="37"/>
        <v>0</v>
      </c>
      <c r="CI40" s="8">
        <v>168</v>
      </c>
      <c r="CJ40" s="18">
        <f t="shared" si="5"/>
        <v>-168</v>
      </c>
      <c r="CK40" s="19">
        <f t="shared" ref="CK40:CK70" si="43">COUNTIF(D40:AN40,"*D8*")*1+COUNTIF(D40:AN40,"*D4*")*0.5</f>
        <v>0</v>
      </c>
      <c r="CL40" s="30">
        <f t="shared" si="14"/>
        <v>0</v>
      </c>
      <c r="CM40" s="30">
        <f t="shared" ref="CM40:CM70" si="44">ROUND(COUNTIF(D40:AN40,"*N12*")*1+COUNTIF(D40:AN40,"*N8*")*(8/12)+COUNTIF(D40:AN40,"*N4*")*(4/12),1)</f>
        <v>0</v>
      </c>
      <c r="CN40" s="19">
        <f t="shared" si="38"/>
        <v>0</v>
      </c>
      <c r="CO40" s="19">
        <f t="shared" si="39"/>
        <v>0</v>
      </c>
      <c r="CP40" s="19">
        <f t="shared" si="40"/>
        <v>0</v>
      </c>
      <c r="CQ40" s="19">
        <f t="shared" si="41"/>
        <v>0</v>
      </c>
      <c r="CR40" s="19">
        <f t="shared" si="42"/>
        <v>0</v>
      </c>
    </row>
    <row r="41" spans="1:96" s="9" customFormat="1" ht="12.75" customHeight="1">
      <c r="A41" s="20"/>
      <c r="B41" s="21"/>
      <c r="C41" s="2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6">
        <f t="shared" si="32"/>
        <v>0</v>
      </c>
      <c r="AP41" s="6">
        <f t="shared" si="33"/>
        <v>0</v>
      </c>
      <c r="AQ41" s="6">
        <f t="shared" si="34"/>
        <v>0</v>
      </c>
      <c r="AR41" s="6">
        <f t="shared" si="35"/>
        <v>0</v>
      </c>
      <c r="AS41" s="6">
        <f t="shared" si="36"/>
        <v>0</v>
      </c>
      <c r="AT41" s="16">
        <f t="shared" si="11"/>
        <v>0</v>
      </c>
      <c r="AU41" s="17" t="str">
        <f>IF(OR(ISNUMBER(FIND({"M";"N";"D"},D41))),"1","")</f>
        <v/>
      </c>
      <c r="AV41" s="17" t="str">
        <f>IF(OR(ISNUMBER(FIND({"M";"N";"D"},E41))),"1","")</f>
        <v/>
      </c>
      <c r="AW41" s="17" t="str">
        <f>IF(OR(ISNUMBER(FIND({"M";"N";"D"},F41))),"1","")</f>
        <v/>
      </c>
      <c r="AX41" s="17" t="str">
        <f>IF(OR(ISNUMBER(FIND({"M";"N";"D"},G41))),"1","")</f>
        <v/>
      </c>
      <c r="AY41" s="17" t="str">
        <f>IF(OR(ISNUMBER(FIND({"M";"N";"D"},H41))),"1","")</f>
        <v/>
      </c>
      <c r="AZ41" s="17" t="str">
        <f>IF(OR(ISNUMBER(FIND({"M";"N";"D"},I41))),"1","")</f>
        <v/>
      </c>
      <c r="BA41" s="17" t="str">
        <f>IF(OR(ISNUMBER(FIND({"M";"N";"D"},J41))),"1","")</f>
        <v/>
      </c>
      <c r="BB41" s="17" t="str">
        <f>IF(OR(ISNUMBER(FIND({"M";"N";"D"},K41))),"1","")</f>
        <v/>
      </c>
      <c r="BC41" s="17" t="str">
        <f>IF(OR(ISNUMBER(FIND({"M";"N";"D"},L41))),"1","")</f>
        <v/>
      </c>
      <c r="BD41" s="17" t="str">
        <f>IF(OR(ISNUMBER(FIND({"M";"N";"D"},M41))),"1","")</f>
        <v/>
      </c>
      <c r="BE41" s="17" t="str">
        <f>IF(OR(ISNUMBER(FIND({"M";"N";"D"},N41))),"1","")</f>
        <v/>
      </c>
      <c r="BF41" s="17" t="str">
        <f>IF(OR(ISNUMBER(FIND({"M";"N";"D"},O41))),"1","")</f>
        <v/>
      </c>
      <c r="BG41" s="17" t="str">
        <f>IF(OR(ISNUMBER(FIND({"M";"N";"D"},P41))),"1","")</f>
        <v/>
      </c>
      <c r="BH41" s="17" t="str">
        <f>IF(OR(ISNUMBER(FIND({"M";"N";"D"},Q41))),"1","")</f>
        <v/>
      </c>
      <c r="BI41" s="17" t="str">
        <f>IF(OR(ISNUMBER(FIND({"M";"N";"D"},R41))),"1","")</f>
        <v/>
      </c>
      <c r="BJ41" s="17" t="str">
        <f>IF(OR(ISNUMBER(FIND({"M";"N";"D"},S41))),"1","")</f>
        <v/>
      </c>
      <c r="BK41" s="17" t="str">
        <f>IF(OR(ISNUMBER(FIND({"M";"N";"D"},T41))),"1","")</f>
        <v/>
      </c>
      <c r="BL41" s="17" t="str">
        <f>IF(OR(ISNUMBER(FIND({"M";"N";"D"},U41))),"1","")</f>
        <v/>
      </c>
      <c r="BM41" s="17" t="str">
        <f>IF(OR(ISNUMBER(FIND({"M";"N";"D"},V41))),"1","")</f>
        <v/>
      </c>
      <c r="BN41" s="17" t="str">
        <f>IF(OR(ISNUMBER(FIND({"M";"N";"D"},W41))),"1","")</f>
        <v/>
      </c>
      <c r="BO41" s="17" t="str">
        <f>IF(OR(ISNUMBER(FIND({"M";"N";"D"},X41))),"1","")</f>
        <v/>
      </c>
      <c r="BP41" s="17" t="str">
        <f>IF(OR(ISNUMBER(FIND({"M";"N";"D"},Y41))),"1","")</f>
        <v/>
      </c>
      <c r="BQ41" s="17" t="str">
        <f>IF(OR(ISNUMBER(FIND({"M";"N";"D"},Z41))),"1","")</f>
        <v/>
      </c>
      <c r="BR41" s="17" t="str">
        <f>IF(OR(ISNUMBER(FIND({"M";"N";"D"},AA41))),"1","")</f>
        <v/>
      </c>
      <c r="BS41" s="17" t="str">
        <f>IF(OR(ISNUMBER(FIND({"M";"N";"D"},AB41))),"1","")</f>
        <v/>
      </c>
      <c r="BT41" s="17" t="str">
        <f>IF(OR(ISNUMBER(FIND({"M";"N";"D"},AC41))),"1","")</f>
        <v/>
      </c>
      <c r="BU41" s="17" t="str">
        <f>IF(OR(ISNUMBER(FIND({"M";"N";"D"},AD41))),"1","")</f>
        <v/>
      </c>
      <c r="BV41" s="17" t="str">
        <f>IF(OR(ISNUMBER(FIND({"M";"N";"D"},AE41))),"1","")</f>
        <v/>
      </c>
      <c r="BW41" s="17" t="str">
        <f>IF(OR(ISNUMBER(FIND({"M";"N";"D"},AF41))),"1","")</f>
        <v/>
      </c>
      <c r="BX41" s="17" t="str">
        <f>IF(OR(ISNUMBER(FIND({"M";"N";"D"},AG41))),"1","")</f>
        <v/>
      </c>
      <c r="BY41" s="17" t="str">
        <f>IF(OR(ISNUMBER(FIND({"M";"N";"D"},AH41))),"1","")</f>
        <v/>
      </c>
      <c r="BZ41" s="17" t="str">
        <f>IF(OR(ISNUMBER(FIND({"M";"N";"D"},AI41))),"1","")</f>
        <v/>
      </c>
      <c r="CA41" s="17" t="str">
        <f>IF(OR(ISNUMBER(FIND({"M";"N";"D"},AJ41))),"1","")</f>
        <v/>
      </c>
      <c r="CB41" s="17" t="str">
        <f>IF(OR(ISNUMBER(FIND({"M";"N";"D"},AK41))),"1","")</f>
        <v/>
      </c>
      <c r="CC41" s="17" t="str">
        <f>IF(OR(ISNUMBER(FIND({"M";"N";"D"},AL41))),"1","")</f>
        <v/>
      </c>
      <c r="CD41" s="17" t="str">
        <f>IF(OR(ISNUMBER(FIND({"M";"N";"D"},AM41))),"1","")</f>
        <v/>
      </c>
      <c r="CE41" s="17" t="str">
        <f>IF(OR(ISNUMBER(FIND({"M";"N";"D"},AN41))),"1","")</f>
        <v/>
      </c>
      <c r="CF41" s="16">
        <f t="array" ref="CF41">MAX(FREQUENCY(IF(AU41:CE41&lt;&gt;"",COLUMN(AU41:CE41)),IF(AU41:CE41="",COLUMN(AU41:CE41))))</f>
        <v>0</v>
      </c>
      <c r="CG41" s="7"/>
      <c r="CH41" s="18">
        <f t="shared" si="37"/>
        <v>0</v>
      </c>
      <c r="CI41" s="8">
        <v>168</v>
      </c>
      <c r="CJ41" s="18">
        <f t="shared" si="5"/>
        <v>-168</v>
      </c>
      <c r="CK41" s="19">
        <f t="shared" si="43"/>
        <v>0</v>
      </c>
      <c r="CL41" s="30">
        <f t="shared" si="14"/>
        <v>0</v>
      </c>
      <c r="CM41" s="30">
        <f t="shared" si="44"/>
        <v>0</v>
      </c>
      <c r="CN41" s="19">
        <f t="shared" si="38"/>
        <v>0</v>
      </c>
      <c r="CO41" s="19">
        <f t="shared" si="39"/>
        <v>0</v>
      </c>
      <c r="CP41" s="19">
        <f t="shared" si="40"/>
        <v>0</v>
      </c>
      <c r="CQ41" s="19">
        <f t="shared" si="41"/>
        <v>0</v>
      </c>
      <c r="CR41" s="19">
        <f t="shared" si="42"/>
        <v>0</v>
      </c>
    </row>
    <row r="42" spans="1:96" s="9" customFormat="1" ht="12.75">
      <c r="A42" s="20"/>
      <c r="B42" s="21"/>
      <c r="C42" s="2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6">
        <f t="shared" si="32"/>
        <v>0</v>
      </c>
      <c r="AP42" s="6">
        <f t="shared" si="33"/>
        <v>0</v>
      </c>
      <c r="AQ42" s="6">
        <f t="shared" si="34"/>
        <v>0</v>
      </c>
      <c r="AR42" s="6">
        <f t="shared" si="35"/>
        <v>0</v>
      </c>
      <c r="AS42" s="6">
        <f t="shared" si="36"/>
        <v>0</v>
      </c>
      <c r="AT42" s="16">
        <f t="shared" si="11"/>
        <v>0</v>
      </c>
      <c r="AU42" s="17" t="str">
        <f>IF(OR(ISNUMBER(FIND({"M";"N";"D"},D42))),"1","")</f>
        <v/>
      </c>
      <c r="AV42" s="17" t="str">
        <f>IF(OR(ISNUMBER(FIND({"M";"N";"D"},E42))),"1","")</f>
        <v/>
      </c>
      <c r="AW42" s="17" t="str">
        <f>IF(OR(ISNUMBER(FIND({"M";"N";"D"},F42))),"1","")</f>
        <v/>
      </c>
      <c r="AX42" s="17" t="str">
        <f>IF(OR(ISNUMBER(FIND({"M";"N";"D"},G42))),"1","")</f>
        <v/>
      </c>
      <c r="AY42" s="17" t="str">
        <f>IF(OR(ISNUMBER(FIND({"M";"N";"D"},H42))),"1","")</f>
        <v/>
      </c>
      <c r="AZ42" s="17" t="str">
        <f>IF(OR(ISNUMBER(FIND({"M";"N";"D"},I42))),"1","")</f>
        <v/>
      </c>
      <c r="BA42" s="17" t="str">
        <f>IF(OR(ISNUMBER(FIND({"M";"N";"D"},J42))),"1","")</f>
        <v/>
      </c>
      <c r="BB42" s="17" t="str">
        <f>IF(OR(ISNUMBER(FIND({"M";"N";"D"},K42))),"1","")</f>
        <v/>
      </c>
      <c r="BC42" s="17" t="str">
        <f>IF(OR(ISNUMBER(FIND({"M";"N";"D"},L42))),"1","")</f>
        <v/>
      </c>
      <c r="BD42" s="17" t="str">
        <f>IF(OR(ISNUMBER(FIND({"M";"N";"D"},M42))),"1","")</f>
        <v/>
      </c>
      <c r="BE42" s="17" t="str">
        <f>IF(OR(ISNUMBER(FIND({"M";"N";"D"},N42))),"1","")</f>
        <v/>
      </c>
      <c r="BF42" s="17" t="str">
        <f>IF(OR(ISNUMBER(FIND({"M";"N";"D"},O42))),"1","")</f>
        <v/>
      </c>
      <c r="BG42" s="17" t="str">
        <f>IF(OR(ISNUMBER(FIND({"M";"N";"D"},P42))),"1","")</f>
        <v/>
      </c>
      <c r="BH42" s="17" t="str">
        <f>IF(OR(ISNUMBER(FIND({"M";"N";"D"},Q42))),"1","")</f>
        <v/>
      </c>
      <c r="BI42" s="17" t="str">
        <f>IF(OR(ISNUMBER(FIND({"M";"N";"D"},R42))),"1","")</f>
        <v/>
      </c>
      <c r="BJ42" s="17" t="str">
        <f>IF(OR(ISNUMBER(FIND({"M";"N";"D"},S42))),"1","")</f>
        <v/>
      </c>
      <c r="BK42" s="17" t="str">
        <f>IF(OR(ISNUMBER(FIND({"M";"N";"D"},T42))),"1","")</f>
        <v/>
      </c>
      <c r="BL42" s="17" t="str">
        <f>IF(OR(ISNUMBER(FIND({"M";"N";"D"},U42))),"1","")</f>
        <v/>
      </c>
      <c r="BM42" s="17" t="str">
        <f>IF(OR(ISNUMBER(FIND({"M";"N";"D"},V42))),"1","")</f>
        <v/>
      </c>
      <c r="BN42" s="17" t="str">
        <f>IF(OR(ISNUMBER(FIND({"M";"N";"D"},W42))),"1","")</f>
        <v/>
      </c>
      <c r="BO42" s="17" t="str">
        <f>IF(OR(ISNUMBER(FIND({"M";"N";"D"},X42))),"1","")</f>
        <v/>
      </c>
      <c r="BP42" s="17" t="str">
        <f>IF(OR(ISNUMBER(FIND({"M";"N";"D"},Y42))),"1","")</f>
        <v/>
      </c>
      <c r="BQ42" s="17" t="str">
        <f>IF(OR(ISNUMBER(FIND({"M";"N";"D"},Z42))),"1","")</f>
        <v/>
      </c>
      <c r="BR42" s="17" t="str">
        <f>IF(OR(ISNUMBER(FIND({"M";"N";"D"},AA42))),"1","")</f>
        <v/>
      </c>
      <c r="BS42" s="17" t="str">
        <f>IF(OR(ISNUMBER(FIND({"M";"N";"D"},AB42))),"1","")</f>
        <v/>
      </c>
      <c r="BT42" s="17" t="str">
        <f>IF(OR(ISNUMBER(FIND({"M";"N";"D"},AC42))),"1","")</f>
        <v/>
      </c>
      <c r="BU42" s="17" t="str">
        <f>IF(OR(ISNUMBER(FIND({"M";"N";"D"},AD42))),"1","")</f>
        <v/>
      </c>
      <c r="BV42" s="17" t="str">
        <f>IF(OR(ISNUMBER(FIND({"M";"N";"D"},AE42))),"1","")</f>
        <v/>
      </c>
      <c r="BW42" s="17" t="str">
        <f>IF(OR(ISNUMBER(FIND({"M";"N";"D"},AF42))),"1","")</f>
        <v/>
      </c>
      <c r="BX42" s="17" t="str">
        <f>IF(OR(ISNUMBER(FIND({"M";"N";"D"},AG42))),"1","")</f>
        <v/>
      </c>
      <c r="BY42" s="17" t="str">
        <f>IF(OR(ISNUMBER(FIND({"M";"N";"D"},AH42))),"1","")</f>
        <v/>
      </c>
      <c r="BZ42" s="17" t="str">
        <f>IF(OR(ISNUMBER(FIND({"M";"N";"D"},AI42))),"1","")</f>
        <v/>
      </c>
      <c r="CA42" s="17" t="str">
        <f>IF(OR(ISNUMBER(FIND({"M";"N";"D"},AJ42))),"1","")</f>
        <v/>
      </c>
      <c r="CB42" s="17" t="str">
        <f>IF(OR(ISNUMBER(FIND({"M";"N";"D"},AK42))),"1","")</f>
        <v/>
      </c>
      <c r="CC42" s="17" t="str">
        <f>IF(OR(ISNUMBER(FIND({"M";"N";"D"},AL42))),"1","")</f>
        <v/>
      </c>
      <c r="CD42" s="17" t="str">
        <f>IF(OR(ISNUMBER(FIND({"M";"N";"D"},AM42))),"1","")</f>
        <v/>
      </c>
      <c r="CE42" s="17" t="str">
        <f>IF(OR(ISNUMBER(FIND({"M";"N";"D"},AN42))),"1","")</f>
        <v/>
      </c>
      <c r="CF42" s="16">
        <f t="array" ref="CF42">MAX(FREQUENCY(IF(AU42:CE42&lt;&gt;"",COLUMN(AU42:CE42)),IF(AU42:CE42="",COLUMN(AU42:CE42))))</f>
        <v>0</v>
      </c>
      <c r="CG42" s="7"/>
      <c r="CH42" s="18">
        <f t="shared" si="37"/>
        <v>0</v>
      </c>
      <c r="CI42" s="8">
        <v>168</v>
      </c>
      <c r="CJ42" s="18">
        <f t="shared" si="5"/>
        <v>-168</v>
      </c>
      <c r="CK42" s="19">
        <f t="shared" si="43"/>
        <v>0</v>
      </c>
      <c r="CL42" s="30">
        <f t="shared" si="14"/>
        <v>0</v>
      </c>
      <c r="CM42" s="30">
        <f t="shared" si="44"/>
        <v>0</v>
      </c>
      <c r="CN42" s="19">
        <f t="shared" si="38"/>
        <v>0</v>
      </c>
      <c r="CO42" s="19">
        <f t="shared" si="39"/>
        <v>0</v>
      </c>
      <c r="CP42" s="19">
        <f t="shared" si="40"/>
        <v>0</v>
      </c>
      <c r="CQ42" s="19">
        <f t="shared" si="41"/>
        <v>0</v>
      </c>
      <c r="CR42" s="19">
        <f t="shared" si="42"/>
        <v>0</v>
      </c>
    </row>
    <row r="43" spans="1:96" s="9" customFormat="1" ht="12.75">
      <c r="A43" s="20"/>
      <c r="B43" s="21"/>
      <c r="C43" s="21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6">
        <f t="shared" si="32"/>
        <v>0</v>
      </c>
      <c r="AP43" s="6">
        <f t="shared" si="33"/>
        <v>0</v>
      </c>
      <c r="AQ43" s="6">
        <f t="shared" si="34"/>
        <v>0</v>
      </c>
      <c r="AR43" s="6">
        <f t="shared" si="35"/>
        <v>0</v>
      </c>
      <c r="AS43" s="6">
        <f t="shared" si="36"/>
        <v>0</v>
      </c>
      <c r="AT43" s="16">
        <f t="shared" si="11"/>
        <v>0</v>
      </c>
      <c r="AU43" s="17" t="str">
        <f>IF(OR(ISNUMBER(FIND({"M";"N";"D"},D43))),"1","")</f>
        <v/>
      </c>
      <c r="AV43" s="17" t="str">
        <f>IF(OR(ISNUMBER(FIND({"M";"N";"D"},E43))),"1","")</f>
        <v/>
      </c>
      <c r="AW43" s="17" t="str">
        <f>IF(OR(ISNUMBER(FIND({"M";"N";"D"},F43))),"1","")</f>
        <v/>
      </c>
      <c r="AX43" s="17" t="str">
        <f>IF(OR(ISNUMBER(FIND({"M";"N";"D"},G43))),"1","")</f>
        <v/>
      </c>
      <c r="AY43" s="17" t="str">
        <f>IF(OR(ISNUMBER(FIND({"M";"N";"D"},H43))),"1","")</f>
        <v/>
      </c>
      <c r="AZ43" s="17" t="str">
        <f>IF(OR(ISNUMBER(FIND({"M";"N";"D"},I43))),"1","")</f>
        <v/>
      </c>
      <c r="BA43" s="17" t="str">
        <f>IF(OR(ISNUMBER(FIND({"M";"N";"D"},J43))),"1","")</f>
        <v/>
      </c>
      <c r="BB43" s="17" t="str">
        <f>IF(OR(ISNUMBER(FIND({"M";"N";"D"},K43))),"1","")</f>
        <v/>
      </c>
      <c r="BC43" s="17" t="str">
        <f>IF(OR(ISNUMBER(FIND({"M";"N";"D"},L43))),"1","")</f>
        <v/>
      </c>
      <c r="BD43" s="17" t="str">
        <f>IF(OR(ISNUMBER(FIND({"M";"N";"D"},M43))),"1","")</f>
        <v/>
      </c>
      <c r="BE43" s="17" t="str">
        <f>IF(OR(ISNUMBER(FIND({"M";"N";"D"},N43))),"1","")</f>
        <v/>
      </c>
      <c r="BF43" s="17" t="str">
        <f>IF(OR(ISNUMBER(FIND({"M";"N";"D"},O43))),"1","")</f>
        <v/>
      </c>
      <c r="BG43" s="17" t="str">
        <f>IF(OR(ISNUMBER(FIND({"M";"N";"D"},P43))),"1","")</f>
        <v/>
      </c>
      <c r="BH43" s="17" t="str">
        <f>IF(OR(ISNUMBER(FIND({"M";"N";"D"},Q43))),"1","")</f>
        <v/>
      </c>
      <c r="BI43" s="17" t="str">
        <f>IF(OR(ISNUMBER(FIND({"M";"N";"D"},R43))),"1","")</f>
        <v/>
      </c>
      <c r="BJ43" s="17" t="str">
        <f>IF(OR(ISNUMBER(FIND({"M";"N";"D"},S43))),"1","")</f>
        <v/>
      </c>
      <c r="BK43" s="17" t="str">
        <f>IF(OR(ISNUMBER(FIND({"M";"N";"D"},T43))),"1","")</f>
        <v/>
      </c>
      <c r="BL43" s="17" t="str">
        <f>IF(OR(ISNUMBER(FIND({"M";"N";"D"},U43))),"1","")</f>
        <v/>
      </c>
      <c r="BM43" s="17" t="str">
        <f>IF(OR(ISNUMBER(FIND({"M";"N";"D"},V43))),"1","")</f>
        <v/>
      </c>
      <c r="BN43" s="17" t="str">
        <f>IF(OR(ISNUMBER(FIND({"M";"N";"D"},W43))),"1","")</f>
        <v/>
      </c>
      <c r="BO43" s="17" t="str">
        <f>IF(OR(ISNUMBER(FIND({"M";"N";"D"},X43))),"1","")</f>
        <v/>
      </c>
      <c r="BP43" s="17" t="str">
        <f>IF(OR(ISNUMBER(FIND({"M";"N";"D"},Y43))),"1","")</f>
        <v/>
      </c>
      <c r="BQ43" s="17" t="str">
        <f>IF(OR(ISNUMBER(FIND({"M";"N";"D"},Z43))),"1","")</f>
        <v/>
      </c>
      <c r="BR43" s="17" t="str">
        <f>IF(OR(ISNUMBER(FIND({"M";"N";"D"},AA43))),"1","")</f>
        <v/>
      </c>
      <c r="BS43" s="17" t="str">
        <f>IF(OR(ISNUMBER(FIND({"M";"N";"D"},AB43))),"1","")</f>
        <v/>
      </c>
      <c r="BT43" s="17" t="str">
        <f>IF(OR(ISNUMBER(FIND({"M";"N";"D"},AC43))),"1","")</f>
        <v/>
      </c>
      <c r="BU43" s="17" t="str">
        <f>IF(OR(ISNUMBER(FIND({"M";"N";"D"},AD43))),"1","")</f>
        <v/>
      </c>
      <c r="BV43" s="17" t="str">
        <f>IF(OR(ISNUMBER(FIND({"M";"N";"D"},AE43))),"1","")</f>
        <v/>
      </c>
      <c r="BW43" s="17" t="str">
        <f>IF(OR(ISNUMBER(FIND({"M";"N";"D"},AF43))),"1","")</f>
        <v/>
      </c>
      <c r="BX43" s="17" t="str">
        <f>IF(OR(ISNUMBER(FIND({"M";"N";"D"},AG43))),"1","")</f>
        <v/>
      </c>
      <c r="BY43" s="17" t="str">
        <f>IF(OR(ISNUMBER(FIND({"M";"N";"D"},AH43))),"1","")</f>
        <v/>
      </c>
      <c r="BZ43" s="17" t="str">
        <f>IF(OR(ISNUMBER(FIND({"M";"N";"D"},AI43))),"1","")</f>
        <v/>
      </c>
      <c r="CA43" s="17" t="str">
        <f>IF(OR(ISNUMBER(FIND({"M";"N";"D"},AJ43))),"1","")</f>
        <v/>
      </c>
      <c r="CB43" s="17" t="str">
        <f>IF(OR(ISNUMBER(FIND({"M";"N";"D"},AK43))),"1","")</f>
        <v/>
      </c>
      <c r="CC43" s="17" t="str">
        <f>IF(OR(ISNUMBER(FIND({"M";"N";"D"},AL43))),"1","")</f>
        <v/>
      </c>
      <c r="CD43" s="17" t="str">
        <f>IF(OR(ISNUMBER(FIND({"M";"N";"D"},AM43))),"1","")</f>
        <v/>
      </c>
      <c r="CE43" s="17" t="str">
        <f>IF(OR(ISNUMBER(FIND({"M";"N";"D"},AN43))),"1","")</f>
        <v/>
      </c>
      <c r="CF43" s="16">
        <f t="array" ref="CF43">MAX(FREQUENCY(IF(AU43:CE43&lt;&gt;"",COLUMN(AU43:CE43)),IF(AU43:CE43="",COLUMN(AU43:CE43))))</f>
        <v>0</v>
      </c>
      <c r="CG43" s="7"/>
      <c r="CH43" s="18">
        <f t="shared" si="37"/>
        <v>0</v>
      </c>
      <c r="CI43" s="8">
        <v>168</v>
      </c>
      <c r="CJ43" s="18">
        <f t="shared" si="5"/>
        <v>-168</v>
      </c>
      <c r="CK43" s="19">
        <f t="shared" si="43"/>
        <v>0</v>
      </c>
      <c r="CL43" s="30">
        <f t="shared" si="14"/>
        <v>0</v>
      </c>
      <c r="CM43" s="30">
        <f t="shared" si="44"/>
        <v>0</v>
      </c>
      <c r="CN43" s="19">
        <f t="shared" si="38"/>
        <v>0</v>
      </c>
      <c r="CO43" s="19">
        <f t="shared" si="39"/>
        <v>0</v>
      </c>
      <c r="CP43" s="19">
        <f t="shared" si="40"/>
        <v>0</v>
      </c>
      <c r="CQ43" s="19">
        <f t="shared" si="41"/>
        <v>0</v>
      </c>
      <c r="CR43" s="19">
        <f t="shared" si="42"/>
        <v>0</v>
      </c>
    </row>
    <row r="44" spans="1:96" s="9" customFormat="1" ht="12.75" customHeight="1">
      <c r="A44" s="20"/>
      <c r="B44" s="21"/>
      <c r="C44" s="2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6">
        <f t="shared" si="32"/>
        <v>0</v>
      </c>
      <c r="AP44" s="6">
        <f t="shared" si="33"/>
        <v>0</v>
      </c>
      <c r="AQ44" s="6">
        <f t="shared" si="34"/>
        <v>0</v>
      </c>
      <c r="AR44" s="6">
        <f t="shared" si="35"/>
        <v>0</v>
      </c>
      <c r="AS44" s="6">
        <f t="shared" si="36"/>
        <v>0</v>
      </c>
      <c r="AT44" s="16">
        <f t="shared" si="11"/>
        <v>0</v>
      </c>
      <c r="AU44" s="17" t="str">
        <f>IF(OR(ISNUMBER(FIND({"M";"N";"D"},D44))),"1","")</f>
        <v/>
      </c>
      <c r="AV44" s="17" t="str">
        <f>IF(OR(ISNUMBER(FIND({"M";"N";"D"},E44))),"1","")</f>
        <v/>
      </c>
      <c r="AW44" s="17" t="str">
        <f>IF(OR(ISNUMBER(FIND({"M";"N";"D"},F44))),"1","")</f>
        <v/>
      </c>
      <c r="AX44" s="17" t="str">
        <f>IF(OR(ISNUMBER(FIND({"M";"N";"D"},G44))),"1","")</f>
        <v/>
      </c>
      <c r="AY44" s="17" t="str">
        <f>IF(OR(ISNUMBER(FIND({"M";"N";"D"},H44))),"1","")</f>
        <v/>
      </c>
      <c r="AZ44" s="17" t="str">
        <f>IF(OR(ISNUMBER(FIND({"M";"N";"D"},I44))),"1","")</f>
        <v/>
      </c>
      <c r="BA44" s="17" t="str">
        <f>IF(OR(ISNUMBER(FIND({"M";"N";"D"},J44))),"1","")</f>
        <v/>
      </c>
      <c r="BB44" s="17" t="str">
        <f>IF(OR(ISNUMBER(FIND({"M";"N";"D"},K44))),"1","")</f>
        <v/>
      </c>
      <c r="BC44" s="17" t="str">
        <f>IF(OR(ISNUMBER(FIND({"M";"N";"D"},L44))),"1","")</f>
        <v/>
      </c>
      <c r="BD44" s="17" t="str">
        <f>IF(OR(ISNUMBER(FIND({"M";"N";"D"},M44))),"1","")</f>
        <v/>
      </c>
      <c r="BE44" s="17" t="str">
        <f>IF(OR(ISNUMBER(FIND({"M";"N";"D"},N44))),"1","")</f>
        <v/>
      </c>
      <c r="BF44" s="17" t="str">
        <f>IF(OR(ISNUMBER(FIND({"M";"N";"D"},O44))),"1","")</f>
        <v/>
      </c>
      <c r="BG44" s="17" t="str">
        <f>IF(OR(ISNUMBER(FIND({"M";"N";"D"},P44))),"1","")</f>
        <v/>
      </c>
      <c r="BH44" s="17" t="str">
        <f>IF(OR(ISNUMBER(FIND({"M";"N";"D"},Q44))),"1","")</f>
        <v/>
      </c>
      <c r="BI44" s="17" t="str">
        <f>IF(OR(ISNUMBER(FIND({"M";"N";"D"},R44))),"1","")</f>
        <v/>
      </c>
      <c r="BJ44" s="17" t="str">
        <f>IF(OR(ISNUMBER(FIND({"M";"N";"D"},S44))),"1","")</f>
        <v/>
      </c>
      <c r="BK44" s="17" t="str">
        <f>IF(OR(ISNUMBER(FIND({"M";"N";"D"},T44))),"1","")</f>
        <v/>
      </c>
      <c r="BL44" s="17" t="str">
        <f>IF(OR(ISNUMBER(FIND({"M";"N";"D"},U44))),"1","")</f>
        <v/>
      </c>
      <c r="BM44" s="17" t="str">
        <f>IF(OR(ISNUMBER(FIND({"M";"N";"D"},V44))),"1","")</f>
        <v/>
      </c>
      <c r="BN44" s="17" t="str">
        <f>IF(OR(ISNUMBER(FIND({"M";"N";"D"},W44))),"1","")</f>
        <v/>
      </c>
      <c r="BO44" s="17" t="str">
        <f>IF(OR(ISNUMBER(FIND({"M";"N";"D"},X44))),"1","")</f>
        <v/>
      </c>
      <c r="BP44" s="17" t="str">
        <f>IF(OR(ISNUMBER(FIND({"M";"N";"D"},Y44))),"1","")</f>
        <v/>
      </c>
      <c r="BQ44" s="17" t="str">
        <f>IF(OR(ISNUMBER(FIND({"M";"N";"D"},Z44))),"1","")</f>
        <v/>
      </c>
      <c r="BR44" s="17" t="str">
        <f>IF(OR(ISNUMBER(FIND({"M";"N";"D"},AA44))),"1","")</f>
        <v/>
      </c>
      <c r="BS44" s="17" t="str">
        <f>IF(OR(ISNUMBER(FIND({"M";"N";"D"},AB44))),"1","")</f>
        <v/>
      </c>
      <c r="BT44" s="17" t="str">
        <f>IF(OR(ISNUMBER(FIND({"M";"N";"D"},AC44))),"1","")</f>
        <v/>
      </c>
      <c r="BU44" s="17" t="str">
        <f>IF(OR(ISNUMBER(FIND({"M";"N";"D"},AD44))),"1","")</f>
        <v/>
      </c>
      <c r="BV44" s="17" t="str">
        <f>IF(OR(ISNUMBER(FIND({"M";"N";"D"},AE44))),"1","")</f>
        <v/>
      </c>
      <c r="BW44" s="17" t="str">
        <f>IF(OR(ISNUMBER(FIND({"M";"N";"D"},AF44))),"1","")</f>
        <v/>
      </c>
      <c r="BX44" s="17" t="str">
        <f>IF(OR(ISNUMBER(FIND({"M";"N";"D"},AG44))),"1","")</f>
        <v/>
      </c>
      <c r="BY44" s="17" t="str">
        <f>IF(OR(ISNUMBER(FIND({"M";"N";"D"},AH44))),"1","")</f>
        <v/>
      </c>
      <c r="BZ44" s="17" t="str">
        <f>IF(OR(ISNUMBER(FIND({"M";"N";"D"},AI44))),"1","")</f>
        <v/>
      </c>
      <c r="CA44" s="17" t="str">
        <f>IF(OR(ISNUMBER(FIND({"M";"N";"D"},AJ44))),"1","")</f>
        <v/>
      </c>
      <c r="CB44" s="17" t="str">
        <f>IF(OR(ISNUMBER(FIND({"M";"N";"D"},AK44))),"1","")</f>
        <v/>
      </c>
      <c r="CC44" s="17" t="str">
        <f>IF(OR(ISNUMBER(FIND({"M";"N";"D"},AL44))),"1","")</f>
        <v/>
      </c>
      <c r="CD44" s="17" t="str">
        <f>IF(OR(ISNUMBER(FIND({"M";"N";"D"},AM44))),"1","")</f>
        <v/>
      </c>
      <c r="CE44" s="17" t="str">
        <f>IF(OR(ISNUMBER(FIND({"M";"N";"D"},AN44))),"1","")</f>
        <v/>
      </c>
      <c r="CF44" s="16">
        <f t="array" ref="CF44">MAX(FREQUENCY(IF(AU44:CE44&lt;&gt;"",COLUMN(AU44:CE44)),IF(AU44:CE44="",COLUMN(AU44:CE44))))</f>
        <v>0</v>
      </c>
      <c r="CG44" s="7"/>
      <c r="CH44" s="18">
        <f t="shared" si="37"/>
        <v>0</v>
      </c>
      <c r="CI44" s="8">
        <v>168</v>
      </c>
      <c r="CJ44" s="18">
        <f t="shared" si="5"/>
        <v>-168</v>
      </c>
      <c r="CK44" s="19">
        <f t="shared" si="43"/>
        <v>0</v>
      </c>
      <c r="CL44" s="30">
        <f t="shared" si="14"/>
        <v>0</v>
      </c>
      <c r="CM44" s="30">
        <f t="shared" si="44"/>
        <v>0</v>
      </c>
      <c r="CN44" s="19">
        <f t="shared" si="38"/>
        <v>0</v>
      </c>
      <c r="CO44" s="19">
        <f t="shared" si="39"/>
        <v>0</v>
      </c>
      <c r="CP44" s="19">
        <f t="shared" si="40"/>
        <v>0</v>
      </c>
      <c r="CQ44" s="19">
        <f t="shared" si="41"/>
        <v>0</v>
      </c>
      <c r="CR44" s="19">
        <f t="shared" si="42"/>
        <v>0</v>
      </c>
    </row>
    <row r="45" spans="1:96" s="9" customFormat="1" ht="12.75">
      <c r="A45" s="20"/>
      <c r="B45" s="21"/>
      <c r="C45" s="2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6">
        <f t="shared" si="32"/>
        <v>0</v>
      </c>
      <c r="AP45" s="6">
        <f t="shared" si="33"/>
        <v>0</v>
      </c>
      <c r="AQ45" s="6">
        <f t="shared" si="34"/>
        <v>0</v>
      </c>
      <c r="AR45" s="6">
        <f t="shared" si="35"/>
        <v>0</v>
      </c>
      <c r="AS45" s="6">
        <f t="shared" si="36"/>
        <v>0</v>
      </c>
      <c r="AT45" s="16">
        <f t="shared" si="11"/>
        <v>0</v>
      </c>
      <c r="AU45" s="17" t="str">
        <f>IF(OR(ISNUMBER(FIND({"M";"N";"D"},D45))),"1","")</f>
        <v/>
      </c>
      <c r="AV45" s="17" t="str">
        <f>IF(OR(ISNUMBER(FIND({"M";"N";"D"},E45))),"1","")</f>
        <v/>
      </c>
      <c r="AW45" s="17" t="str">
        <f>IF(OR(ISNUMBER(FIND({"M";"N";"D"},F45))),"1","")</f>
        <v/>
      </c>
      <c r="AX45" s="17" t="str">
        <f>IF(OR(ISNUMBER(FIND({"M";"N";"D"},G45))),"1","")</f>
        <v/>
      </c>
      <c r="AY45" s="17" t="str">
        <f>IF(OR(ISNUMBER(FIND({"M";"N";"D"},H45))),"1","")</f>
        <v/>
      </c>
      <c r="AZ45" s="17" t="str">
        <f>IF(OR(ISNUMBER(FIND({"M";"N";"D"},I45))),"1","")</f>
        <v/>
      </c>
      <c r="BA45" s="17" t="str">
        <f>IF(OR(ISNUMBER(FIND({"M";"N";"D"},J45))),"1","")</f>
        <v/>
      </c>
      <c r="BB45" s="17" t="str">
        <f>IF(OR(ISNUMBER(FIND({"M";"N";"D"},K45))),"1","")</f>
        <v/>
      </c>
      <c r="BC45" s="17" t="str">
        <f>IF(OR(ISNUMBER(FIND({"M";"N";"D"},L45))),"1","")</f>
        <v/>
      </c>
      <c r="BD45" s="17" t="str">
        <f>IF(OR(ISNUMBER(FIND({"M";"N";"D"},M45))),"1","")</f>
        <v/>
      </c>
      <c r="BE45" s="17" t="str">
        <f>IF(OR(ISNUMBER(FIND({"M";"N";"D"},N45))),"1","")</f>
        <v/>
      </c>
      <c r="BF45" s="17" t="str">
        <f>IF(OR(ISNUMBER(FIND({"M";"N";"D"},O45))),"1","")</f>
        <v/>
      </c>
      <c r="BG45" s="17" t="str">
        <f>IF(OR(ISNUMBER(FIND({"M";"N";"D"},P45))),"1","")</f>
        <v/>
      </c>
      <c r="BH45" s="17" t="str">
        <f>IF(OR(ISNUMBER(FIND({"M";"N";"D"},Q45))),"1","")</f>
        <v/>
      </c>
      <c r="BI45" s="17" t="str">
        <f>IF(OR(ISNUMBER(FIND({"M";"N";"D"},R45))),"1","")</f>
        <v/>
      </c>
      <c r="BJ45" s="17" t="str">
        <f>IF(OR(ISNUMBER(FIND({"M";"N";"D"},S45))),"1","")</f>
        <v/>
      </c>
      <c r="BK45" s="17" t="str">
        <f>IF(OR(ISNUMBER(FIND({"M";"N";"D"},T45))),"1","")</f>
        <v/>
      </c>
      <c r="BL45" s="17" t="str">
        <f>IF(OR(ISNUMBER(FIND({"M";"N";"D"},U45))),"1","")</f>
        <v/>
      </c>
      <c r="BM45" s="17" t="str">
        <f>IF(OR(ISNUMBER(FIND({"M";"N";"D"},V45))),"1","")</f>
        <v/>
      </c>
      <c r="BN45" s="17" t="str">
        <f>IF(OR(ISNUMBER(FIND({"M";"N";"D"},W45))),"1","")</f>
        <v/>
      </c>
      <c r="BO45" s="17" t="str">
        <f>IF(OR(ISNUMBER(FIND({"M";"N";"D"},X45))),"1","")</f>
        <v/>
      </c>
      <c r="BP45" s="17" t="str">
        <f>IF(OR(ISNUMBER(FIND({"M";"N";"D"},Y45))),"1","")</f>
        <v/>
      </c>
      <c r="BQ45" s="17" t="str">
        <f>IF(OR(ISNUMBER(FIND({"M";"N";"D"},Z45))),"1","")</f>
        <v/>
      </c>
      <c r="BR45" s="17" t="str">
        <f>IF(OR(ISNUMBER(FIND({"M";"N";"D"},AA45))),"1","")</f>
        <v/>
      </c>
      <c r="BS45" s="17" t="str">
        <f>IF(OR(ISNUMBER(FIND({"M";"N";"D"},AB45))),"1","")</f>
        <v/>
      </c>
      <c r="BT45" s="17" t="str">
        <f>IF(OR(ISNUMBER(FIND({"M";"N";"D"},AC45))),"1","")</f>
        <v/>
      </c>
      <c r="BU45" s="17" t="str">
        <f>IF(OR(ISNUMBER(FIND({"M";"N";"D"},AD45))),"1","")</f>
        <v/>
      </c>
      <c r="BV45" s="17" t="str">
        <f>IF(OR(ISNUMBER(FIND({"M";"N";"D"},AE45))),"1","")</f>
        <v/>
      </c>
      <c r="BW45" s="17" t="str">
        <f>IF(OR(ISNUMBER(FIND({"M";"N";"D"},AF45))),"1","")</f>
        <v/>
      </c>
      <c r="BX45" s="17" t="str">
        <f>IF(OR(ISNUMBER(FIND({"M";"N";"D"},AG45))),"1","")</f>
        <v/>
      </c>
      <c r="BY45" s="17" t="str">
        <f>IF(OR(ISNUMBER(FIND({"M";"N";"D"},AH45))),"1","")</f>
        <v/>
      </c>
      <c r="BZ45" s="17" t="str">
        <f>IF(OR(ISNUMBER(FIND({"M";"N";"D"},AI45))),"1","")</f>
        <v/>
      </c>
      <c r="CA45" s="17" t="str">
        <f>IF(OR(ISNUMBER(FIND({"M";"N";"D"},AJ45))),"1","")</f>
        <v/>
      </c>
      <c r="CB45" s="17" t="str">
        <f>IF(OR(ISNUMBER(FIND({"M";"N";"D"},AK45))),"1","")</f>
        <v/>
      </c>
      <c r="CC45" s="17" t="str">
        <f>IF(OR(ISNUMBER(FIND({"M";"N";"D"},AL45))),"1","")</f>
        <v/>
      </c>
      <c r="CD45" s="17" t="str">
        <f>IF(OR(ISNUMBER(FIND({"M";"N";"D"},AM45))),"1","")</f>
        <v/>
      </c>
      <c r="CE45" s="17" t="str">
        <f>IF(OR(ISNUMBER(FIND({"M";"N";"D"},AN45))),"1","")</f>
        <v/>
      </c>
      <c r="CF45" s="16">
        <f t="array" ref="CF45">MAX(FREQUENCY(IF(AU45:CE45&lt;&gt;"",COLUMN(AU45:CE45)),IF(AU45:CE45="",COLUMN(AU45:CE45))))</f>
        <v>0</v>
      </c>
      <c r="CG45" s="7"/>
      <c r="CH45" s="18">
        <f t="shared" si="37"/>
        <v>0</v>
      </c>
      <c r="CI45" s="8">
        <v>168</v>
      </c>
      <c r="CJ45" s="18">
        <f t="shared" si="5"/>
        <v>-168</v>
      </c>
      <c r="CK45" s="19">
        <f t="shared" si="43"/>
        <v>0</v>
      </c>
      <c r="CL45" s="30">
        <f t="shared" si="14"/>
        <v>0</v>
      </c>
      <c r="CM45" s="30">
        <f t="shared" si="44"/>
        <v>0</v>
      </c>
      <c r="CN45" s="19">
        <f t="shared" si="38"/>
        <v>0</v>
      </c>
      <c r="CO45" s="19">
        <f t="shared" si="39"/>
        <v>0</v>
      </c>
      <c r="CP45" s="19">
        <f t="shared" si="40"/>
        <v>0</v>
      </c>
      <c r="CQ45" s="19">
        <f t="shared" si="41"/>
        <v>0</v>
      </c>
      <c r="CR45" s="19">
        <f t="shared" si="42"/>
        <v>0</v>
      </c>
    </row>
    <row r="46" spans="1:96" s="9" customFormat="1" ht="12.75">
      <c r="A46" s="20"/>
      <c r="B46" s="21"/>
      <c r="C46" s="21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6">
        <f t="shared" si="32"/>
        <v>0</v>
      </c>
      <c r="AP46" s="6">
        <f t="shared" si="33"/>
        <v>0</v>
      </c>
      <c r="AQ46" s="6">
        <f t="shared" si="34"/>
        <v>0</v>
      </c>
      <c r="AR46" s="6">
        <f t="shared" si="35"/>
        <v>0</v>
      </c>
      <c r="AS46" s="6">
        <f t="shared" si="36"/>
        <v>0</v>
      </c>
      <c r="AT46" s="16">
        <f t="shared" si="11"/>
        <v>0</v>
      </c>
      <c r="AU46" s="17" t="str">
        <f>IF(OR(ISNUMBER(FIND({"M";"N";"D"},D46))),"1","")</f>
        <v/>
      </c>
      <c r="AV46" s="17" t="str">
        <f>IF(OR(ISNUMBER(FIND({"M";"N";"D"},E46))),"1","")</f>
        <v/>
      </c>
      <c r="AW46" s="17" t="str">
        <f>IF(OR(ISNUMBER(FIND({"M";"N";"D"},F46))),"1","")</f>
        <v/>
      </c>
      <c r="AX46" s="17" t="str">
        <f>IF(OR(ISNUMBER(FIND({"M";"N";"D"},G46))),"1","")</f>
        <v/>
      </c>
      <c r="AY46" s="17" t="str">
        <f>IF(OR(ISNUMBER(FIND({"M";"N";"D"},H46))),"1","")</f>
        <v/>
      </c>
      <c r="AZ46" s="17" t="str">
        <f>IF(OR(ISNUMBER(FIND({"M";"N";"D"},I46))),"1","")</f>
        <v/>
      </c>
      <c r="BA46" s="17" t="str">
        <f>IF(OR(ISNUMBER(FIND({"M";"N";"D"},J46))),"1","")</f>
        <v/>
      </c>
      <c r="BB46" s="17" t="str">
        <f>IF(OR(ISNUMBER(FIND({"M";"N";"D"},K46))),"1","")</f>
        <v/>
      </c>
      <c r="BC46" s="17" t="str">
        <f>IF(OR(ISNUMBER(FIND({"M";"N";"D"},L46))),"1","")</f>
        <v/>
      </c>
      <c r="BD46" s="17" t="str">
        <f>IF(OR(ISNUMBER(FIND({"M";"N";"D"},M46))),"1","")</f>
        <v/>
      </c>
      <c r="BE46" s="17" t="str">
        <f>IF(OR(ISNUMBER(FIND({"M";"N";"D"},N46))),"1","")</f>
        <v/>
      </c>
      <c r="BF46" s="17" t="str">
        <f>IF(OR(ISNUMBER(FIND({"M";"N";"D"},O46))),"1","")</f>
        <v/>
      </c>
      <c r="BG46" s="17" t="str">
        <f>IF(OR(ISNUMBER(FIND({"M";"N";"D"},P46))),"1","")</f>
        <v/>
      </c>
      <c r="BH46" s="17" t="str">
        <f>IF(OR(ISNUMBER(FIND({"M";"N";"D"},Q46))),"1","")</f>
        <v/>
      </c>
      <c r="BI46" s="17" t="str">
        <f>IF(OR(ISNUMBER(FIND({"M";"N";"D"},R46))),"1","")</f>
        <v/>
      </c>
      <c r="BJ46" s="17" t="str">
        <f>IF(OR(ISNUMBER(FIND({"M";"N";"D"},S46))),"1","")</f>
        <v/>
      </c>
      <c r="BK46" s="17" t="str">
        <f>IF(OR(ISNUMBER(FIND({"M";"N";"D"},T46))),"1","")</f>
        <v/>
      </c>
      <c r="BL46" s="17" t="str">
        <f>IF(OR(ISNUMBER(FIND({"M";"N";"D"},U46))),"1","")</f>
        <v/>
      </c>
      <c r="BM46" s="17" t="str">
        <f>IF(OR(ISNUMBER(FIND({"M";"N";"D"},V46))),"1","")</f>
        <v/>
      </c>
      <c r="BN46" s="17" t="str">
        <f>IF(OR(ISNUMBER(FIND({"M";"N";"D"},W46))),"1","")</f>
        <v/>
      </c>
      <c r="BO46" s="17" t="str">
        <f>IF(OR(ISNUMBER(FIND({"M";"N";"D"},X46))),"1","")</f>
        <v/>
      </c>
      <c r="BP46" s="17" t="str">
        <f>IF(OR(ISNUMBER(FIND({"M";"N";"D"},Y46))),"1","")</f>
        <v/>
      </c>
      <c r="BQ46" s="17" t="str">
        <f>IF(OR(ISNUMBER(FIND({"M";"N";"D"},Z46))),"1","")</f>
        <v/>
      </c>
      <c r="BR46" s="17" t="str">
        <f>IF(OR(ISNUMBER(FIND({"M";"N";"D"},AA46))),"1","")</f>
        <v/>
      </c>
      <c r="BS46" s="17" t="str">
        <f>IF(OR(ISNUMBER(FIND({"M";"N";"D"},AB46))),"1","")</f>
        <v/>
      </c>
      <c r="BT46" s="17" t="str">
        <f>IF(OR(ISNUMBER(FIND({"M";"N";"D"},AC46))),"1","")</f>
        <v/>
      </c>
      <c r="BU46" s="17" t="str">
        <f>IF(OR(ISNUMBER(FIND({"M";"N";"D"},AD46))),"1","")</f>
        <v/>
      </c>
      <c r="BV46" s="17" t="str">
        <f>IF(OR(ISNUMBER(FIND({"M";"N";"D"},AE46))),"1","")</f>
        <v/>
      </c>
      <c r="BW46" s="17" t="str">
        <f>IF(OR(ISNUMBER(FIND({"M";"N";"D"},AF46))),"1","")</f>
        <v/>
      </c>
      <c r="BX46" s="17" t="str">
        <f>IF(OR(ISNUMBER(FIND({"M";"N";"D"},AG46))),"1","")</f>
        <v/>
      </c>
      <c r="BY46" s="17" t="str">
        <f>IF(OR(ISNUMBER(FIND({"M";"N";"D"},AH46))),"1","")</f>
        <v/>
      </c>
      <c r="BZ46" s="17" t="str">
        <f>IF(OR(ISNUMBER(FIND({"M";"N";"D"},AI46))),"1","")</f>
        <v/>
      </c>
      <c r="CA46" s="17" t="str">
        <f>IF(OR(ISNUMBER(FIND({"M";"N";"D"},AJ46))),"1","")</f>
        <v/>
      </c>
      <c r="CB46" s="17" t="str">
        <f>IF(OR(ISNUMBER(FIND({"M";"N";"D"},AK46))),"1","")</f>
        <v/>
      </c>
      <c r="CC46" s="17" t="str">
        <f>IF(OR(ISNUMBER(FIND({"M";"N";"D"},AL46))),"1","")</f>
        <v/>
      </c>
      <c r="CD46" s="17" t="str">
        <f>IF(OR(ISNUMBER(FIND({"M";"N";"D"},AM46))),"1","")</f>
        <v/>
      </c>
      <c r="CE46" s="17" t="str">
        <f>IF(OR(ISNUMBER(FIND({"M";"N";"D"},AN46))),"1","")</f>
        <v/>
      </c>
      <c r="CF46" s="16">
        <f t="array" ref="CF46">MAX(FREQUENCY(IF(AU46:CE46&lt;&gt;"",COLUMN(AU46:CE46)),IF(AU46:CE46="",COLUMN(AU46:CE46))))</f>
        <v>0</v>
      </c>
      <c r="CG46" s="7"/>
      <c r="CH46" s="18">
        <f t="shared" si="37"/>
        <v>0</v>
      </c>
      <c r="CI46" s="8">
        <v>168</v>
      </c>
      <c r="CJ46" s="18">
        <f t="shared" si="5"/>
        <v>-168</v>
      </c>
      <c r="CK46" s="19">
        <f t="shared" si="43"/>
        <v>0</v>
      </c>
      <c r="CL46" s="30">
        <f t="shared" si="14"/>
        <v>0</v>
      </c>
      <c r="CM46" s="30">
        <f t="shared" si="44"/>
        <v>0</v>
      </c>
      <c r="CN46" s="19">
        <f t="shared" si="38"/>
        <v>0</v>
      </c>
      <c r="CO46" s="19">
        <f t="shared" si="39"/>
        <v>0</v>
      </c>
      <c r="CP46" s="19">
        <f t="shared" si="40"/>
        <v>0</v>
      </c>
      <c r="CQ46" s="19">
        <f t="shared" si="41"/>
        <v>0</v>
      </c>
      <c r="CR46" s="19">
        <f t="shared" si="42"/>
        <v>0</v>
      </c>
    </row>
    <row r="47" spans="1:96" s="9" customFormat="1" ht="12.75" customHeight="1">
      <c r="A47" s="20"/>
      <c r="B47" s="21"/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6">
        <f t="shared" si="32"/>
        <v>0</v>
      </c>
      <c r="AP47" s="6">
        <f t="shared" si="33"/>
        <v>0</v>
      </c>
      <c r="AQ47" s="6">
        <f t="shared" si="34"/>
        <v>0</v>
      </c>
      <c r="AR47" s="6">
        <f t="shared" si="35"/>
        <v>0</v>
      </c>
      <c r="AS47" s="6">
        <f t="shared" si="36"/>
        <v>0</v>
      </c>
      <c r="AT47" s="16">
        <f t="shared" si="11"/>
        <v>0</v>
      </c>
      <c r="AU47" s="17" t="str">
        <f>IF(OR(ISNUMBER(FIND({"M";"N";"D"},D47))),"1","")</f>
        <v/>
      </c>
      <c r="AV47" s="17" t="str">
        <f>IF(OR(ISNUMBER(FIND({"M";"N";"D"},E47))),"1","")</f>
        <v/>
      </c>
      <c r="AW47" s="17" t="str">
        <f>IF(OR(ISNUMBER(FIND({"M";"N";"D"},F47))),"1","")</f>
        <v/>
      </c>
      <c r="AX47" s="17" t="str">
        <f>IF(OR(ISNUMBER(FIND({"M";"N";"D"},G47))),"1","")</f>
        <v/>
      </c>
      <c r="AY47" s="17" t="str">
        <f>IF(OR(ISNUMBER(FIND({"M";"N";"D"},H47))),"1","")</f>
        <v/>
      </c>
      <c r="AZ47" s="17" t="str">
        <f>IF(OR(ISNUMBER(FIND({"M";"N";"D"},I47))),"1","")</f>
        <v/>
      </c>
      <c r="BA47" s="17" t="str">
        <f>IF(OR(ISNUMBER(FIND({"M";"N";"D"},J47))),"1","")</f>
        <v/>
      </c>
      <c r="BB47" s="17" t="str">
        <f>IF(OR(ISNUMBER(FIND({"M";"N";"D"},K47))),"1","")</f>
        <v/>
      </c>
      <c r="BC47" s="17" t="str">
        <f>IF(OR(ISNUMBER(FIND({"M";"N";"D"},L47))),"1","")</f>
        <v/>
      </c>
      <c r="BD47" s="17" t="str">
        <f>IF(OR(ISNUMBER(FIND({"M";"N";"D"},M47))),"1","")</f>
        <v/>
      </c>
      <c r="BE47" s="17" t="str">
        <f>IF(OR(ISNUMBER(FIND({"M";"N";"D"},N47))),"1","")</f>
        <v/>
      </c>
      <c r="BF47" s="17" t="str">
        <f>IF(OR(ISNUMBER(FIND({"M";"N";"D"},O47))),"1","")</f>
        <v/>
      </c>
      <c r="BG47" s="17" t="str">
        <f>IF(OR(ISNUMBER(FIND({"M";"N";"D"},P47))),"1","")</f>
        <v/>
      </c>
      <c r="BH47" s="17" t="str">
        <f>IF(OR(ISNUMBER(FIND({"M";"N";"D"},Q47))),"1","")</f>
        <v/>
      </c>
      <c r="BI47" s="17" t="str">
        <f>IF(OR(ISNUMBER(FIND({"M";"N";"D"},R47))),"1","")</f>
        <v/>
      </c>
      <c r="BJ47" s="17" t="str">
        <f>IF(OR(ISNUMBER(FIND({"M";"N";"D"},S47))),"1","")</f>
        <v/>
      </c>
      <c r="BK47" s="17" t="str">
        <f>IF(OR(ISNUMBER(FIND({"M";"N";"D"},T47))),"1","")</f>
        <v/>
      </c>
      <c r="BL47" s="17" t="str">
        <f>IF(OR(ISNUMBER(FIND({"M";"N";"D"},U47))),"1","")</f>
        <v/>
      </c>
      <c r="BM47" s="17" t="str">
        <f>IF(OR(ISNUMBER(FIND({"M";"N";"D"},V47))),"1","")</f>
        <v/>
      </c>
      <c r="BN47" s="17" t="str">
        <f>IF(OR(ISNUMBER(FIND({"M";"N";"D"},W47))),"1","")</f>
        <v/>
      </c>
      <c r="BO47" s="17" t="str">
        <f>IF(OR(ISNUMBER(FIND({"M";"N";"D"},X47))),"1","")</f>
        <v/>
      </c>
      <c r="BP47" s="17" t="str">
        <f>IF(OR(ISNUMBER(FIND({"M";"N";"D"},Y47))),"1","")</f>
        <v/>
      </c>
      <c r="BQ47" s="17" t="str">
        <f>IF(OR(ISNUMBER(FIND({"M";"N";"D"},Z47))),"1","")</f>
        <v/>
      </c>
      <c r="BR47" s="17" t="str">
        <f>IF(OR(ISNUMBER(FIND({"M";"N";"D"},AA47))),"1","")</f>
        <v/>
      </c>
      <c r="BS47" s="17" t="str">
        <f>IF(OR(ISNUMBER(FIND({"M";"N";"D"},AB47))),"1","")</f>
        <v/>
      </c>
      <c r="BT47" s="17" t="str">
        <f>IF(OR(ISNUMBER(FIND({"M";"N";"D"},AC47))),"1","")</f>
        <v/>
      </c>
      <c r="BU47" s="17" t="str">
        <f>IF(OR(ISNUMBER(FIND({"M";"N";"D"},AD47))),"1","")</f>
        <v/>
      </c>
      <c r="BV47" s="17" t="str">
        <f>IF(OR(ISNUMBER(FIND({"M";"N";"D"},AE47))),"1","")</f>
        <v/>
      </c>
      <c r="BW47" s="17" t="str">
        <f>IF(OR(ISNUMBER(FIND({"M";"N";"D"},AF47))),"1","")</f>
        <v/>
      </c>
      <c r="BX47" s="17" t="str">
        <f>IF(OR(ISNUMBER(FIND({"M";"N";"D"},AG47))),"1","")</f>
        <v/>
      </c>
      <c r="BY47" s="17" t="str">
        <f>IF(OR(ISNUMBER(FIND({"M";"N";"D"},AH47))),"1","")</f>
        <v/>
      </c>
      <c r="BZ47" s="17" t="str">
        <f>IF(OR(ISNUMBER(FIND({"M";"N";"D"},AI47))),"1","")</f>
        <v/>
      </c>
      <c r="CA47" s="17" t="str">
        <f>IF(OR(ISNUMBER(FIND({"M";"N";"D"},AJ47))),"1","")</f>
        <v/>
      </c>
      <c r="CB47" s="17" t="str">
        <f>IF(OR(ISNUMBER(FIND({"M";"N";"D"},AK47))),"1","")</f>
        <v/>
      </c>
      <c r="CC47" s="17" t="str">
        <f>IF(OR(ISNUMBER(FIND({"M";"N";"D"},AL47))),"1","")</f>
        <v/>
      </c>
      <c r="CD47" s="17" t="str">
        <f>IF(OR(ISNUMBER(FIND({"M";"N";"D"},AM47))),"1","")</f>
        <v/>
      </c>
      <c r="CE47" s="17" t="str">
        <f>IF(OR(ISNUMBER(FIND({"M";"N";"D"},AN47))),"1","")</f>
        <v/>
      </c>
      <c r="CF47" s="16">
        <f t="array" ref="CF47">MAX(FREQUENCY(IF(AU47:CE47&lt;&gt;"",COLUMN(AU47:CE47)),IF(AU47:CE47="",COLUMN(AU47:CE47))))</f>
        <v>0</v>
      </c>
      <c r="CG47" s="7"/>
      <c r="CH47" s="18">
        <f t="shared" si="37"/>
        <v>0</v>
      </c>
      <c r="CI47" s="8">
        <v>168</v>
      </c>
      <c r="CJ47" s="18">
        <f t="shared" si="5"/>
        <v>-168</v>
      </c>
      <c r="CK47" s="19">
        <f t="shared" si="43"/>
        <v>0</v>
      </c>
      <c r="CL47" s="30">
        <f t="shared" si="14"/>
        <v>0</v>
      </c>
      <c r="CM47" s="30">
        <f t="shared" si="44"/>
        <v>0</v>
      </c>
      <c r="CN47" s="19">
        <f t="shared" si="38"/>
        <v>0</v>
      </c>
      <c r="CO47" s="19">
        <f t="shared" si="39"/>
        <v>0</v>
      </c>
      <c r="CP47" s="19">
        <f t="shared" si="40"/>
        <v>0</v>
      </c>
      <c r="CQ47" s="19">
        <f t="shared" si="41"/>
        <v>0</v>
      </c>
      <c r="CR47" s="19">
        <f t="shared" si="42"/>
        <v>0</v>
      </c>
    </row>
    <row r="48" spans="1:96" s="9" customFormat="1" ht="12.75">
      <c r="A48" s="20"/>
      <c r="B48" s="21"/>
      <c r="C48" s="2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6">
        <f t="shared" si="32"/>
        <v>0</v>
      </c>
      <c r="AP48" s="6">
        <f t="shared" si="33"/>
        <v>0</v>
      </c>
      <c r="AQ48" s="6">
        <f t="shared" si="34"/>
        <v>0</v>
      </c>
      <c r="AR48" s="6">
        <f t="shared" si="35"/>
        <v>0</v>
      </c>
      <c r="AS48" s="6">
        <f t="shared" si="36"/>
        <v>0</v>
      </c>
      <c r="AT48" s="16">
        <f t="shared" si="11"/>
        <v>0</v>
      </c>
      <c r="AU48" s="17" t="str">
        <f>IF(OR(ISNUMBER(FIND({"M";"N";"D"},D48))),"1","")</f>
        <v/>
      </c>
      <c r="AV48" s="17" t="str">
        <f>IF(OR(ISNUMBER(FIND({"M";"N";"D"},E48))),"1","")</f>
        <v/>
      </c>
      <c r="AW48" s="17" t="str">
        <f>IF(OR(ISNUMBER(FIND({"M";"N";"D"},F48))),"1","")</f>
        <v/>
      </c>
      <c r="AX48" s="17" t="str">
        <f>IF(OR(ISNUMBER(FIND({"M";"N";"D"},G48))),"1","")</f>
        <v/>
      </c>
      <c r="AY48" s="17" t="str">
        <f>IF(OR(ISNUMBER(FIND({"M";"N";"D"},H48))),"1","")</f>
        <v/>
      </c>
      <c r="AZ48" s="17" t="str">
        <f>IF(OR(ISNUMBER(FIND({"M";"N";"D"},I48))),"1","")</f>
        <v/>
      </c>
      <c r="BA48" s="17" t="str">
        <f>IF(OR(ISNUMBER(FIND({"M";"N";"D"},J48))),"1","")</f>
        <v/>
      </c>
      <c r="BB48" s="17" t="str">
        <f>IF(OR(ISNUMBER(FIND({"M";"N";"D"},K48))),"1","")</f>
        <v/>
      </c>
      <c r="BC48" s="17" t="str">
        <f>IF(OR(ISNUMBER(FIND({"M";"N";"D"},L48))),"1","")</f>
        <v/>
      </c>
      <c r="BD48" s="17" t="str">
        <f>IF(OR(ISNUMBER(FIND({"M";"N";"D"},M48))),"1","")</f>
        <v/>
      </c>
      <c r="BE48" s="17" t="str">
        <f>IF(OR(ISNUMBER(FIND({"M";"N";"D"},N48))),"1","")</f>
        <v/>
      </c>
      <c r="BF48" s="17" t="str">
        <f>IF(OR(ISNUMBER(FIND({"M";"N";"D"},O48))),"1","")</f>
        <v/>
      </c>
      <c r="BG48" s="17" t="str">
        <f>IF(OR(ISNUMBER(FIND({"M";"N";"D"},P48))),"1","")</f>
        <v/>
      </c>
      <c r="BH48" s="17" t="str">
        <f>IF(OR(ISNUMBER(FIND({"M";"N";"D"},Q48))),"1","")</f>
        <v/>
      </c>
      <c r="BI48" s="17" t="str">
        <f>IF(OR(ISNUMBER(FIND({"M";"N";"D"},R48))),"1","")</f>
        <v/>
      </c>
      <c r="BJ48" s="17" t="str">
        <f>IF(OR(ISNUMBER(FIND({"M";"N";"D"},S48))),"1","")</f>
        <v/>
      </c>
      <c r="BK48" s="17" t="str">
        <f>IF(OR(ISNUMBER(FIND({"M";"N";"D"},T48))),"1","")</f>
        <v/>
      </c>
      <c r="BL48" s="17" t="str">
        <f>IF(OR(ISNUMBER(FIND({"M";"N";"D"},U48))),"1","")</f>
        <v/>
      </c>
      <c r="BM48" s="17" t="str">
        <f>IF(OR(ISNUMBER(FIND({"M";"N";"D"},V48))),"1","")</f>
        <v/>
      </c>
      <c r="BN48" s="17" t="str">
        <f>IF(OR(ISNUMBER(FIND({"M";"N";"D"},W48))),"1","")</f>
        <v/>
      </c>
      <c r="BO48" s="17" t="str">
        <f>IF(OR(ISNUMBER(FIND({"M";"N";"D"},X48))),"1","")</f>
        <v/>
      </c>
      <c r="BP48" s="17" t="str">
        <f>IF(OR(ISNUMBER(FIND({"M";"N";"D"},Y48))),"1","")</f>
        <v/>
      </c>
      <c r="BQ48" s="17" t="str">
        <f>IF(OR(ISNUMBER(FIND({"M";"N";"D"},Z48))),"1","")</f>
        <v/>
      </c>
      <c r="BR48" s="17" t="str">
        <f>IF(OR(ISNUMBER(FIND({"M";"N";"D"},AA48))),"1","")</f>
        <v/>
      </c>
      <c r="BS48" s="17" t="str">
        <f>IF(OR(ISNUMBER(FIND({"M";"N";"D"},AB48))),"1","")</f>
        <v/>
      </c>
      <c r="BT48" s="17" t="str">
        <f>IF(OR(ISNUMBER(FIND({"M";"N";"D"},AC48))),"1","")</f>
        <v/>
      </c>
      <c r="BU48" s="17" t="str">
        <f>IF(OR(ISNUMBER(FIND({"M";"N";"D"},AD48))),"1","")</f>
        <v/>
      </c>
      <c r="BV48" s="17" t="str">
        <f>IF(OR(ISNUMBER(FIND({"M";"N";"D"},AE48))),"1","")</f>
        <v/>
      </c>
      <c r="BW48" s="17" t="str">
        <f>IF(OR(ISNUMBER(FIND({"M";"N";"D"},AF48))),"1","")</f>
        <v/>
      </c>
      <c r="BX48" s="17" t="str">
        <f>IF(OR(ISNUMBER(FIND({"M";"N";"D"},AG48))),"1","")</f>
        <v/>
      </c>
      <c r="BY48" s="17" t="str">
        <f>IF(OR(ISNUMBER(FIND({"M";"N";"D"},AH48))),"1","")</f>
        <v/>
      </c>
      <c r="BZ48" s="17" t="str">
        <f>IF(OR(ISNUMBER(FIND({"M";"N";"D"},AI48))),"1","")</f>
        <v/>
      </c>
      <c r="CA48" s="17" t="str">
        <f>IF(OR(ISNUMBER(FIND({"M";"N";"D"},AJ48))),"1","")</f>
        <v/>
      </c>
      <c r="CB48" s="17" t="str">
        <f>IF(OR(ISNUMBER(FIND({"M";"N";"D"},AK48))),"1","")</f>
        <v/>
      </c>
      <c r="CC48" s="17" t="str">
        <f>IF(OR(ISNUMBER(FIND({"M";"N";"D"},AL48))),"1","")</f>
        <v/>
      </c>
      <c r="CD48" s="17" t="str">
        <f>IF(OR(ISNUMBER(FIND({"M";"N";"D"},AM48))),"1","")</f>
        <v/>
      </c>
      <c r="CE48" s="17" t="str">
        <f>IF(OR(ISNUMBER(FIND({"M";"N";"D"},AN48))),"1","")</f>
        <v/>
      </c>
      <c r="CF48" s="16">
        <f t="array" ref="CF48">MAX(FREQUENCY(IF(AU48:CE48&lt;&gt;"",COLUMN(AU48:CE48)),IF(AU48:CE48="",COLUMN(AU48:CE48))))</f>
        <v>0</v>
      </c>
      <c r="CG48" s="7"/>
      <c r="CH48" s="18">
        <f t="shared" si="37"/>
        <v>0</v>
      </c>
      <c r="CI48" s="8">
        <v>168</v>
      </c>
      <c r="CJ48" s="18">
        <f t="shared" si="5"/>
        <v>-168</v>
      </c>
      <c r="CK48" s="19">
        <f t="shared" si="43"/>
        <v>0</v>
      </c>
      <c r="CL48" s="30">
        <f t="shared" si="14"/>
        <v>0</v>
      </c>
      <c r="CM48" s="30">
        <f t="shared" si="44"/>
        <v>0</v>
      </c>
      <c r="CN48" s="19">
        <f t="shared" si="38"/>
        <v>0</v>
      </c>
      <c r="CO48" s="19">
        <f t="shared" si="39"/>
        <v>0</v>
      </c>
      <c r="CP48" s="19">
        <f t="shared" si="40"/>
        <v>0</v>
      </c>
      <c r="CQ48" s="19">
        <f t="shared" si="41"/>
        <v>0</v>
      </c>
      <c r="CR48" s="19">
        <f t="shared" si="42"/>
        <v>0</v>
      </c>
    </row>
    <row r="49" spans="1:96" s="9" customFormat="1" ht="12.75">
      <c r="A49" s="20"/>
      <c r="B49" s="21"/>
      <c r="C49" s="2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6">
        <f t="shared" si="32"/>
        <v>0</v>
      </c>
      <c r="AP49" s="6">
        <f t="shared" si="33"/>
        <v>0</v>
      </c>
      <c r="AQ49" s="6">
        <f t="shared" si="34"/>
        <v>0</v>
      </c>
      <c r="AR49" s="6">
        <f t="shared" si="35"/>
        <v>0</v>
      </c>
      <c r="AS49" s="6">
        <f t="shared" si="36"/>
        <v>0</v>
      </c>
      <c r="AT49" s="16">
        <f t="shared" si="11"/>
        <v>0</v>
      </c>
      <c r="AU49" s="17" t="str">
        <f>IF(OR(ISNUMBER(FIND({"M";"N";"D"},D49))),"1","")</f>
        <v/>
      </c>
      <c r="AV49" s="17" t="str">
        <f>IF(OR(ISNUMBER(FIND({"M";"N";"D"},E49))),"1","")</f>
        <v/>
      </c>
      <c r="AW49" s="17" t="str">
        <f>IF(OR(ISNUMBER(FIND({"M";"N";"D"},F49))),"1","")</f>
        <v/>
      </c>
      <c r="AX49" s="17" t="str">
        <f>IF(OR(ISNUMBER(FIND({"M";"N";"D"},G49))),"1","")</f>
        <v/>
      </c>
      <c r="AY49" s="17" t="str">
        <f>IF(OR(ISNUMBER(FIND({"M";"N";"D"},H49))),"1","")</f>
        <v/>
      </c>
      <c r="AZ49" s="17" t="str">
        <f>IF(OR(ISNUMBER(FIND({"M";"N";"D"},I49))),"1","")</f>
        <v/>
      </c>
      <c r="BA49" s="17" t="str">
        <f>IF(OR(ISNUMBER(FIND({"M";"N";"D"},J49))),"1","")</f>
        <v/>
      </c>
      <c r="BB49" s="17" t="str">
        <f>IF(OR(ISNUMBER(FIND({"M";"N";"D"},K49))),"1","")</f>
        <v/>
      </c>
      <c r="BC49" s="17" t="str">
        <f>IF(OR(ISNUMBER(FIND({"M";"N";"D"},L49))),"1","")</f>
        <v/>
      </c>
      <c r="BD49" s="17" t="str">
        <f>IF(OR(ISNUMBER(FIND({"M";"N";"D"},M49))),"1","")</f>
        <v/>
      </c>
      <c r="BE49" s="17" t="str">
        <f>IF(OR(ISNUMBER(FIND({"M";"N";"D"},N49))),"1","")</f>
        <v/>
      </c>
      <c r="BF49" s="17" t="str">
        <f>IF(OR(ISNUMBER(FIND({"M";"N";"D"},O49))),"1","")</f>
        <v/>
      </c>
      <c r="BG49" s="17" t="str">
        <f>IF(OR(ISNUMBER(FIND({"M";"N";"D"},P49))),"1","")</f>
        <v/>
      </c>
      <c r="BH49" s="17" t="str">
        <f>IF(OR(ISNUMBER(FIND({"M";"N";"D"},Q49))),"1","")</f>
        <v/>
      </c>
      <c r="BI49" s="17" t="str">
        <f>IF(OR(ISNUMBER(FIND({"M";"N";"D"},R49))),"1","")</f>
        <v/>
      </c>
      <c r="BJ49" s="17" t="str">
        <f>IF(OR(ISNUMBER(FIND({"M";"N";"D"},S49))),"1","")</f>
        <v/>
      </c>
      <c r="BK49" s="17" t="str">
        <f>IF(OR(ISNUMBER(FIND({"M";"N";"D"},T49))),"1","")</f>
        <v/>
      </c>
      <c r="BL49" s="17" t="str">
        <f>IF(OR(ISNUMBER(FIND({"M";"N";"D"},U49))),"1","")</f>
        <v/>
      </c>
      <c r="BM49" s="17" t="str">
        <f>IF(OR(ISNUMBER(FIND({"M";"N";"D"},V49))),"1","")</f>
        <v/>
      </c>
      <c r="BN49" s="17" t="str">
        <f>IF(OR(ISNUMBER(FIND({"M";"N";"D"},W49))),"1","")</f>
        <v/>
      </c>
      <c r="BO49" s="17" t="str">
        <f>IF(OR(ISNUMBER(FIND({"M";"N";"D"},X49))),"1","")</f>
        <v/>
      </c>
      <c r="BP49" s="17" t="str">
        <f>IF(OR(ISNUMBER(FIND({"M";"N";"D"},Y49))),"1","")</f>
        <v/>
      </c>
      <c r="BQ49" s="17" t="str">
        <f>IF(OR(ISNUMBER(FIND({"M";"N";"D"},Z49))),"1","")</f>
        <v/>
      </c>
      <c r="BR49" s="17" t="str">
        <f>IF(OR(ISNUMBER(FIND({"M";"N";"D"},AA49))),"1","")</f>
        <v/>
      </c>
      <c r="BS49" s="17" t="str">
        <f>IF(OR(ISNUMBER(FIND({"M";"N";"D"},AB49))),"1","")</f>
        <v/>
      </c>
      <c r="BT49" s="17" t="str">
        <f>IF(OR(ISNUMBER(FIND({"M";"N";"D"},AC49))),"1","")</f>
        <v/>
      </c>
      <c r="BU49" s="17" t="str">
        <f>IF(OR(ISNUMBER(FIND({"M";"N";"D"},AD49))),"1","")</f>
        <v/>
      </c>
      <c r="BV49" s="17" t="str">
        <f>IF(OR(ISNUMBER(FIND({"M";"N";"D"},AE49))),"1","")</f>
        <v/>
      </c>
      <c r="BW49" s="17" t="str">
        <f>IF(OR(ISNUMBER(FIND({"M";"N";"D"},AF49))),"1","")</f>
        <v/>
      </c>
      <c r="BX49" s="17" t="str">
        <f>IF(OR(ISNUMBER(FIND({"M";"N";"D"},AG49))),"1","")</f>
        <v/>
      </c>
      <c r="BY49" s="17" t="str">
        <f>IF(OR(ISNUMBER(FIND({"M";"N";"D"},AH49))),"1","")</f>
        <v/>
      </c>
      <c r="BZ49" s="17" t="str">
        <f>IF(OR(ISNUMBER(FIND({"M";"N";"D"},AI49))),"1","")</f>
        <v/>
      </c>
      <c r="CA49" s="17" t="str">
        <f>IF(OR(ISNUMBER(FIND({"M";"N";"D"},AJ49))),"1","")</f>
        <v/>
      </c>
      <c r="CB49" s="17" t="str">
        <f>IF(OR(ISNUMBER(FIND({"M";"N";"D"},AK49))),"1","")</f>
        <v/>
      </c>
      <c r="CC49" s="17" t="str">
        <f>IF(OR(ISNUMBER(FIND({"M";"N";"D"},AL49))),"1","")</f>
        <v/>
      </c>
      <c r="CD49" s="17" t="str">
        <f>IF(OR(ISNUMBER(FIND({"M";"N";"D"},AM49))),"1","")</f>
        <v/>
      </c>
      <c r="CE49" s="17" t="str">
        <f>IF(OR(ISNUMBER(FIND({"M";"N";"D"},AN49))),"1","")</f>
        <v/>
      </c>
      <c r="CF49" s="16">
        <f t="array" ref="CF49">MAX(FREQUENCY(IF(AU49:CE49&lt;&gt;"",COLUMN(AU49:CE49)),IF(AU49:CE49="",COLUMN(AU49:CE49))))</f>
        <v>0</v>
      </c>
      <c r="CG49" s="7"/>
      <c r="CH49" s="18">
        <f t="shared" si="37"/>
        <v>0</v>
      </c>
      <c r="CI49" s="8">
        <v>168</v>
      </c>
      <c r="CJ49" s="18">
        <f t="shared" si="5"/>
        <v>-168</v>
      </c>
      <c r="CK49" s="19">
        <f t="shared" si="43"/>
        <v>0</v>
      </c>
      <c r="CL49" s="30">
        <f t="shared" si="14"/>
        <v>0</v>
      </c>
      <c r="CM49" s="30">
        <f t="shared" si="44"/>
        <v>0</v>
      </c>
      <c r="CN49" s="19">
        <f t="shared" si="38"/>
        <v>0</v>
      </c>
      <c r="CO49" s="19">
        <f t="shared" si="39"/>
        <v>0</v>
      </c>
      <c r="CP49" s="19">
        <f t="shared" si="40"/>
        <v>0</v>
      </c>
      <c r="CQ49" s="19">
        <f t="shared" si="41"/>
        <v>0</v>
      </c>
      <c r="CR49" s="19">
        <f t="shared" si="42"/>
        <v>0</v>
      </c>
    </row>
    <row r="50" spans="1:96" s="9" customFormat="1" ht="12.75" customHeight="1">
      <c r="A50" s="20"/>
      <c r="B50" s="21"/>
      <c r="C50" s="2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6">
        <f t="shared" si="32"/>
        <v>0</v>
      </c>
      <c r="AP50" s="6">
        <f t="shared" si="33"/>
        <v>0</v>
      </c>
      <c r="AQ50" s="6">
        <f t="shared" si="34"/>
        <v>0</v>
      </c>
      <c r="AR50" s="6">
        <f t="shared" si="35"/>
        <v>0</v>
      </c>
      <c r="AS50" s="6">
        <f t="shared" si="36"/>
        <v>0</v>
      </c>
      <c r="AT50" s="16">
        <f t="shared" si="11"/>
        <v>0</v>
      </c>
      <c r="AU50" s="17" t="str">
        <f>IF(OR(ISNUMBER(FIND({"M";"N";"D"},D50))),"1","")</f>
        <v/>
      </c>
      <c r="AV50" s="17" t="str">
        <f>IF(OR(ISNUMBER(FIND({"M";"N";"D"},E50))),"1","")</f>
        <v/>
      </c>
      <c r="AW50" s="17" t="str">
        <f>IF(OR(ISNUMBER(FIND({"M";"N";"D"},F50))),"1","")</f>
        <v/>
      </c>
      <c r="AX50" s="17" t="str">
        <f>IF(OR(ISNUMBER(FIND({"M";"N";"D"},G50))),"1","")</f>
        <v/>
      </c>
      <c r="AY50" s="17" t="str">
        <f>IF(OR(ISNUMBER(FIND({"M";"N";"D"},H50))),"1","")</f>
        <v/>
      </c>
      <c r="AZ50" s="17" t="str">
        <f>IF(OR(ISNUMBER(FIND({"M";"N";"D"},I50))),"1","")</f>
        <v/>
      </c>
      <c r="BA50" s="17" t="str">
        <f>IF(OR(ISNUMBER(FIND({"M";"N";"D"},J50))),"1","")</f>
        <v/>
      </c>
      <c r="BB50" s="17" t="str">
        <f>IF(OR(ISNUMBER(FIND({"M";"N";"D"},K50))),"1","")</f>
        <v/>
      </c>
      <c r="BC50" s="17" t="str">
        <f>IF(OR(ISNUMBER(FIND({"M";"N";"D"},L50))),"1","")</f>
        <v/>
      </c>
      <c r="BD50" s="17" t="str">
        <f>IF(OR(ISNUMBER(FIND({"M";"N";"D"},M50))),"1","")</f>
        <v/>
      </c>
      <c r="BE50" s="17" t="str">
        <f>IF(OR(ISNUMBER(FIND({"M";"N";"D"},N50))),"1","")</f>
        <v/>
      </c>
      <c r="BF50" s="17" t="str">
        <f>IF(OR(ISNUMBER(FIND({"M";"N";"D"},O50))),"1","")</f>
        <v/>
      </c>
      <c r="BG50" s="17" t="str">
        <f>IF(OR(ISNUMBER(FIND({"M";"N";"D"},P50))),"1","")</f>
        <v/>
      </c>
      <c r="BH50" s="17" t="str">
        <f>IF(OR(ISNUMBER(FIND({"M";"N";"D"},Q50))),"1","")</f>
        <v/>
      </c>
      <c r="BI50" s="17" t="str">
        <f>IF(OR(ISNUMBER(FIND({"M";"N";"D"},R50))),"1","")</f>
        <v/>
      </c>
      <c r="BJ50" s="17" t="str">
        <f>IF(OR(ISNUMBER(FIND({"M";"N";"D"},S50))),"1","")</f>
        <v/>
      </c>
      <c r="BK50" s="17" t="str">
        <f>IF(OR(ISNUMBER(FIND({"M";"N";"D"},T50))),"1","")</f>
        <v/>
      </c>
      <c r="BL50" s="17" t="str">
        <f>IF(OR(ISNUMBER(FIND({"M";"N";"D"},U50))),"1","")</f>
        <v/>
      </c>
      <c r="BM50" s="17" t="str">
        <f>IF(OR(ISNUMBER(FIND({"M";"N";"D"},V50))),"1","")</f>
        <v/>
      </c>
      <c r="BN50" s="17" t="str">
        <f>IF(OR(ISNUMBER(FIND({"M";"N";"D"},W50))),"1","")</f>
        <v/>
      </c>
      <c r="BO50" s="17" t="str">
        <f>IF(OR(ISNUMBER(FIND({"M";"N";"D"},X50))),"1","")</f>
        <v/>
      </c>
      <c r="BP50" s="17" t="str">
        <f>IF(OR(ISNUMBER(FIND({"M";"N";"D"},Y50))),"1","")</f>
        <v/>
      </c>
      <c r="BQ50" s="17" t="str">
        <f>IF(OR(ISNUMBER(FIND({"M";"N";"D"},Z50))),"1","")</f>
        <v/>
      </c>
      <c r="BR50" s="17" t="str">
        <f>IF(OR(ISNUMBER(FIND({"M";"N";"D"},AA50))),"1","")</f>
        <v/>
      </c>
      <c r="BS50" s="17" t="str">
        <f>IF(OR(ISNUMBER(FIND({"M";"N";"D"},AB50))),"1","")</f>
        <v/>
      </c>
      <c r="BT50" s="17" t="str">
        <f>IF(OR(ISNUMBER(FIND({"M";"N";"D"},AC50))),"1","")</f>
        <v/>
      </c>
      <c r="BU50" s="17" t="str">
        <f>IF(OR(ISNUMBER(FIND({"M";"N";"D"},AD50))),"1","")</f>
        <v/>
      </c>
      <c r="BV50" s="17" t="str">
        <f>IF(OR(ISNUMBER(FIND({"M";"N";"D"},AE50))),"1","")</f>
        <v/>
      </c>
      <c r="BW50" s="17" t="str">
        <f>IF(OR(ISNUMBER(FIND({"M";"N";"D"},AF50))),"1","")</f>
        <v/>
      </c>
      <c r="BX50" s="17" t="str">
        <f>IF(OR(ISNUMBER(FIND({"M";"N";"D"},AG50))),"1","")</f>
        <v/>
      </c>
      <c r="BY50" s="17" t="str">
        <f>IF(OR(ISNUMBER(FIND({"M";"N";"D"},AH50))),"1","")</f>
        <v/>
      </c>
      <c r="BZ50" s="17" t="str">
        <f>IF(OR(ISNUMBER(FIND({"M";"N";"D"},AI50))),"1","")</f>
        <v/>
      </c>
      <c r="CA50" s="17" t="str">
        <f>IF(OR(ISNUMBER(FIND({"M";"N";"D"},AJ50))),"1","")</f>
        <v/>
      </c>
      <c r="CB50" s="17" t="str">
        <f>IF(OR(ISNUMBER(FIND({"M";"N";"D"},AK50))),"1","")</f>
        <v/>
      </c>
      <c r="CC50" s="17" t="str">
        <f>IF(OR(ISNUMBER(FIND({"M";"N";"D"},AL50))),"1","")</f>
        <v/>
      </c>
      <c r="CD50" s="17" t="str">
        <f>IF(OR(ISNUMBER(FIND({"M";"N";"D"},AM50))),"1","")</f>
        <v/>
      </c>
      <c r="CE50" s="17" t="str">
        <f>IF(OR(ISNUMBER(FIND({"M";"N";"D"},AN50))),"1","")</f>
        <v/>
      </c>
      <c r="CF50" s="16">
        <f t="array" ref="CF50">MAX(FREQUENCY(IF(AU50:CE50&lt;&gt;"",COLUMN(AU50:CE50)),IF(AU50:CE50="",COLUMN(AU50:CE50))))</f>
        <v>0</v>
      </c>
      <c r="CG50" s="7"/>
      <c r="CH50" s="18">
        <f t="shared" si="37"/>
        <v>0</v>
      </c>
      <c r="CI50" s="8">
        <v>168</v>
      </c>
      <c r="CJ50" s="18">
        <f t="shared" si="5"/>
        <v>-168</v>
      </c>
      <c r="CK50" s="19">
        <f t="shared" si="43"/>
        <v>0</v>
      </c>
      <c r="CL50" s="30">
        <f t="shared" si="14"/>
        <v>0</v>
      </c>
      <c r="CM50" s="30">
        <f t="shared" si="44"/>
        <v>0</v>
      </c>
      <c r="CN50" s="19">
        <f t="shared" si="38"/>
        <v>0</v>
      </c>
      <c r="CO50" s="19">
        <f t="shared" si="39"/>
        <v>0</v>
      </c>
      <c r="CP50" s="19">
        <f t="shared" si="40"/>
        <v>0</v>
      </c>
      <c r="CQ50" s="19">
        <f t="shared" si="41"/>
        <v>0</v>
      </c>
      <c r="CR50" s="19">
        <f t="shared" si="42"/>
        <v>0</v>
      </c>
    </row>
    <row r="51" spans="1:96" s="9" customFormat="1" ht="12.75">
      <c r="A51" s="20"/>
      <c r="B51" s="21"/>
      <c r="C51" s="2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6">
        <f t="shared" si="32"/>
        <v>0</v>
      </c>
      <c r="AP51" s="6">
        <f t="shared" si="33"/>
        <v>0</v>
      </c>
      <c r="AQ51" s="6">
        <f t="shared" si="34"/>
        <v>0</v>
      </c>
      <c r="AR51" s="6">
        <f t="shared" si="35"/>
        <v>0</v>
      </c>
      <c r="AS51" s="6">
        <f t="shared" si="36"/>
        <v>0</v>
      </c>
      <c r="AT51" s="16">
        <f t="shared" si="11"/>
        <v>0</v>
      </c>
      <c r="AU51" s="17" t="str">
        <f>IF(OR(ISNUMBER(FIND({"M";"N";"D"},D51))),"1","")</f>
        <v/>
      </c>
      <c r="AV51" s="17" t="str">
        <f>IF(OR(ISNUMBER(FIND({"M";"N";"D"},E51))),"1","")</f>
        <v/>
      </c>
      <c r="AW51" s="17" t="str">
        <f>IF(OR(ISNUMBER(FIND({"M";"N";"D"},F51))),"1","")</f>
        <v/>
      </c>
      <c r="AX51" s="17" t="str">
        <f>IF(OR(ISNUMBER(FIND({"M";"N";"D"},G51))),"1","")</f>
        <v/>
      </c>
      <c r="AY51" s="17" t="str">
        <f>IF(OR(ISNUMBER(FIND({"M";"N";"D"},H51))),"1","")</f>
        <v/>
      </c>
      <c r="AZ51" s="17" t="str">
        <f>IF(OR(ISNUMBER(FIND({"M";"N";"D"},I51))),"1","")</f>
        <v/>
      </c>
      <c r="BA51" s="17" t="str">
        <f>IF(OR(ISNUMBER(FIND({"M";"N";"D"},J51))),"1","")</f>
        <v/>
      </c>
      <c r="BB51" s="17" t="str">
        <f>IF(OR(ISNUMBER(FIND({"M";"N";"D"},K51))),"1","")</f>
        <v/>
      </c>
      <c r="BC51" s="17" t="str">
        <f>IF(OR(ISNUMBER(FIND({"M";"N";"D"},L51))),"1","")</f>
        <v/>
      </c>
      <c r="BD51" s="17" t="str">
        <f>IF(OR(ISNUMBER(FIND({"M";"N";"D"},M51))),"1","")</f>
        <v/>
      </c>
      <c r="BE51" s="17" t="str">
        <f>IF(OR(ISNUMBER(FIND({"M";"N";"D"},N51))),"1","")</f>
        <v/>
      </c>
      <c r="BF51" s="17" t="str">
        <f>IF(OR(ISNUMBER(FIND({"M";"N";"D"},O51))),"1","")</f>
        <v/>
      </c>
      <c r="BG51" s="17" t="str">
        <f>IF(OR(ISNUMBER(FIND({"M";"N";"D"},P51))),"1","")</f>
        <v/>
      </c>
      <c r="BH51" s="17" t="str">
        <f>IF(OR(ISNUMBER(FIND({"M";"N";"D"},Q51))),"1","")</f>
        <v/>
      </c>
      <c r="BI51" s="17" t="str">
        <f>IF(OR(ISNUMBER(FIND({"M";"N";"D"},R51))),"1","")</f>
        <v/>
      </c>
      <c r="BJ51" s="17" t="str">
        <f>IF(OR(ISNUMBER(FIND({"M";"N";"D"},S51))),"1","")</f>
        <v/>
      </c>
      <c r="BK51" s="17" t="str">
        <f>IF(OR(ISNUMBER(FIND({"M";"N";"D"},T51))),"1","")</f>
        <v/>
      </c>
      <c r="BL51" s="17" t="str">
        <f>IF(OR(ISNUMBER(FIND({"M";"N";"D"},U51))),"1","")</f>
        <v/>
      </c>
      <c r="BM51" s="17" t="str">
        <f>IF(OR(ISNUMBER(FIND({"M";"N";"D"},V51))),"1","")</f>
        <v/>
      </c>
      <c r="BN51" s="17" t="str">
        <f>IF(OR(ISNUMBER(FIND({"M";"N";"D"},W51))),"1","")</f>
        <v/>
      </c>
      <c r="BO51" s="17" t="str">
        <f>IF(OR(ISNUMBER(FIND({"M";"N";"D"},X51))),"1","")</f>
        <v/>
      </c>
      <c r="BP51" s="17" t="str">
        <f>IF(OR(ISNUMBER(FIND({"M";"N";"D"},Y51))),"1","")</f>
        <v/>
      </c>
      <c r="BQ51" s="17" t="str">
        <f>IF(OR(ISNUMBER(FIND({"M";"N";"D"},Z51))),"1","")</f>
        <v/>
      </c>
      <c r="BR51" s="17" t="str">
        <f>IF(OR(ISNUMBER(FIND({"M";"N";"D"},AA51))),"1","")</f>
        <v/>
      </c>
      <c r="BS51" s="17" t="str">
        <f>IF(OR(ISNUMBER(FIND({"M";"N";"D"},AB51))),"1","")</f>
        <v/>
      </c>
      <c r="BT51" s="17" t="str">
        <f>IF(OR(ISNUMBER(FIND({"M";"N";"D"},AC51))),"1","")</f>
        <v/>
      </c>
      <c r="BU51" s="17" t="str">
        <f>IF(OR(ISNUMBER(FIND({"M";"N";"D"},AD51))),"1","")</f>
        <v/>
      </c>
      <c r="BV51" s="17" t="str">
        <f>IF(OR(ISNUMBER(FIND({"M";"N";"D"},AE51))),"1","")</f>
        <v/>
      </c>
      <c r="BW51" s="17" t="str">
        <f>IF(OR(ISNUMBER(FIND({"M";"N";"D"},AF51))),"1","")</f>
        <v/>
      </c>
      <c r="BX51" s="17" t="str">
        <f>IF(OR(ISNUMBER(FIND({"M";"N";"D"},AG51))),"1","")</f>
        <v/>
      </c>
      <c r="BY51" s="17" t="str">
        <f>IF(OR(ISNUMBER(FIND({"M";"N";"D"},AH51))),"1","")</f>
        <v/>
      </c>
      <c r="BZ51" s="17" t="str">
        <f>IF(OR(ISNUMBER(FIND({"M";"N";"D"},AI51))),"1","")</f>
        <v/>
      </c>
      <c r="CA51" s="17" t="str">
        <f>IF(OR(ISNUMBER(FIND({"M";"N";"D"},AJ51))),"1","")</f>
        <v/>
      </c>
      <c r="CB51" s="17" t="str">
        <f>IF(OR(ISNUMBER(FIND({"M";"N";"D"},AK51))),"1","")</f>
        <v/>
      </c>
      <c r="CC51" s="17" t="str">
        <f>IF(OR(ISNUMBER(FIND({"M";"N";"D"},AL51))),"1","")</f>
        <v/>
      </c>
      <c r="CD51" s="17" t="str">
        <f>IF(OR(ISNUMBER(FIND({"M";"N";"D"},AM51))),"1","")</f>
        <v/>
      </c>
      <c r="CE51" s="17" t="str">
        <f>IF(OR(ISNUMBER(FIND({"M";"N";"D"},AN51))),"1","")</f>
        <v/>
      </c>
      <c r="CF51" s="16">
        <f t="array" ref="CF51">MAX(FREQUENCY(IF(AU51:CE51&lt;&gt;"",COLUMN(AU51:CE51)),IF(AU51:CE51="",COLUMN(AU51:CE51))))</f>
        <v>0</v>
      </c>
      <c r="CG51" s="7"/>
      <c r="CH51" s="18">
        <f t="shared" si="37"/>
        <v>0</v>
      </c>
      <c r="CI51" s="8">
        <v>168</v>
      </c>
      <c r="CJ51" s="18">
        <f t="shared" si="5"/>
        <v>-168</v>
      </c>
      <c r="CK51" s="19">
        <f t="shared" si="43"/>
        <v>0</v>
      </c>
      <c r="CL51" s="30">
        <f t="shared" si="14"/>
        <v>0</v>
      </c>
      <c r="CM51" s="30">
        <f t="shared" si="44"/>
        <v>0</v>
      </c>
      <c r="CN51" s="19">
        <f t="shared" si="38"/>
        <v>0</v>
      </c>
      <c r="CO51" s="19">
        <f t="shared" si="39"/>
        <v>0</v>
      </c>
      <c r="CP51" s="19">
        <f t="shared" si="40"/>
        <v>0</v>
      </c>
      <c r="CQ51" s="19">
        <f t="shared" si="41"/>
        <v>0</v>
      </c>
      <c r="CR51" s="19">
        <f t="shared" si="42"/>
        <v>0</v>
      </c>
    </row>
    <row r="52" spans="1:96" s="9" customFormat="1" ht="12.75">
      <c r="A52" s="20"/>
      <c r="B52" s="21"/>
      <c r="C52" s="2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6">
        <f t="shared" si="32"/>
        <v>0</v>
      </c>
      <c r="AP52" s="6">
        <f t="shared" si="33"/>
        <v>0</v>
      </c>
      <c r="AQ52" s="6">
        <f t="shared" si="34"/>
        <v>0</v>
      </c>
      <c r="AR52" s="6">
        <f t="shared" si="35"/>
        <v>0</v>
      </c>
      <c r="AS52" s="6">
        <f t="shared" si="36"/>
        <v>0</v>
      </c>
      <c r="AT52" s="16">
        <f t="shared" si="11"/>
        <v>0</v>
      </c>
      <c r="AU52" s="17" t="str">
        <f>IF(OR(ISNUMBER(FIND({"M";"N";"D"},D52))),"1","")</f>
        <v/>
      </c>
      <c r="AV52" s="17" t="str">
        <f>IF(OR(ISNUMBER(FIND({"M";"N";"D"},E52))),"1","")</f>
        <v/>
      </c>
      <c r="AW52" s="17" t="str">
        <f>IF(OR(ISNUMBER(FIND({"M";"N";"D"},F52))),"1","")</f>
        <v/>
      </c>
      <c r="AX52" s="17" t="str">
        <f>IF(OR(ISNUMBER(FIND({"M";"N";"D"},G52))),"1","")</f>
        <v/>
      </c>
      <c r="AY52" s="17" t="str">
        <f>IF(OR(ISNUMBER(FIND({"M";"N";"D"},H52))),"1","")</f>
        <v/>
      </c>
      <c r="AZ52" s="17" t="str">
        <f>IF(OR(ISNUMBER(FIND({"M";"N";"D"},I52))),"1","")</f>
        <v/>
      </c>
      <c r="BA52" s="17" t="str">
        <f>IF(OR(ISNUMBER(FIND({"M";"N";"D"},J52))),"1","")</f>
        <v/>
      </c>
      <c r="BB52" s="17" t="str">
        <f>IF(OR(ISNUMBER(FIND({"M";"N";"D"},K52))),"1","")</f>
        <v/>
      </c>
      <c r="BC52" s="17" t="str">
        <f>IF(OR(ISNUMBER(FIND({"M";"N";"D"},L52))),"1","")</f>
        <v/>
      </c>
      <c r="BD52" s="17" t="str">
        <f>IF(OR(ISNUMBER(FIND({"M";"N";"D"},M52))),"1","")</f>
        <v/>
      </c>
      <c r="BE52" s="17" t="str">
        <f>IF(OR(ISNUMBER(FIND({"M";"N";"D"},N52))),"1","")</f>
        <v/>
      </c>
      <c r="BF52" s="17" t="str">
        <f>IF(OR(ISNUMBER(FIND({"M";"N";"D"},O52))),"1","")</f>
        <v/>
      </c>
      <c r="BG52" s="17" t="str">
        <f>IF(OR(ISNUMBER(FIND({"M";"N";"D"},P52))),"1","")</f>
        <v/>
      </c>
      <c r="BH52" s="17" t="str">
        <f>IF(OR(ISNUMBER(FIND({"M";"N";"D"},Q52))),"1","")</f>
        <v/>
      </c>
      <c r="BI52" s="17" t="str">
        <f>IF(OR(ISNUMBER(FIND({"M";"N";"D"},R52))),"1","")</f>
        <v/>
      </c>
      <c r="BJ52" s="17" t="str">
        <f>IF(OR(ISNUMBER(FIND({"M";"N";"D"},S52))),"1","")</f>
        <v/>
      </c>
      <c r="BK52" s="17" t="str">
        <f>IF(OR(ISNUMBER(FIND({"M";"N";"D"},T52))),"1","")</f>
        <v/>
      </c>
      <c r="BL52" s="17" t="str">
        <f>IF(OR(ISNUMBER(FIND({"M";"N";"D"},U52))),"1","")</f>
        <v/>
      </c>
      <c r="BM52" s="17" t="str">
        <f>IF(OR(ISNUMBER(FIND({"M";"N";"D"},V52))),"1","")</f>
        <v/>
      </c>
      <c r="BN52" s="17" t="str">
        <f>IF(OR(ISNUMBER(FIND({"M";"N";"D"},W52))),"1","")</f>
        <v/>
      </c>
      <c r="BO52" s="17" t="str">
        <f>IF(OR(ISNUMBER(FIND({"M";"N";"D"},X52))),"1","")</f>
        <v/>
      </c>
      <c r="BP52" s="17" t="str">
        <f>IF(OR(ISNUMBER(FIND({"M";"N";"D"},Y52))),"1","")</f>
        <v/>
      </c>
      <c r="BQ52" s="17" t="str">
        <f>IF(OR(ISNUMBER(FIND({"M";"N";"D"},Z52))),"1","")</f>
        <v/>
      </c>
      <c r="BR52" s="17" t="str">
        <f>IF(OR(ISNUMBER(FIND({"M";"N";"D"},AA52))),"1","")</f>
        <v/>
      </c>
      <c r="BS52" s="17" t="str">
        <f>IF(OR(ISNUMBER(FIND({"M";"N";"D"},AB52))),"1","")</f>
        <v/>
      </c>
      <c r="BT52" s="17" t="str">
        <f>IF(OR(ISNUMBER(FIND({"M";"N";"D"},AC52))),"1","")</f>
        <v/>
      </c>
      <c r="BU52" s="17" t="str">
        <f>IF(OR(ISNUMBER(FIND({"M";"N";"D"},AD52))),"1","")</f>
        <v/>
      </c>
      <c r="BV52" s="17" t="str">
        <f>IF(OR(ISNUMBER(FIND({"M";"N";"D"},AE52))),"1","")</f>
        <v/>
      </c>
      <c r="BW52" s="17" t="str">
        <f>IF(OR(ISNUMBER(FIND({"M";"N";"D"},AF52))),"1","")</f>
        <v/>
      </c>
      <c r="BX52" s="17" t="str">
        <f>IF(OR(ISNUMBER(FIND({"M";"N";"D"},AG52))),"1","")</f>
        <v/>
      </c>
      <c r="BY52" s="17" t="str">
        <f>IF(OR(ISNUMBER(FIND({"M";"N";"D"},AH52))),"1","")</f>
        <v/>
      </c>
      <c r="BZ52" s="17" t="str">
        <f>IF(OR(ISNUMBER(FIND({"M";"N";"D"},AI52))),"1","")</f>
        <v/>
      </c>
      <c r="CA52" s="17" t="str">
        <f>IF(OR(ISNUMBER(FIND({"M";"N";"D"},AJ52))),"1","")</f>
        <v/>
      </c>
      <c r="CB52" s="17" t="str">
        <f>IF(OR(ISNUMBER(FIND({"M";"N";"D"},AK52))),"1","")</f>
        <v/>
      </c>
      <c r="CC52" s="17" t="str">
        <f>IF(OR(ISNUMBER(FIND({"M";"N";"D"},AL52))),"1","")</f>
        <v/>
      </c>
      <c r="CD52" s="17" t="str">
        <f>IF(OR(ISNUMBER(FIND({"M";"N";"D"},AM52))),"1","")</f>
        <v/>
      </c>
      <c r="CE52" s="17" t="str">
        <f>IF(OR(ISNUMBER(FIND({"M";"N";"D"},AN52))),"1","")</f>
        <v/>
      </c>
      <c r="CF52" s="16">
        <f t="array" ref="CF52">MAX(FREQUENCY(IF(AU52:CE52&lt;&gt;"",COLUMN(AU52:CE52)),IF(AU52:CE52="",COLUMN(AU52:CE52))))</f>
        <v>0</v>
      </c>
      <c r="CG52" s="7"/>
      <c r="CH52" s="18">
        <f t="shared" si="37"/>
        <v>0</v>
      </c>
      <c r="CI52" s="8">
        <v>168</v>
      </c>
      <c r="CJ52" s="18">
        <f t="shared" si="5"/>
        <v>-168</v>
      </c>
      <c r="CK52" s="19">
        <f t="shared" si="43"/>
        <v>0</v>
      </c>
      <c r="CL52" s="30">
        <f t="shared" si="14"/>
        <v>0</v>
      </c>
      <c r="CM52" s="30">
        <f t="shared" si="44"/>
        <v>0</v>
      </c>
      <c r="CN52" s="19">
        <f t="shared" si="38"/>
        <v>0</v>
      </c>
      <c r="CO52" s="19">
        <f t="shared" si="39"/>
        <v>0</v>
      </c>
      <c r="CP52" s="19">
        <f t="shared" si="40"/>
        <v>0</v>
      </c>
      <c r="CQ52" s="19">
        <f t="shared" si="41"/>
        <v>0</v>
      </c>
      <c r="CR52" s="19">
        <f t="shared" si="42"/>
        <v>0</v>
      </c>
    </row>
    <row r="53" spans="1:96" s="9" customFormat="1" ht="12.75" customHeight="1">
      <c r="A53" s="20"/>
      <c r="B53" s="21"/>
      <c r="C53" s="2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6">
        <f t="shared" si="32"/>
        <v>0</v>
      </c>
      <c r="AP53" s="6">
        <f t="shared" si="33"/>
        <v>0</v>
      </c>
      <c r="AQ53" s="6">
        <f t="shared" si="34"/>
        <v>0</v>
      </c>
      <c r="AR53" s="6">
        <f t="shared" si="35"/>
        <v>0</v>
      </c>
      <c r="AS53" s="6">
        <f t="shared" si="36"/>
        <v>0</v>
      </c>
      <c r="AT53" s="16">
        <f t="shared" si="11"/>
        <v>0</v>
      </c>
      <c r="AU53" s="17" t="str">
        <f>IF(OR(ISNUMBER(FIND({"M";"N";"D"},D53))),"1","")</f>
        <v/>
      </c>
      <c r="AV53" s="17" t="str">
        <f>IF(OR(ISNUMBER(FIND({"M";"N";"D"},E53))),"1","")</f>
        <v/>
      </c>
      <c r="AW53" s="17" t="str">
        <f>IF(OR(ISNUMBER(FIND({"M";"N";"D"},F53))),"1","")</f>
        <v/>
      </c>
      <c r="AX53" s="17" t="str">
        <f>IF(OR(ISNUMBER(FIND({"M";"N";"D"},G53))),"1","")</f>
        <v/>
      </c>
      <c r="AY53" s="17" t="str">
        <f>IF(OR(ISNUMBER(FIND({"M";"N";"D"},H53))),"1","")</f>
        <v/>
      </c>
      <c r="AZ53" s="17" t="str">
        <f>IF(OR(ISNUMBER(FIND({"M";"N";"D"},I53))),"1","")</f>
        <v/>
      </c>
      <c r="BA53" s="17" t="str">
        <f>IF(OR(ISNUMBER(FIND({"M";"N";"D"},J53))),"1","")</f>
        <v/>
      </c>
      <c r="BB53" s="17" t="str">
        <f>IF(OR(ISNUMBER(FIND({"M";"N";"D"},K53))),"1","")</f>
        <v/>
      </c>
      <c r="BC53" s="17" t="str">
        <f>IF(OR(ISNUMBER(FIND({"M";"N";"D"},L53))),"1","")</f>
        <v/>
      </c>
      <c r="BD53" s="17" t="str">
        <f>IF(OR(ISNUMBER(FIND({"M";"N";"D"},M53))),"1","")</f>
        <v/>
      </c>
      <c r="BE53" s="17" t="str">
        <f>IF(OR(ISNUMBER(FIND({"M";"N";"D"},N53))),"1","")</f>
        <v/>
      </c>
      <c r="BF53" s="17" t="str">
        <f>IF(OR(ISNUMBER(FIND({"M";"N";"D"},O53))),"1","")</f>
        <v/>
      </c>
      <c r="BG53" s="17" t="str">
        <f>IF(OR(ISNUMBER(FIND({"M";"N";"D"},P53))),"1","")</f>
        <v/>
      </c>
      <c r="BH53" s="17" t="str">
        <f>IF(OR(ISNUMBER(FIND({"M";"N";"D"},Q53))),"1","")</f>
        <v/>
      </c>
      <c r="BI53" s="17" t="str">
        <f>IF(OR(ISNUMBER(FIND({"M";"N";"D"},R53))),"1","")</f>
        <v/>
      </c>
      <c r="BJ53" s="17" t="str">
        <f>IF(OR(ISNUMBER(FIND({"M";"N";"D"},S53))),"1","")</f>
        <v/>
      </c>
      <c r="BK53" s="17" t="str">
        <f>IF(OR(ISNUMBER(FIND({"M";"N";"D"},T53))),"1","")</f>
        <v/>
      </c>
      <c r="BL53" s="17" t="str">
        <f>IF(OR(ISNUMBER(FIND({"M";"N";"D"},U53))),"1","")</f>
        <v/>
      </c>
      <c r="BM53" s="17" t="str">
        <f>IF(OR(ISNUMBER(FIND({"M";"N";"D"},V53))),"1","")</f>
        <v/>
      </c>
      <c r="BN53" s="17" t="str">
        <f>IF(OR(ISNUMBER(FIND({"M";"N";"D"},W53))),"1","")</f>
        <v/>
      </c>
      <c r="BO53" s="17" t="str">
        <f>IF(OR(ISNUMBER(FIND({"M";"N";"D"},X53))),"1","")</f>
        <v/>
      </c>
      <c r="BP53" s="17" t="str">
        <f>IF(OR(ISNUMBER(FIND({"M";"N";"D"},Y53))),"1","")</f>
        <v/>
      </c>
      <c r="BQ53" s="17" t="str">
        <f>IF(OR(ISNUMBER(FIND({"M";"N";"D"},Z53))),"1","")</f>
        <v/>
      </c>
      <c r="BR53" s="17" t="str">
        <f>IF(OR(ISNUMBER(FIND({"M";"N";"D"},AA53))),"1","")</f>
        <v/>
      </c>
      <c r="BS53" s="17" t="str">
        <f>IF(OR(ISNUMBER(FIND({"M";"N";"D"},AB53))),"1","")</f>
        <v/>
      </c>
      <c r="BT53" s="17" t="str">
        <f>IF(OR(ISNUMBER(FIND({"M";"N";"D"},AC53))),"1","")</f>
        <v/>
      </c>
      <c r="BU53" s="17" t="str">
        <f>IF(OR(ISNUMBER(FIND({"M";"N";"D"},AD53))),"1","")</f>
        <v/>
      </c>
      <c r="BV53" s="17" t="str">
        <f>IF(OR(ISNUMBER(FIND({"M";"N";"D"},AE53))),"1","")</f>
        <v/>
      </c>
      <c r="BW53" s="17" t="str">
        <f>IF(OR(ISNUMBER(FIND({"M";"N";"D"},AF53))),"1","")</f>
        <v/>
      </c>
      <c r="BX53" s="17" t="str">
        <f>IF(OR(ISNUMBER(FIND({"M";"N";"D"},AG53))),"1","")</f>
        <v/>
      </c>
      <c r="BY53" s="17" t="str">
        <f>IF(OR(ISNUMBER(FIND({"M";"N";"D"},AH53))),"1","")</f>
        <v/>
      </c>
      <c r="BZ53" s="17" t="str">
        <f>IF(OR(ISNUMBER(FIND({"M";"N";"D"},AI53))),"1","")</f>
        <v/>
      </c>
      <c r="CA53" s="17" t="str">
        <f>IF(OR(ISNUMBER(FIND({"M";"N";"D"},AJ53))),"1","")</f>
        <v/>
      </c>
      <c r="CB53" s="17" t="str">
        <f>IF(OR(ISNUMBER(FIND({"M";"N";"D"},AK53))),"1","")</f>
        <v/>
      </c>
      <c r="CC53" s="17" t="str">
        <f>IF(OR(ISNUMBER(FIND({"M";"N";"D"},AL53))),"1","")</f>
        <v/>
      </c>
      <c r="CD53" s="17" t="str">
        <f>IF(OR(ISNUMBER(FIND({"M";"N";"D"},AM53))),"1","")</f>
        <v/>
      </c>
      <c r="CE53" s="17" t="str">
        <f>IF(OR(ISNUMBER(FIND({"M";"N";"D"},AN53))),"1","")</f>
        <v/>
      </c>
      <c r="CF53" s="16">
        <f t="array" ref="CF53">MAX(FREQUENCY(IF(AU53:CE53&lt;&gt;"",COLUMN(AU53:CE53)),IF(AU53:CE53="",COLUMN(AU53:CE53))))</f>
        <v>0</v>
      </c>
      <c r="CG53" s="7"/>
      <c r="CH53" s="18">
        <f t="shared" si="37"/>
        <v>0</v>
      </c>
      <c r="CI53" s="8">
        <v>168</v>
      </c>
      <c r="CJ53" s="18">
        <f t="shared" si="5"/>
        <v>-168</v>
      </c>
      <c r="CK53" s="19">
        <f t="shared" si="43"/>
        <v>0</v>
      </c>
      <c r="CL53" s="30">
        <f t="shared" si="14"/>
        <v>0</v>
      </c>
      <c r="CM53" s="30">
        <f t="shared" si="44"/>
        <v>0</v>
      </c>
      <c r="CN53" s="19">
        <f t="shared" si="38"/>
        <v>0</v>
      </c>
      <c r="CO53" s="19">
        <f t="shared" si="39"/>
        <v>0</v>
      </c>
      <c r="CP53" s="19">
        <f t="shared" si="40"/>
        <v>0</v>
      </c>
      <c r="CQ53" s="19">
        <f t="shared" si="41"/>
        <v>0</v>
      </c>
      <c r="CR53" s="19">
        <f t="shared" si="42"/>
        <v>0</v>
      </c>
    </row>
    <row r="54" spans="1:96" s="9" customFormat="1" ht="12.75">
      <c r="A54" s="20"/>
      <c r="B54" s="21"/>
      <c r="C54" s="2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6">
        <f t="shared" si="32"/>
        <v>0</v>
      </c>
      <c r="AP54" s="6">
        <f t="shared" si="33"/>
        <v>0</v>
      </c>
      <c r="AQ54" s="6">
        <f t="shared" si="34"/>
        <v>0</v>
      </c>
      <c r="AR54" s="6">
        <f t="shared" si="35"/>
        <v>0</v>
      </c>
      <c r="AS54" s="6">
        <f t="shared" si="36"/>
        <v>0</v>
      </c>
      <c r="AT54" s="16">
        <f t="shared" si="11"/>
        <v>0</v>
      </c>
      <c r="AU54" s="17" t="str">
        <f>IF(OR(ISNUMBER(FIND({"M";"N";"D"},D54))),"1","")</f>
        <v/>
      </c>
      <c r="AV54" s="17" t="str">
        <f>IF(OR(ISNUMBER(FIND({"M";"N";"D"},E54))),"1","")</f>
        <v/>
      </c>
      <c r="AW54" s="17" t="str">
        <f>IF(OR(ISNUMBER(FIND({"M";"N";"D"},F54))),"1","")</f>
        <v/>
      </c>
      <c r="AX54" s="17" t="str">
        <f>IF(OR(ISNUMBER(FIND({"M";"N";"D"},G54))),"1","")</f>
        <v/>
      </c>
      <c r="AY54" s="17" t="str">
        <f>IF(OR(ISNUMBER(FIND({"M";"N";"D"},H54))),"1","")</f>
        <v/>
      </c>
      <c r="AZ54" s="17" t="str">
        <f>IF(OR(ISNUMBER(FIND({"M";"N";"D"},I54))),"1","")</f>
        <v/>
      </c>
      <c r="BA54" s="17" t="str">
        <f>IF(OR(ISNUMBER(FIND({"M";"N";"D"},J54))),"1","")</f>
        <v/>
      </c>
      <c r="BB54" s="17" t="str">
        <f>IF(OR(ISNUMBER(FIND({"M";"N";"D"},K54))),"1","")</f>
        <v/>
      </c>
      <c r="BC54" s="17" t="str">
        <f>IF(OR(ISNUMBER(FIND({"M";"N";"D"},L54))),"1","")</f>
        <v/>
      </c>
      <c r="BD54" s="17" t="str">
        <f>IF(OR(ISNUMBER(FIND({"M";"N";"D"},M54))),"1","")</f>
        <v/>
      </c>
      <c r="BE54" s="17" t="str">
        <f>IF(OR(ISNUMBER(FIND({"M";"N";"D"},N54))),"1","")</f>
        <v/>
      </c>
      <c r="BF54" s="17" t="str">
        <f>IF(OR(ISNUMBER(FIND({"M";"N";"D"},O54))),"1","")</f>
        <v/>
      </c>
      <c r="BG54" s="17" t="str">
        <f>IF(OR(ISNUMBER(FIND({"M";"N";"D"},P54))),"1","")</f>
        <v/>
      </c>
      <c r="BH54" s="17" t="str">
        <f>IF(OR(ISNUMBER(FIND({"M";"N";"D"},Q54))),"1","")</f>
        <v/>
      </c>
      <c r="BI54" s="17" t="str">
        <f>IF(OR(ISNUMBER(FIND({"M";"N";"D"},R54))),"1","")</f>
        <v/>
      </c>
      <c r="BJ54" s="17" t="str">
        <f>IF(OR(ISNUMBER(FIND({"M";"N";"D"},S54))),"1","")</f>
        <v/>
      </c>
      <c r="BK54" s="17" t="str">
        <f>IF(OR(ISNUMBER(FIND({"M";"N";"D"},T54))),"1","")</f>
        <v/>
      </c>
      <c r="BL54" s="17" t="str">
        <f>IF(OR(ISNUMBER(FIND({"M";"N";"D"},U54))),"1","")</f>
        <v/>
      </c>
      <c r="BM54" s="17" t="str">
        <f>IF(OR(ISNUMBER(FIND({"M";"N";"D"},V54))),"1","")</f>
        <v/>
      </c>
      <c r="BN54" s="17" t="str">
        <f>IF(OR(ISNUMBER(FIND({"M";"N";"D"},W54))),"1","")</f>
        <v/>
      </c>
      <c r="BO54" s="17" t="str">
        <f>IF(OR(ISNUMBER(FIND({"M";"N";"D"},X54))),"1","")</f>
        <v/>
      </c>
      <c r="BP54" s="17" t="str">
        <f>IF(OR(ISNUMBER(FIND({"M";"N";"D"},Y54))),"1","")</f>
        <v/>
      </c>
      <c r="BQ54" s="17" t="str">
        <f>IF(OR(ISNUMBER(FIND({"M";"N";"D"},Z54))),"1","")</f>
        <v/>
      </c>
      <c r="BR54" s="17" t="str">
        <f>IF(OR(ISNUMBER(FIND({"M";"N";"D"},AA54))),"1","")</f>
        <v/>
      </c>
      <c r="BS54" s="17" t="str">
        <f>IF(OR(ISNUMBER(FIND({"M";"N";"D"},AB54))),"1","")</f>
        <v/>
      </c>
      <c r="BT54" s="17" t="str">
        <f>IF(OR(ISNUMBER(FIND({"M";"N";"D"},AC54))),"1","")</f>
        <v/>
      </c>
      <c r="BU54" s="17" t="str">
        <f>IF(OR(ISNUMBER(FIND({"M";"N";"D"},AD54))),"1","")</f>
        <v/>
      </c>
      <c r="BV54" s="17" t="str">
        <f>IF(OR(ISNUMBER(FIND({"M";"N";"D"},AE54))),"1","")</f>
        <v/>
      </c>
      <c r="BW54" s="17" t="str">
        <f>IF(OR(ISNUMBER(FIND({"M";"N";"D"},AF54))),"1","")</f>
        <v/>
      </c>
      <c r="BX54" s="17" t="str">
        <f>IF(OR(ISNUMBER(FIND({"M";"N";"D"},AG54))),"1","")</f>
        <v/>
      </c>
      <c r="BY54" s="17" t="str">
        <f>IF(OR(ISNUMBER(FIND({"M";"N";"D"},AH54))),"1","")</f>
        <v/>
      </c>
      <c r="BZ54" s="17" t="str">
        <f>IF(OR(ISNUMBER(FIND({"M";"N";"D"},AI54))),"1","")</f>
        <v/>
      </c>
      <c r="CA54" s="17" t="str">
        <f>IF(OR(ISNUMBER(FIND({"M";"N";"D"},AJ54))),"1","")</f>
        <v/>
      </c>
      <c r="CB54" s="17" t="str">
        <f>IF(OR(ISNUMBER(FIND({"M";"N";"D"},AK54))),"1","")</f>
        <v/>
      </c>
      <c r="CC54" s="17" t="str">
        <f>IF(OR(ISNUMBER(FIND({"M";"N";"D"},AL54))),"1","")</f>
        <v/>
      </c>
      <c r="CD54" s="17" t="str">
        <f>IF(OR(ISNUMBER(FIND({"M";"N";"D"},AM54))),"1","")</f>
        <v/>
      </c>
      <c r="CE54" s="17" t="str">
        <f>IF(OR(ISNUMBER(FIND({"M";"N";"D"},AN54))),"1","")</f>
        <v/>
      </c>
      <c r="CF54" s="16">
        <f t="array" ref="CF54">MAX(FREQUENCY(IF(AU54:CE54&lt;&gt;"",COLUMN(AU54:CE54)),IF(AU54:CE54="",COLUMN(AU54:CE54))))</f>
        <v>0</v>
      </c>
      <c r="CG54" s="7"/>
      <c r="CH54" s="18">
        <f t="shared" si="37"/>
        <v>0</v>
      </c>
      <c r="CI54" s="8">
        <v>168</v>
      </c>
      <c r="CJ54" s="18">
        <f t="shared" si="5"/>
        <v>-168</v>
      </c>
      <c r="CK54" s="19">
        <f t="shared" si="43"/>
        <v>0</v>
      </c>
      <c r="CL54" s="30">
        <f t="shared" si="14"/>
        <v>0</v>
      </c>
      <c r="CM54" s="30">
        <f t="shared" si="44"/>
        <v>0</v>
      </c>
      <c r="CN54" s="19">
        <f t="shared" si="38"/>
        <v>0</v>
      </c>
      <c r="CO54" s="19">
        <f t="shared" si="39"/>
        <v>0</v>
      </c>
      <c r="CP54" s="19">
        <f t="shared" si="40"/>
        <v>0</v>
      </c>
      <c r="CQ54" s="19">
        <f t="shared" si="41"/>
        <v>0</v>
      </c>
      <c r="CR54" s="19">
        <f t="shared" si="42"/>
        <v>0</v>
      </c>
    </row>
    <row r="55" spans="1:96" s="9" customFormat="1" ht="12.75">
      <c r="A55" s="20"/>
      <c r="B55" s="21"/>
      <c r="C55" s="21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6">
        <f t="shared" si="32"/>
        <v>0</v>
      </c>
      <c r="AP55" s="6">
        <f t="shared" si="33"/>
        <v>0</v>
      </c>
      <c r="AQ55" s="6">
        <f t="shared" si="34"/>
        <v>0</v>
      </c>
      <c r="AR55" s="6">
        <f t="shared" si="35"/>
        <v>0</v>
      </c>
      <c r="AS55" s="6">
        <f t="shared" si="36"/>
        <v>0</v>
      </c>
      <c r="AT55" s="16">
        <f t="shared" si="11"/>
        <v>0</v>
      </c>
      <c r="AU55" s="17" t="str">
        <f>IF(OR(ISNUMBER(FIND({"M";"N";"D"},D55))),"1","")</f>
        <v/>
      </c>
      <c r="AV55" s="17" t="str">
        <f>IF(OR(ISNUMBER(FIND({"M";"N";"D"},E55))),"1","")</f>
        <v/>
      </c>
      <c r="AW55" s="17" t="str">
        <f>IF(OR(ISNUMBER(FIND({"M";"N";"D"},F55))),"1","")</f>
        <v/>
      </c>
      <c r="AX55" s="17" t="str">
        <f>IF(OR(ISNUMBER(FIND({"M";"N";"D"},G55))),"1","")</f>
        <v/>
      </c>
      <c r="AY55" s="17" t="str">
        <f>IF(OR(ISNUMBER(FIND({"M";"N";"D"},H55))),"1","")</f>
        <v/>
      </c>
      <c r="AZ55" s="17" t="str">
        <f>IF(OR(ISNUMBER(FIND({"M";"N";"D"},I55))),"1","")</f>
        <v/>
      </c>
      <c r="BA55" s="17" t="str">
        <f>IF(OR(ISNUMBER(FIND({"M";"N";"D"},J55))),"1","")</f>
        <v/>
      </c>
      <c r="BB55" s="17" t="str">
        <f>IF(OR(ISNUMBER(FIND({"M";"N";"D"},K55))),"1","")</f>
        <v/>
      </c>
      <c r="BC55" s="17" t="str">
        <f>IF(OR(ISNUMBER(FIND({"M";"N";"D"},L55))),"1","")</f>
        <v/>
      </c>
      <c r="BD55" s="17" t="str">
        <f>IF(OR(ISNUMBER(FIND({"M";"N";"D"},M55))),"1","")</f>
        <v/>
      </c>
      <c r="BE55" s="17" t="str">
        <f>IF(OR(ISNUMBER(FIND({"M";"N";"D"},N55))),"1","")</f>
        <v/>
      </c>
      <c r="BF55" s="17" t="str">
        <f>IF(OR(ISNUMBER(FIND({"M";"N";"D"},O55))),"1","")</f>
        <v/>
      </c>
      <c r="BG55" s="17" t="str">
        <f>IF(OR(ISNUMBER(FIND({"M";"N";"D"},P55))),"1","")</f>
        <v/>
      </c>
      <c r="BH55" s="17" t="str">
        <f>IF(OR(ISNUMBER(FIND({"M";"N";"D"},Q55))),"1","")</f>
        <v/>
      </c>
      <c r="BI55" s="17" t="str">
        <f>IF(OR(ISNUMBER(FIND({"M";"N";"D"},R55))),"1","")</f>
        <v/>
      </c>
      <c r="BJ55" s="17" t="str">
        <f>IF(OR(ISNUMBER(FIND({"M";"N";"D"},S55))),"1","")</f>
        <v/>
      </c>
      <c r="BK55" s="17" t="str">
        <f>IF(OR(ISNUMBER(FIND({"M";"N";"D"},T55))),"1","")</f>
        <v/>
      </c>
      <c r="BL55" s="17" t="str">
        <f>IF(OR(ISNUMBER(FIND({"M";"N";"D"},U55))),"1","")</f>
        <v/>
      </c>
      <c r="BM55" s="17" t="str">
        <f>IF(OR(ISNUMBER(FIND({"M";"N";"D"},V55))),"1","")</f>
        <v/>
      </c>
      <c r="BN55" s="17" t="str">
        <f>IF(OR(ISNUMBER(FIND({"M";"N";"D"},W55))),"1","")</f>
        <v/>
      </c>
      <c r="BO55" s="17" t="str">
        <f>IF(OR(ISNUMBER(FIND({"M";"N";"D"},X55))),"1","")</f>
        <v/>
      </c>
      <c r="BP55" s="17" t="str">
        <f>IF(OR(ISNUMBER(FIND({"M";"N";"D"},Y55))),"1","")</f>
        <v/>
      </c>
      <c r="BQ55" s="17" t="str">
        <f>IF(OR(ISNUMBER(FIND({"M";"N";"D"},Z55))),"1","")</f>
        <v/>
      </c>
      <c r="BR55" s="17" t="str">
        <f>IF(OR(ISNUMBER(FIND({"M";"N";"D"},AA55))),"1","")</f>
        <v/>
      </c>
      <c r="BS55" s="17" t="str">
        <f>IF(OR(ISNUMBER(FIND({"M";"N";"D"},AB55))),"1","")</f>
        <v/>
      </c>
      <c r="BT55" s="17" t="str">
        <f>IF(OR(ISNUMBER(FIND({"M";"N";"D"},AC55))),"1","")</f>
        <v/>
      </c>
      <c r="BU55" s="17" t="str">
        <f>IF(OR(ISNUMBER(FIND({"M";"N";"D"},AD55))),"1","")</f>
        <v/>
      </c>
      <c r="BV55" s="17" t="str">
        <f>IF(OR(ISNUMBER(FIND({"M";"N";"D"},AE55))),"1","")</f>
        <v/>
      </c>
      <c r="BW55" s="17" t="str">
        <f>IF(OR(ISNUMBER(FIND({"M";"N";"D"},AF55))),"1","")</f>
        <v/>
      </c>
      <c r="BX55" s="17" t="str">
        <f>IF(OR(ISNUMBER(FIND({"M";"N";"D"},AG55))),"1","")</f>
        <v/>
      </c>
      <c r="BY55" s="17" t="str">
        <f>IF(OR(ISNUMBER(FIND({"M";"N";"D"},AH55))),"1","")</f>
        <v/>
      </c>
      <c r="BZ55" s="17" t="str">
        <f>IF(OR(ISNUMBER(FIND({"M";"N";"D"},AI55))),"1","")</f>
        <v/>
      </c>
      <c r="CA55" s="17" t="str">
        <f>IF(OR(ISNUMBER(FIND({"M";"N";"D"},AJ55))),"1","")</f>
        <v/>
      </c>
      <c r="CB55" s="17" t="str">
        <f>IF(OR(ISNUMBER(FIND({"M";"N";"D"},AK55))),"1","")</f>
        <v/>
      </c>
      <c r="CC55" s="17" t="str">
        <f>IF(OR(ISNUMBER(FIND({"M";"N";"D"},AL55))),"1","")</f>
        <v/>
      </c>
      <c r="CD55" s="17" t="str">
        <f>IF(OR(ISNUMBER(FIND({"M";"N";"D"},AM55))),"1","")</f>
        <v/>
      </c>
      <c r="CE55" s="17" t="str">
        <f>IF(OR(ISNUMBER(FIND({"M";"N";"D"},AN55))),"1","")</f>
        <v/>
      </c>
      <c r="CF55" s="16">
        <f t="array" ref="CF55">MAX(FREQUENCY(IF(AU55:CE55&lt;&gt;"",COLUMN(AU55:CE55)),IF(AU55:CE55="",COLUMN(AU55:CE55))))</f>
        <v>0</v>
      </c>
      <c r="CG55" s="7"/>
      <c r="CH55" s="18">
        <f t="shared" si="37"/>
        <v>0</v>
      </c>
      <c r="CI55" s="8">
        <v>168</v>
      </c>
      <c r="CJ55" s="18">
        <f t="shared" si="5"/>
        <v>-168</v>
      </c>
      <c r="CK55" s="19">
        <f t="shared" si="43"/>
        <v>0</v>
      </c>
      <c r="CL55" s="30">
        <f t="shared" si="14"/>
        <v>0</v>
      </c>
      <c r="CM55" s="30">
        <f t="shared" si="44"/>
        <v>0</v>
      </c>
      <c r="CN55" s="19">
        <f t="shared" si="38"/>
        <v>0</v>
      </c>
      <c r="CO55" s="19">
        <f t="shared" si="39"/>
        <v>0</v>
      </c>
      <c r="CP55" s="19">
        <f t="shared" si="40"/>
        <v>0</v>
      </c>
      <c r="CQ55" s="19">
        <f t="shared" si="41"/>
        <v>0</v>
      </c>
      <c r="CR55" s="19">
        <f t="shared" si="42"/>
        <v>0</v>
      </c>
    </row>
    <row r="56" spans="1:96" s="9" customFormat="1" ht="12.75" customHeight="1">
      <c r="A56" s="20"/>
      <c r="B56" s="21"/>
      <c r="C56" s="2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6">
        <f t="shared" si="32"/>
        <v>0</v>
      </c>
      <c r="AP56" s="6">
        <f t="shared" si="33"/>
        <v>0</v>
      </c>
      <c r="AQ56" s="6">
        <f t="shared" si="34"/>
        <v>0</v>
      </c>
      <c r="AR56" s="6">
        <f t="shared" si="35"/>
        <v>0</v>
      </c>
      <c r="AS56" s="6">
        <f t="shared" si="36"/>
        <v>0</v>
      </c>
      <c r="AT56" s="16">
        <f t="shared" si="11"/>
        <v>0</v>
      </c>
      <c r="AU56" s="17" t="str">
        <f>IF(OR(ISNUMBER(FIND({"M";"N";"D"},D56))),"1","")</f>
        <v/>
      </c>
      <c r="AV56" s="17" t="str">
        <f>IF(OR(ISNUMBER(FIND({"M";"N";"D"},E56))),"1","")</f>
        <v/>
      </c>
      <c r="AW56" s="17" t="str">
        <f>IF(OR(ISNUMBER(FIND({"M";"N";"D"},F56))),"1","")</f>
        <v/>
      </c>
      <c r="AX56" s="17" t="str">
        <f>IF(OR(ISNUMBER(FIND({"M";"N";"D"},G56))),"1","")</f>
        <v/>
      </c>
      <c r="AY56" s="17" t="str">
        <f>IF(OR(ISNUMBER(FIND({"M";"N";"D"},H56))),"1","")</f>
        <v/>
      </c>
      <c r="AZ56" s="17" t="str">
        <f>IF(OR(ISNUMBER(FIND({"M";"N";"D"},I56))),"1","")</f>
        <v/>
      </c>
      <c r="BA56" s="17" t="str">
        <f>IF(OR(ISNUMBER(FIND({"M";"N";"D"},J56))),"1","")</f>
        <v/>
      </c>
      <c r="BB56" s="17" t="str">
        <f>IF(OR(ISNUMBER(FIND({"M";"N";"D"},K56))),"1","")</f>
        <v/>
      </c>
      <c r="BC56" s="17" t="str">
        <f>IF(OR(ISNUMBER(FIND({"M";"N";"D"},L56))),"1","")</f>
        <v/>
      </c>
      <c r="BD56" s="17" t="str">
        <f>IF(OR(ISNUMBER(FIND({"M";"N";"D"},M56))),"1","")</f>
        <v/>
      </c>
      <c r="BE56" s="17" t="str">
        <f>IF(OR(ISNUMBER(FIND({"M";"N";"D"},N56))),"1","")</f>
        <v/>
      </c>
      <c r="BF56" s="17" t="str">
        <f>IF(OR(ISNUMBER(FIND({"M";"N";"D"},O56))),"1","")</f>
        <v/>
      </c>
      <c r="BG56" s="17" t="str">
        <f>IF(OR(ISNUMBER(FIND({"M";"N";"D"},P56))),"1","")</f>
        <v/>
      </c>
      <c r="BH56" s="17" t="str">
        <f>IF(OR(ISNUMBER(FIND({"M";"N";"D"},Q56))),"1","")</f>
        <v/>
      </c>
      <c r="BI56" s="17" t="str">
        <f>IF(OR(ISNUMBER(FIND({"M";"N";"D"},R56))),"1","")</f>
        <v/>
      </c>
      <c r="BJ56" s="17" t="str">
        <f>IF(OR(ISNUMBER(FIND({"M";"N";"D"},S56))),"1","")</f>
        <v/>
      </c>
      <c r="BK56" s="17" t="str">
        <f>IF(OR(ISNUMBER(FIND({"M";"N";"D"},T56))),"1","")</f>
        <v/>
      </c>
      <c r="BL56" s="17" t="str">
        <f>IF(OR(ISNUMBER(FIND({"M";"N";"D"},U56))),"1","")</f>
        <v/>
      </c>
      <c r="BM56" s="17" t="str">
        <f>IF(OR(ISNUMBER(FIND({"M";"N";"D"},V56))),"1","")</f>
        <v/>
      </c>
      <c r="BN56" s="17" t="str">
        <f>IF(OR(ISNUMBER(FIND({"M";"N";"D"},W56))),"1","")</f>
        <v/>
      </c>
      <c r="BO56" s="17" t="str">
        <f>IF(OR(ISNUMBER(FIND({"M";"N";"D"},X56))),"1","")</f>
        <v/>
      </c>
      <c r="BP56" s="17" t="str">
        <f>IF(OR(ISNUMBER(FIND({"M";"N";"D"},Y56))),"1","")</f>
        <v/>
      </c>
      <c r="BQ56" s="17" t="str">
        <f>IF(OR(ISNUMBER(FIND({"M";"N";"D"},Z56))),"1","")</f>
        <v/>
      </c>
      <c r="BR56" s="17" t="str">
        <f>IF(OR(ISNUMBER(FIND({"M";"N";"D"},AA56))),"1","")</f>
        <v/>
      </c>
      <c r="BS56" s="17" t="str">
        <f>IF(OR(ISNUMBER(FIND({"M";"N";"D"},AB56))),"1","")</f>
        <v/>
      </c>
      <c r="BT56" s="17" t="str">
        <f>IF(OR(ISNUMBER(FIND({"M";"N";"D"},AC56))),"1","")</f>
        <v/>
      </c>
      <c r="BU56" s="17" t="str">
        <f>IF(OR(ISNUMBER(FIND({"M";"N";"D"},AD56))),"1","")</f>
        <v/>
      </c>
      <c r="BV56" s="17" t="str">
        <f>IF(OR(ISNUMBER(FIND({"M";"N";"D"},AE56))),"1","")</f>
        <v/>
      </c>
      <c r="BW56" s="17" t="str">
        <f>IF(OR(ISNUMBER(FIND({"M";"N";"D"},AF56))),"1","")</f>
        <v/>
      </c>
      <c r="BX56" s="17" t="str">
        <f>IF(OR(ISNUMBER(FIND({"M";"N";"D"},AG56))),"1","")</f>
        <v/>
      </c>
      <c r="BY56" s="17" t="str">
        <f>IF(OR(ISNUMBER(FIND({"M";"N";"D"},AH56))),"1","")</f>
        <v/>
      </c>
      <c r="BZ56" s="17" t="str">
        <f>IF(OR(ISNUMBER(FIND({"M";"N";"D"},AI56))),"1","")</f>
        <v/>
      </c>
      <c r="CA56" s="17" t="str">
        <f>IF(OR(ISNUMBER(FIND({"M";"N";"D"},AJ56))),"1","")</f>
        <v/>
      </c>
      <c r="CB56" s="17" t="str">
        <f>IF(OR(ISNUMBER(FIND({"M";"N";"D"},AK56))),"1","")</f>
        <v/>
      </c>
      <c r="CC56" s="17" t="str">
        <f>IF(OR(ISNUMBER(FIND({"M";"N";"D"},AL56))),"1","")</f>
        <v/>
      </c>
      <c r="CD56" s="17" t="str">
        <f>IF(OR(ISNUMBER(FIND({"M";"N";"D"},AM56))),"1","")</f>
        <v/>
      </c>
      <c r="CE56" s="17" t="str">
        <f>IF(OR(ISNUMBER(FIND({"M";"N";"D"},AN56))),"1","")</f>
        <v/>
      </c>
      <c r="CF56" s="16">
        <f t="array" ref="CF56">MAX(FREQUENCY(IF(AU56:CE56&lt;&gt;"",COLUMN(AU56:CE56)),IF(AU56:CE56="",COLUMN(AU56:CE56))))</f>
        <v>0</v>
      </c>
      <c r="CG56" s="7"/>
      <c r="CH56" s="18">
        <f t="shared" si="37"/>
        <v>0</v>
      </c>
      <c r="CI56" s="8">
        <v>168</v>
      </c>
      <c r="CJ56" s="18">
        <f t="shared" si="5"/>
        <v>-168</v>
      </c>
      <c r="CK56" s="19">
        <f t="shared" si="43"/>
        <v>0</v>
      </c>
      <c r="CL56" s="30">
        <f t="shared" si="14"/>
        <v>0</v>
      </c>
      <c r="CM56" s="30">
        <f t="shared" si="44"/>
        <v>0</v>
      </c>
      <c r="CN56" s="19">
        <f t="shared" si="38"/>
        <v>0</v>
      </c>
      <c r="CO56" s="19">
        <f t="shared" si="39"/>
        <v>0</v>
      </c>
      <c r="CP56" s="19">
        <f t="shared" si="40"/>
        <v>0</v>
      </c>
      <c r="CQ56" s="19">
        <f t="shared" si="41"/>
        <v>0</v>
      </c>
      <c r="CR56" s="19">
        <f t="shared" si="42"/>
        <v>0</v>
      </c>
    </row>
    <row r="57" spans="1:96" s="9" customFormat="1" ht="12.75">
      <c r="A57" s="20"/>
      <c r="B57" s="21"/>
      <c r="C57" s="2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6">
        <f t="shared" si="32"/>
        <v>0</v>
      </c>
      <c r="AP57" s="6">
        <f t="shared" si="33"/>
        <v>0</v>
      </c>
      <c r="AQ57" s="6">
        <f t="shared" si="34"/>
        <v>0</v>
      </c>
      <c r="AR57" s="6">
        <f t="shared" si="35"/>
        <v>0</v>
      </c>
      <c r="AS57" s="6">
        <f t="shared" si="36"/>
        <v>0</v>
      </c>
      <c r="AT57" s="16">
        <f t="shared" si="11"/>
        <v>0</v>
      </c>
      <c r="AU57" s="17" t="str">
        <f>IF(OR(ISNUMBER(FIND({"M";"N";"D"},D57))),"1","")</f>
        <v/>
      </c>
      <c r="AV57" s="17" t="str">
        <f>IF(OR(ISNUMBER(FIND({"M";"N";"D"},E57))),"1","")</f>
        <v/>
      </c>
      <c r="AW57" s="17" t="str">
        <f>IF(OR(ISNUMBER(FIND({"M";"N";"D"},F57))),"1","")</f>
        <v/>
      </c>
      <c r="AX57" s="17" t="str">
        <f>IF(OR(ISNUMBER(FIND({"M";"N";"D"},G57))),"1","")</f>
        <v/>
      </c>
      <c r="AY57" s="17" t="str">
        <f>IF(OR(ISNUMBER(FIND({"M";"N";"D"},H57))),"1","")</f>
        <v/>
      </c>
      <c r="AZ57" s="17" t="str">
        <f>IF(OR(ISNUMBER(FIND({"M";"N";"D"},I57))),"1","")</f>
        <v/>
      </c>
      <c r="BA57" s="17" t="str">
        <f>IF(OR(ISNUMBER(FIND({"M";"N";"D"},J57))),"1","")</f>
        <v/>
      </c>
      <c r="BB57" s="17" t="str">
        <f>IF(OR(ISNUMBER(FIND({"M";"N";"D"},K57))),"1","")</f>
        <v/>
      </c>
      <c r="BC57" s="17" t="str">
        <f>IF(OR(ISNUMBER(FIND({"M";"N";"D"},L57))),"1","")</f>
        <v/>
      </c>
      <c r="BD57" s="17" t="str">
        <f>IF(OR(ISNUMBER(FIND({"M";"N";"D"},M57))),"1","")</f>
        <v/>
      </c>
      <c r="BE57" s="17" t="str">
        <f>IF(OR(ISNUMBER(FIND({"M";"N";"D"},N57))),"1","")</f>
        <v/>
      </c>
      <c r="BF57" s="17" t="str">
        <f>IF(OR(ISNUMBER(FIND({"M";"N";"D"},O57))),"1","")</f>
        <v/>
      </c>
      <c r="BG57" s="17" t="str">
        <f>IF(OR(ISNUMBER(FIND({"M";"N";"D"},P57))),"1","")</f>
        <v/>
      </c>
      <c r="BH57" s="17" t="str">
        <f>IF(OR(ISNUMBER(FIND({"M";"N";"D"},Q57))),"1","")</f>
        <v/>
      </c>
      <c r="BI57" s="17" t="str">
        <f>IF(OR(ISNUMBER(FIND({"M";"N";"D"},R57))),"1","")</f>
        <v/>
      </c>
      <c r="BJ57" s="17" t="str">
        <f>IF(OR(ISNUMBER(FIND({"M";"N";"D"},S57))),"1","")</f>
        <v/>
      </c>
      <c r="BK57" s="17" t="str">
        <f>IF(OR(ISNUMBER(FIND({"M";"N";"D"},T57))),"1","")</f>
        <v/>
      </c>
      <c r="BL57" s="17" t="str">
        <f>IF(OR(ISNUMBER(FIND({"M";"N";"D"},U57))),"1","")</f>
        <v/>
      </c>
      <c r="BM57" s="17" t="str">
        <f>IF(OR(ISNUMBER(FIND({"M";"N";"D"},V57))),"1","")</f>
        <v/>
      </c>
      <c r="BN57" s="17" t="str">
        <f>IF(OR(ISNUMBER(FIND({"M";"N";"D"},W57))),"1","")</f>
        <v/>
      </c>
      <c r="BO57" s="17" t="str">
        <f>IF(OR(ISNUMBER(FIND({"M";"N";"D"},X57))),"1","")</f>
        <v/>
      </c>
      <c r="BP57" s="17" t="str">
        <f>IF(OR(ISNUMBER(FIND({"M";"N";"D"},Y57))),"1","")</f>
        <v/>
      </c>
      <c r="BQ57" s="17" t="str">
        <f>IF(OR(ISNUMBER(FIND({"M";"N";"D"},Z57))),"1","")</f>
        <v/>
      </c>
      <c r="BR57" s="17" t="str">
        <f>IF(OR(ISNUMBER(FIND({"M";"N";"D"},AA57))),"1","")</f>
        <v/>
      </c>
      <c r="BS57" s="17" t="str">
        <f>IF(OR(ISNUMBER(FIND({"M";"N";"D"},AB57))),"1","")</f>
        <v/>
      </c>
      <c r="BT57" s="17" t="str">
        <f>IF(OR(ISNUMBER(FIND({"M";"N";"D"},AC57))),"1","")</f>
        <v/>
      </c>
      <c r="BU57" s="17" t="str">
        <f>IF(OR(ISNUMBER(FIND({"M";"N";"D"},AD57))),"1","")</f>
        <v/>
      </c>
      <c r="BV57" s="17" t="str">
        <f>IF(OR(ISNUMBER(FIND({"M";"N";"D"},AE57))),"1","")</f>
        <v/>
      </c>
      <c r="BW57" s="17" t="str">
        <f>IF(OR(ISNUMBER(FIND({"M";"N";"D"},AF57))),"1","")</f>
        <v/>
      </c>
      <c r="BX57" s="17" t="str">
        <f>IF(OR(ISNUMBER(FIND({"M";"N";"D"},AG57))),"1","")</f>
        <v/>
      </c>
      <c r="BY57" s="17" t="str">
        <f>IF(OR(ISNUMBER(FIND({"M";"N";"D"},AH57))),"1","")</f>
        <v/>
      </c>
      <c r="BZ57" s="17" t="str">
        <f>IF(OR(ISNUMBER(FIND({"M";"N";"D"},AI57))),"1","")</f>
        <v/>
      </c>
      <c r="CA57" s="17" t="str">
        <f>IF(OR(ISNUMBER(FIND({"M";"N";"D"},AJ57))),"1","")</f>
        <v/>
      </c>
      <c r="CB57" s="17" t="str">
        <f>IF(OR(ISNUMBER(FIND({"M";"N";"D"},AK57))),"1","")</f>
        <v/>
      </c>
      <c r="CC57" s="17" t="str">
        <f>IF(OR(ISNUMBER(FIND({"M";"N";"D"},AL57))),"1","")</f>
        <v/>
      </c>
      <c r="CD57" s="17" t="str">
        <f>IF(OR(ISNUMBER(FIND({"M";"N";"D"},AM57))),"1","")</f>
        <v/>
      </c>
      <c r="CE57" s="17" t="str">
        <f>IF(OR(ISNUMBER(FIND({"M";"N";"D"},AN57))),"1","")</f>
        <v/>
      </c>
      <c r="CF57" s="16">
        <f t="array" ref="CF57">MAX(FREQUENCY(IF(AU57:CE57&lt;&gt;"",COLUMN(AU57:CE57)),IF(AU57:CE57="",COLUMN(AU57:CE57))))</f>
        <v>0</v>
      </c>
      <c r="CG57" s="7"/>
      <c r="CH57" s="18">
        <f t="shared" si="37"/>
        <v>0</v>
      </c>
      <c r="CI57" s="8">
        <v>168</v>
      </c>
      <c r="CJ57" s="18">
        <f t="shared" si="5"/>
        <v>-168</v>
      </c>
      <c r="CK57" s="19">
        <f t="shared" si="43"/>
        <v>0</v>
      </c>
      <c r="CL57" s="30">
        <f t="shared" si="14"/>
        <v>0</v>
      </c>
      <c r="CM57" s="30">
        <f t="shared" si="44"/>
        <v>0</v>
      </c>
      <c r="CN57" s="19">
        <f t="shared" si="38"/>
        <v>0</v>
      </c>
      <c r="CO57" s="19">
        <f t="shared" si="39"/>
        <v>0</v>
      </c>
      <c r="CP57" s="19">
        <f t="shared" si="40"/>
        <v>0</v>
      </c>
      <c r="CQ57" s="19">
        <f t="shared" si="41"/>
        <v>0</v>
      </c>
      <c r="CR57" s="19">
        <f t="shared" si="42"/>
        <v>0</v>
      </c>
    </row>
    <row r="58" spans="1:96" s="9" customFormat="1" ht="12.75">
      <c r="A58" s="20"/>
      <c r="B58" s="21"/>
      <c r="C58" s="21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6">
        <f t="shared" si="32"/>
        <v>0</v>
      </c>
      <c r="AP58" s="6">
        <f t="shared" si="33"/>
        <v>0</v>
      </c>
      <c r="AQ58" s="6">
        <f t="shared" si="34"/>
        <v>0</v>
      </c>
      <c r="AR58" s="6">
        <f t="shared" si="35"/>
        <v>0</v>
      </c>
      <c r="AS58" s="6">
        <f t="shared" si="36"/>
        <v>0</v>
      </c>
      <c r="AT58" s="16">
        <f t="shared" si="11"/>
        <v>0</v>
      </c>
      <c r="AU58" s="17" t="str">
        <f>IF(OR(ISNUMBER(FIND({"M";"N";"D"},D58))),"1","")</f>
        <v/>
      </c>
      <c r="AV58" s="17" t="str">
        <f>IF(OR(ISNUMBER(FIND({"M";"N";"D"},E58))),"1","")</f>
        <v/>
      </c>
      <c r="AW58" s="17" t="str">
        <f>IF(OR(ISNUMBER(FIND({"M";"N";"D"},F58))),"1","")</f>
        <v/>
      </c>
      <c r="AX58" s="17" t="str">
        <f>IF(OR(ISNUMBER(FIND({"M";"N";"D"},G58))),"1","")</f>
        <v/>
      </c>
      <c r="AY58" s="17" t="str">
        <f>IF(OR(ISNUMBER(FIND({"M";"N";"D"},H58))),"1","")</f>
        <v/>
      </c>
      <c r="AZ58" s="17" t="str">
        <f>IF(OR(ISNUMBER(FIND({"M";"N";"D"},I58))),"1","")</f>
        <v/>
      </c>
      <c r="BA58" s="17" t="str">
        <f>IF(OR(ISNUMBER(FIND({"M";"N";"D"},J58))),"1","")</f>
        <v/>
      </c>
      <c r="BB58" s="17" t="str">
        <f>IF(OR(ISNUMBER(FIND({"M";"N";"D"},K58))),"1","")</f>
        <v/>
      </c>
      <c r="BC58" s="17" t="str">
        <f>IF(OR(ISNUMBER(FIND({"M";"N";"D"},L58))),"1","")</f>
        <v/>
      </c>
      <c r="BD58" s="17" t="str">
        <f>IF(OR(ISNUMBER(FIND({"M";"N";"D"},M58))),"1","")</f>
        <v/>
      </c>
      <c r="BE58" s="17" t="str">
        <f>IF(OR(ISNUMBER(FIND({"M";"N";"D"},N58))),"1","")</f>
        <v/>
      </c>
      <c r="BF58" s="17" t="str">
        <f>IF(OR(ISNUMBER(FIND({"M";"N";"D"},O58))),"1","")</f>
        <v/>
      </c>
      <c r="BG58" s="17" t="str">
        <f>IF(OR(ISNUMBER(FIND({"M";"N";"D"},P58))),"1","")</f>
        <v/>
      </c>
      <c r="BH58" s="17" t="str">
        <f>IF(OR(ISNUMBER(FIND({"M";"N";"D"},Q58))),"1","")</f>
        <v/>
      </c>
      <c r="BI58" s="17" t="str">
        <f>IF(OR(ISNUMBER(FIND({"M";"N";"D"},R58))),"1","")</f>
        <v/>
      </c>
      <c r="BJ58" s="17" t="str">
        <f>IF(OR(ISNUMBER(FIND({"M";"N";"D"},S58))),"1","")</f>
        <v/>
      </c>
      <c r="BK58" s="17" t="str">
        <f>IF(OR(ISNUMBER(FIND({"M";"N";"D"},T58))),"1","")</f>
        <v/>
      </c>
      <c r="BL58" s="17" t="str">
        <f>IF(OR(ISNUMBER(FIND({"M";"N";"D"},U58))),"1","")</f>
        <v/>
      </c>
      <c r="BM58" s="17" t="str">
        <f>IF(OR(ISNUMBER(FIND({"M";"N";"D"},V58))),"1","")</f>
        <v/>
      </c>
      <c r="BN58" s="17" t="str">
        <f>IF(OR(ISNUMBER(FIND({"M";"N";"D"},W58))),"1","")</f>
        <v/>
      </c>
      <c r="BO58" s="17" t="str">
        <f>IF(OR(ISNUMBER(FIND({"M";"N";"D"},X58))),"1","")</f>
        <v/>
      </c>
      <c r="BP58" s="17" t="str">
        <f>IF(OR(ISNUMBER(FIND({"M";"N";"D"},Y58))),"1","")</f>
        <v/>
      </c>
      <c r="BQ58" s="17" t="str">
        <f>IF(OR(ISNUMBER(FIND({"M";"N";"D"},Z58))),"1","")</f>
        <v/>
      </c>
      <c r="BR58" s="17" t="str">
        <f>IF(OR(ISNUMBER(FIND({"M";"N";"D"},AA58))),"1","")</f>
        <v/>
      </c>
      <c r="BS58" s="17" t="str">
        <f>IF(OR(ISNUMBER(FIND({"M";"N";"D"},AB58))),"1","")</f>
        <v/>
      </c>
      <c r="BT58" s="17" t="str">
        <f>IF(OR(ISNUMBER(FIND({"M";"N";"D"},AC58))),"1","")</f>
        <v/>
      </c>
      <c r="BU58" s="17" t="str">
        <f>IF(OR(ISNUMBER(FIND({"M";"N";"D"},AD58))),"1","")</f>
        <v/>
      </c>
      <c r="BV58" s="17" t="str">
        <f>IF(OR(ISNUMBER(FIND({"M";"N";"D"},AE58))),"1","")</f>
        <v/>
      </c>
      <c r="BW58" s="17" t="str">
        <f>IF(OR(ISNUMBER(FIND({"M";"N";"D"},AF58))),"1","")</f>
        <v/>
      </c>
      <c r="BX58" s="17" t="str">
        <f>IF(OR(ISNUMBER(FIND({"M";"N";"D"},AG58))),"1","")</f>
        <v/>
      </c>
      <c r="BY58" s="17" t="str">
        <f>IF(OR(ISNUMBER(FIND({"M";"N";"D"},AH58))),"1","")</f>
        <v/>
      </c>
      <c r="BZ58" s="17" t="str">
        <f>IF(OR(ISNUMBER(FIND({"M";"N";"D"},AI58))),"1","")</f>
        <v/>
      </c>
      <c r="CA58" s="17" t="str">
        <f>IF(OR(ISNUMBER(FIND({"M";"N";"D"},AJ58))),"1","")</f>
        <v/>
      </c>
      <c r="CB58" s="17" t="str">
        <f>IF(OR(ISNUMBER(FIND({"M";"N";"D"},AK58))),"1","")</f>
        <v/>
      </c>
      <c r="CC58" s="17" t="str">
        <f>IF(OR(ISNUMBER(FIND({"M";"N";"D"},AL58))),"1","")</f>
        <v/>
      </c>
      <c r="CD58" s="17" t="str">
        <f>IF(OR(ISNUMBER(FIND({"M";"N";"D"},AM58))),"1","")</f>
        <v/>
      </c>
      <c r="CE58" s="17" t="str">
        <f>IF(OR(ISNUMBER(FIND({"M";"N";"D"},AN58))),"1","")</f>
        <v/>
      </c>
      <c r="CF58" s="16">
        <f t="array" ref="CF58">MAX(FREQUENCY(IF(AU58:CE58&lt;&gt;"",COLUMN(AU58:CE58)),IF(AU58:CE58="",COLUMN(AU58:CE58))))</f>
        <v>0</v>
      </c>
      <c r="CG58" s="7"/>
      <c r="CH58" s="18">
        <f t="shared" si="37"/>
        <v>0</v>
      </c>
      <c r="CI58" s="8">
        <v>168</v>
      </c>
      <c r="CJ58" s="18">
        <f t="shared" si="5"/>
        <v>-168</v>
      </c>
      <c r="CK58" s="19">
        <f t="shared" si="43"/>
        <v>0</v>
      </c>
      <c r="CL58" s="30">
        <f t="shared" si="14"/>
        <v>0</v>
      </c>
      <c r="CM58" s="30">
        <f t="shared" si="44"/>
        <v>0</v>
      </c>
      <c r="CN58" s="19">
        <f t="shared" si="38"/>
        <v>0</v>
      </c>
      <c r="CO58" s="19">
        <f t="shared" si="39"/>
        <v>0</v>
      </c>
      <c r="CP58" s="19">
        <f t="shared" si="40"/>
        <v>0</v>
      </c>
      <c r="CQ58" s="19">
        <f t="shared" si="41"/>
        <v>0</v>
      </c>
      <c r="CR58" s="19">
        <f t="shared" si="42"/>
        <v>0</v>
      </c>
    </row>
    <row r="59" spans="1:96" s="9" customFormat="1" ht="12.75" customHeight="1">
      <c r="A59" s="20"/>
      <c r="B59" s="21"/>
      <c r="C59" s="21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6">
        <f t="shared" si="32"/>
        <v>0</v>
      </c>
      <c r="AP59" s="6">
        <f t="shared" si="33"/>
        <v>0</v>
      </c>
      <c r="AQ59" s="6">
        <f t="shared" si="34"/>
        <v>0</v>
      </c>
      <c r="AR59" s="6">
        <f t="shared" si="35"/>
        <v>0</v>
      </c>
      <c r="AS59" s="6">
        <f t="shared" si="36"/>
        <v>0</v>
      </c>
      <c r="AT59" s="16">
        <f t="shared" si="11"/>
        <v>0</v>
      </c>
      <c r="AU59" s="17" t="str">
        <f>IF(OR(ISNUMBER(FIND({"M";"N";"D"},D59))),"1","")</f>
        <v/>
      </c>
      <c r="AV59" s="17" t="str">
        <f>IF(OR(ISNUMBER(FIND({"M";"N";"D"},E59))),"1","")</f>
        <v/>
      </c>
      <c r="AW59" s="17" t="str">
        <f>IF(OR(ISNUMBER(FIND({"M";"N";"D"},F59))),"1","")</f>
        <v/>
      </c>
      <c r="AX59" s="17" t="str">
        <f>IF(OR(ISNUMBER(FIND({"M";"N";"D"},G59))),"1","")</f>
        <v/>
      </c>
      <c r="AY59" s="17" t="str">
        <f>IF(OR(ISNUMBER(FIND({"M";"N";"D"},H59))),"1","")</f>
        <v/>
      </c>
      <c r="AZ59" s="17" t="str">
        <f>IF(OR(ISNUMBER(FIND({"M";"N";"D"},I59))),"1","")</f>
        <v/>
      </c>
      <c r="BA59" s="17" t="str">
        <f>IF(OR(ISNUMBER(FIND({"M";"N";"D"},J59))),"1","")</f>
        <v/>
      </c>
      <c r="BB59" s="17" t="str">
        <f>IF(OR(ISNUMBER(FIND({"M";"N";"D"},K59))),"1","")</f>
        <v/>
      </c>
      <c r="BC59" s="17" t="str">
        <f>IF(OR(ISNUMBER(FIND({"M";"N";"D"},L59))),"1","")</f>
        <v/>
      </c>
      <c r="BD59" s="17" t="str">
        <f>IF(OR(ISNUMBER(FIND({"M";"N";"D"},M59))),"1","")</f>
        <v/>
      </c>
      <c r="BE59" s="17" t="str">
        <f>IF(OR(ISNUMBER(FIND({"M";"N";"D"},N59))),"1","")</f>
        <v/>
      </c>
      <c r="BF59" s="17" t="str">
        <f>IF(OR(ISNUMBER(FIND({"M";"N";"D"},O59))),"1","")</f>
        <v/>
      </c>
      <c r="BG59" s="17" t="str">
        <f>IF(OR(ISNUMBER(FIND({"M";"N";"D"},P59))),"1","")</f>
        <v/>
      </c>
      <c r="BH59" s="17" t="str">
        <f>IF(OR(ISNUMBER(FIND({"M";"N";"D"},Q59))),"1","")</f>
        <v/>
      </c>
      <c r="BI59" s="17" t="str">
        <f>IF(OR(ISNUMBER(FIND({"M";"N";"D"},R59))),"1","")</f>
        <v/>
      </c>
      <c r="BJ59" s="17" t="str">
        <f>IF(OR(ISNUMBER(FIND({"M";"N";"D"},S59))),"1","")</f>
        <v/>
      </c>
      <c r="BK59" s="17" t="str">
        <f>IF(OR(ISNUMBER(FIND({"M";"N";"D"},T59))),"1","")</f>
        <v/>
      </c>
      <c r="BL59" s="17" t="str">
        <f>IF(OR(ISNUMBER(FIND({"M";"N";"D"},U59))),"1","")</f>
        <v/>
      </c>
      <c r="BM59" s="17" t="str">
        <f>IF(OR(ISNUMBER(FIND({"M";"N";"D"},V59))),"1","")</f>
        <v/>
      </c>
      <c r="BN59" s="17" t="str">
        <f>IF(OR(ISNUMBER(FIND({"M";"N";"D"},W59))),"1","")</f>
        <v/>
      </c>
      <c r="BO59" s="17" t="str">
        <f>IF(OR(ISNUMBER(FIND({"M";"N";"D"},X59))),"1","")</f>
        <v/>
      </c>
      <c r="BP59" s="17" t="str">
        <f>IF(OR(ISNUMBER(FIND({"M";"N";"D"},Y59))),"1","")</f>
        <v/>
      </c>
      <c r="BQ59" s="17" t="str">
        <f>IF(OR(ISNUMBER(FIND({"M";"N";"D"},Z59))),"1","")</f>
        <v/>
      </c>
      <c r="BR59" s="17" t="str">
        <f>IF(OR(ISNUMBER(FIND({"M";"N";"D"},AA59))),"1","")</f>
        <v/>
      </c>
      <c r="BS59" s="17" t="str">
        <f>IF(OR(ISNUMBER(FIND({"M";"N";"D"},AB59))),"1","")</f>
        <v/>
      </c>
      <c r="BT59" s="17" t="str">
        <f>IF(OR(ISNUMBER(FIND({"M";"N";"D"},AC59))),"1","")</f>
        <v/>
      </c>
      <c r="BU59" s="17" t="str">
        <f>IF(OR(ISNUMBER(FIND({"M";"N";"D"},AD59))),"1","")</f>
        <v/>
      </c>
      <c r="BV59" s="17" t="str">
        <f>IF(OR(ISNUMBER(FIND({"M";"N";"D"},AE59))),"1","")</f>
        <v/>
      </c>
      <c r="BW59" s="17" t="str">
        <f>IF(OR(ISNUMBER(FIND({"M";"N";"D"},AF59))),"1","")</f>
        <v/>
      </c>
      <c r="BX59" s="17" t="str">
        <f>IF(OR(ISNUMBER(FIND({"M";"N";"D"},AG59))),"1","")</f>
        <v/>
      </c>
      <c r="BY59" s="17" t="str">
        <f>IF(OR(ISNUMBER(FIND({"M";"N";"D"},AH59))),"1","")</f>
        <v/>
      </c>
      <c r="BZ59" s="17" t="str">
        <f>IF(OR(ISNUMBER(FIND({"M";"N";"D"},AI59))),"1","")</f>
        <v/>
      </c>
      <c r="CA59" s="17" t="str">
        <f>IF(OR(ISNUMBER(FIND({"M";"N";"D"},AJ59))),"1","")</f>
        <v/>
      </c>
      <c r="CB59" s="17" t="str">
        <f>IF(OR(ISNUMBER(FIND({"M";"N";"D"},AK59))),"1","")</f>
        <v/>
      </c>
      <c r="CC59" s="17" t="str">
        <f>IF(OR(ISNUMBER(FIND({"M";"N";"D"},AL59))),"1","")</f>
        <v/>
      </c>
      <c r="CD59" s="17" t="str">
        <f>IF(OR(ISNUMBER(FIND({"M";"N";"D"},AM59))),"1","")</f>
        <v/>
      </c>
      <c r="CE59" s="17" t="str">
        <f>IF(OR(ISNUMBER(FIND({"M";"N";"D"},AN59))),"1","")</f>
        <v/>
      </c>
      <c r="CF59" s="16">
        <f t="array" ref="CF59">MAX(FREQUENCY(IF(AU59:CE59&lt;&gt;"",COLUMN(AU59:CE59)),IF(AU59:CE59="",COLUMN(AU59:CE59))))</f>
        <v>0</v>
      </c>
      <c r="CG59" s="7"/>
      <c r="CH59" s="18">
        <f t="shared" si="37"/>
        <v>0</v>
      </c>
      <c r="CI59" s="8">
        <v>168</v>
      </c>
      <c r="CJ59" s="18">
        <f t="shared" si="5"/>
        <v>-168</v>
      </c>
      <c r="CK59" s="19">
        <f t="shared" si="43"/>
        <v>0</v>
      </c>
      <c r="CL59" s="30">
        <f t="shared" si="14"/>
        <v>0</v>
      </c>
      <c r="CM59" s="30">
        <f t="shared" si="44"/>
        <v>0</v>
      </c>
      <c r="CN59" s="19">
        <f t="shared" si="38"/>
        <v>0</v>
      </c>
      <c r="CO59" s="19">
        <f t="shared" si="39"/>
        <v>0</v>
      </c>
      <c r="CP59" s="19">
        <f t="shared" si="40"/>
        <v>0</v>
      </c>
      <c r="CQ59" s="19">
        <f t="shared" si="41"/>
        <v>0</v>
      </c>
      <c r="CR59" s="19">
        <f t="shared" si="42"/>
        <v>0</v>
      </c>
    </row>
    <row r="60" spans="1:96" s="9" customFormat="1" ht="12.75">
      <c r="A60" s="20"/>
      <c r="B60" s="21"/>
      <c r="C60" s="2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6">
        <f t="shared" si="32"/>
        <v>0</v>
      </c>
      <c r="AP60" s="6">
        <f t="shared" si="33"/>
        <v>0</v>
      </c>
      <c r="AQ60" s="6">
        <f t="shared" si="34"/>
        <v>0</v>
      </c>
      <c r="AR60" s="6">
        <f t="shared" si="35"/>
        <v>0</v>
      </c>
      <c r="AS60" s="6">
        <f t="shared" si="36"/>
        <v>0</v>
      </c>
      <c r="AT60" s="16">
        <f t="shared" si="11"/>
        <v>0</v>
      </c>
      <c r="AU60" s="17" t="str">
        <f>IF(OR(ISNUMBER(FIND({"M";"N";"D"},D60))),"1","")</f>
        <v/>
      </c>
      <c r="AV60" s="17" t="str">
        <f>IF(OR(ISNUMBER(FIND({"M";"N";"D"},E60))),"1","")</f>
        <v/>
      </c>
      <c r="AW60" s="17" t="str">
        <f>IF(OR(ISNUMBER(FIND({"M";"N";"D"},F60))),"1","")</f>
        <v/>
      </c>
      <c r="AX60" s="17" t="str">
        <f>IF(OR(ISNUMBER(FIND({"M";"N";"D"},G60))),"1","")</f>
        <v/>
      </c>
      <c r="AY60" s="17" t="str">
        <f>IF(OR(ISNUMBER(FIND({"M";"N";"D"},H60))),"1","")</f>
        <v/>
      </c>
      <c r="AZ60" s="17" t="str">
        <f>IF(OR(ISNUMBER(FIND({"M";"N";"D"},I60))),"1","")</f>
        <v/>
      </c>
      <c r="BA60" s="17" t="str">
        <f>IF(OR(ISNUMBER(FIND({"M";"N";"D"},J60))),"1","")</f>
        <v/>
      </c>
      <c r="BB60" s="17" t="str">
        <f>IF(OR(ISNUMBER(FIND({"M";"N";"D"},K60))),"1","")</f>
        <v/>
      </c>
      <c r="BC60" s="17" t="str">
        <f>IF(OR(ISNUMBER(FIND({"M";"N";"D"},L60))),"1","")</f>
        <v/>
      </c>
      <c r="BD60" s="17" t="str">
        <f>IF(OR(ISNUMBER(FIND({"M";"N";"D"},M60))),"1","")</f>
        <v/>
      </c>
      <c r="BE60" s="17" t="str">
        <f>IF(OR(ISNUMBER(FIND({"M";"N";"D"},N60))),"1","")</f>
        <v/>
      </c>
      <c r="BF60" s="17" t="str">
        <f>IF(OR(ISNUMBER(FIND({"M";"N";"D"},O60))),"1","")</f>
        <v/>
      </c>
      <c r="BG60" s="17" t="str">
        <f>IF(OR(ISNUMBER(FIND({"M";"N";"D"},P60))),"1","")</f>
        <v/>
      </c>
      <c r="BH60" s="17" t="str">
        <f>IF(OR(ISNUMBER(FIND({"M";"N";"D"},Q60))),"1","")</f>
        <v/>
      </c>
      <c r="BI60" s="17" t="str">
        <f>IF(OR(ISNUMBER(FIND({"M";"N";"D"},R60))),"1","")</f>
        <v/>
      </c>
      <c r="BJ60" s="17" t="str">
        <f>IF(OR(ISNUMBER(FIND({"M";"N";"D"},S60))),"1","")</f>
        <v/>
      </c>
      <c r="BK60" s="17" t="str">
        <f>IF(OR(ISNUMBER(FIND({"M";"N";"D"},T60))),"1","")</f>
        <v/>
      </c>
      <c r="BL60" s="17" t="str">
        <f>IF(OR(ISNUMBER(FIND({"M";"N";"D"},U60))),"1","")</f>
        <v/>
      </c>
      <c r="BM60" s="17" t="str">
        <f>IF(OR(ISNUMBER(FIND({"M";"N";"D"},V60))),"1","")</f>
        <v/>
      </c>
      <c r="BN60" s="17" t="str">
        <f>IF(OR(ISNUMBER(FIND({"M";"N";"D"},W60))),"1","")</f>
        <v/>
      </c>
      <c r="BO60" s="17" t="str">
        <f>IF(OR(ISNUMBER(FIND({"M";"N";"D"},X60))),"1","")</f>
        <v/>
      </c>
      <c r="BP60" s="17" t="str">
        <f>IF(OR(ISNUMBER(FIND({"M";"N";"D"},Y60))),"1","")</f>
        <v/>
      </c>
      <c r="BQ60" s="17" t="str">
        <f>IF(OR(ISNUMBER(FIND({"M";"N";"D"},Z60))),"1","")</f>
        <v/>
      </c>
      <c r="BR60" s="17" t="str">
        <f>IF(OR(ISNUMBER(FIND({"M";"N";"D"},AA60))),"1","")</f>
        <v/>
      </c>
      <c r="BS60" s="17" t="str">
        <f>IF(OR(ISNUMBER(FIND({"M";"N";"D"},AB60))),"1","")</f>
        <v/>
      </c>
      <c r="BT60" s="17" t="str">
        <f>IF(OR(ISNUMBER(FIND({"M";"N";"D"},AC60))),"1","")</f>
        <v/>
      </c>
      <c r="BU60" s="17" t="str">
        <f>IF(OR(ISNUMBER(FIND({"M";"N";"D"},AD60))),"1","")</f>
        <v/>
      </c>
      <c r="BV60" s="17" t="str">
        <f>IF(OR(ISNUMBER(FIND({"M";"N";"D"},AE60))),"1","")</f>
        <v/>
      </c>
      <c r="BW60" s="17" t="str">
        <f>IF(OR(ISNUMBER(FIND({"M";"N";"D"},AF60))),"1","")</f>
        <v/>
      </c>
      <c r="BX60" s="17" t="str">
        <f>IF(OR(ISNUMBER(FIND({"M";"N";"D"},AG60))),"1","")</f>
        <v/>
      </c>
      <c r="BY60" s="17" t="str">
        <f>IF(OR(ISNUMBER(FIND({"M";"N";"D"},AH60))),"1","")</f>
        <v/>
      </c>
      <c r="BZ60" s="17" t="str">
        <f>IF(OR(ISNUMBER(FIND({"M";"N";"D"},AI60))),"1","")</f>
        <v/>
      </c>
      <c r="CA60" s="17" t="str">
        <f>IF(OR(ISNUMBER(FIND({"M";"N";"D"},AJ60))),"1","")</f>
        <v/>
      </c>
      <c r="CB60" s="17" t="str">
        <f>IF(OR(ISNUMBER(FIND({"M";"N";"D"},AK60))),"1","")</f>
        <v/>
      </c>
      <c r="CC60" s="17" t="str">
        <f>IF(OR(ISNUMBER(FIND({"M";"N";"D"},AL60))),"1","")</f>
        <v/>
      </c>
      <c r="CD60" s="17" t="str">
        <f>IF(OR(ISNUMBER(FIND({"M";"N";"D"},AM60))),"1","")</f>
        <v/>
      </c>
      <c r="CE60" s="17" t="str">
        <f>IF(OR(ISNUMBER(FIND({"M";"N";"D"},AN60))),"1","")</f>
        <v/>
      </c>
      <c r="CF60" s="16">
        <f t="array" ref="CF60">MAX(FREQUENCY(IF(AU60:CE60&lt;&gt;"",COLUMN(AU60:CE60)),IF(AU60:CE60="",COLUMN(AU60:CE60))))</f>
        <v>0</v>
      </c>
      <c r="CG60" s="7"/>
      <c r="CH60" s="18">
        <f t="shared" si="37"/>
        <v>0</v>
      </c>
      <c r="CI60" s="8">
        <v>168</v>
      </c>
      <c r="CJ60" s="18">
        <f t="shared" si="5"/>
        <v>-168</v>
      </c>
      <c r="CK60" s="19">
        <f t="shared" si="43"/>
        <v>0</v>
      </c>
      <c r="CL60" s="30">
        <f t="shared" si="14"/>
        <v>0</v>
      </c>
      <c r="CM60" s="30">
        <f t="shared" si="44"/>
        <v>0</v>
      </c>
      <c r="CN60" s="19">
        <f t="shared" si="38"/>
        <v>0</v>
      </c>
      <c r="CO60" s="19">
        <f t="shared" si="39"/>
        <v>0</v>
      </c>
      <c r="CP60" s="19">
        <f t="shared" si="40"/>
        <v>0</v>
      </c>
      <c r="CQ60" s="19">
        <f t="shared" si="41"/>
        <v>0</v>
      </c>
      <c r="CR60" s="19">
        <f t="shared" si="42"/>
        <v>0</v>
      </c>
    </row>
    <row r="61" spans="1:96" s="9" customFormat="1" ht="12.75">
      <c r="A61" s="20"/>
      <c r="B61" s="21"/>
      <c r="C61" s="2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6">
        <f t="shared" si="32"/>
        <v>0</v>
      </c>
      <c r="AP61" s="6">
        <f t="shared" si="33"/>
        <v>0</v>
      </c>
      <c r="AQ61" s="6">
        <f t="shared" si="34"/>
        <v>0</v>
      </c>
      <c r="AR61" s="6">
        <f t="shared" si="35"/>
        <v>0</v>
      </c>
      <c r="AS61" s="6">
        <f t="shared" si="36"/>
        <v>0</v>
      </c>
      <c r="AT61" s="16">
        <f t="shared" si="11"/>
        <v>0</v>
      </c>
      <c r="AU61" s="17" t="str">
        <f>IF(OR(ISNUMBER(FIND({"M";"N";"D"},D61))),"1","")</f>
        <v/>
      </c>
      <c r="AV61" s="17" t="str">
        <f>IF(OR(ISNUMBER(FIND({"M";"N";"D"},E61))),"1","")</f>
        <v/>
      </c>
      <c r="AW61" s="17" t="str">
        <f>IF(OR(ISNUMBER(FIND({"M";"N";"D"},F61))),"1","")</f>
        <v/>
      </c>
      <c r="AX61" s="17" t="str">
        <f>IF(OR(ISNUMBER(FIND({"M";"N";"D"},G61))),"1","")</f>
        <v/>
      </c>
      <c r="AY61" s="17" t="str">
        <f>IF(OR(ISNUMBER(FIND({"M";"N";"D"},H61))),"1","")</f>
        <v/>
      </c>
      <c r="AZ61" s="17" t="str">
        <f>IF(OR(ISNUMBER(FIND({"M";"N";"D"},I61))),"1","")</f>
        <v/>
      </c>
      <c r="BA61" s="17" t="str">
        <f>IF(OR(ISNUMBER(FIND({"M";"N";"D"},J61))),"1","")</f>
        <v/>
      </c>
      <c r="BB61" s="17" t="str">
        <f>IF(OR(ISNUMBER(FIND({"M";"N";"D"},K61))),"1","")</f>
        <v/>
      </c>
      <c r="BC61" s="17" t="str">
        <f>IF(OR(ISNUMBER(FIND({"M";"N";"D"},L61))),"1","")</f>
        <v/>
      </c>
      <c r="BD61" s="17" t="str">
        <f>IF(OR(ISNUMBER(FIND({"M";"N";"D"},M61))),"1","")</f>
        <v/>
      </c>
      <c r="BE61" s="17" t="str">
        <f>IF(OR(ISNUMBER(FIND({"M";"N";"D"},N61))),"1","")</f>
        <v/>
      </c>
      <c r="BF61" s="17" t="str">
        <f>IF(OR(ISNUMBER(FIND({"M";"N";"D"},O61))),"1","")</f>
        <v/>
      </c>
      <c r="BG61" s="17" t="str">
        <f>IF(OR(ISNUMBER(FIND({"M";"N";"D"},P61))),"1","")</f>
        <v/>
      </c>
      <c r="BH61" s="17" t="str">
        <f>IF(OR(ISNUMBER(FIND({"M";"N";"D"},Q61))),"1","")</f>
        <v/>
      </c>
      <c r="BI61" s="17" t="str">
        <f>IF(OR(ISNUMBER(FIND({"M";"N";"D"},R61))),"1","")</f>
        <v/>
      </c>
      <c r="BJ61" s="17" t="str">
        <f>IF(OR(ISNUMBER(FIND({"M";"N";"D"},S61))),"1","")</f>
        <v/>
      </c>
      <c r="BK61" s="17" t="str">
        <f>IF(OR(ISNUMBER(FIND({"M";"N";"D"},T61))),"1","")</f>
        <v/>
      </c>
      <c r="BL61" s="17" t="str">
        <f>IF(OR(ISNUMBER(FIND({"M";"N";"D"},U61))),"1","")</f>
        <v/>
      </c>
      <c r="BM61" s="17" t="str">
        <f>IF(OR(ISNUMBER(FIND({"M";"N";"D"},V61))),"1","")</f>
        <v/>
      </c>
      <c r="BN61" s="17" t="str">
        <f>IF(OR(ISNUMBER(FIND({"M";"N";"D"},W61))),"1","")</f>
        <v/>
      </c>
      <c r="BO61" s="17" t="str">
        <f>IF(OR(ISNUMBER(FIND({"M";"N";"D"},X61))),"1","")</f>
        <v/>
      </c>
      <c r="BP61" s="17" t="str">
        <f>IF(OR(ISNUMBER(FIND({"M";"N";"D"},Y61))),"1","")</f>
        <v/>
      </c>
      <c r="BQ61" s="17" t="str">
        <f>IF(OR(ISNUMBER(FIND({"M";"N";"D"},Z61))),"1","")</f>
        <v/>
      </c>
      <c r="BR61" s="17" t="str">
        <f>IF(OR(ISNUMBER(FIND({"M";"N";"D"},AA61))),"1","")</f>
        <v/>
      </c>
      <c r="BS61" s="17" t="str">
        <f>IF(OR(ISNUMBER(FIND({"M";"N";"D"},AB61))),"1","")</f>
        <v/>
      </c>
      <c r="BT61" s="17" t="str">
        <f>IF(OR(ISNUMBER(FIND({"M";"N";"D"},AC61))),"1","")</f>
        <v/>
      </c>
      <c r="BU61" s="17" t="str">
        <f>IF(OR(ISNUMBER(FIND({"M";"N";"D"},AD61))),"1","")</f>
        <v/>
      </c>
      <c r="BV61" s="17" t="str">
        <f>IF(OR(ISNUMBER(FIND({"M";"N";"D"},AE61))),"1","")</f>
        <v/>
      </c>
      <c r="BW61" s="17" t="str">
        <f>IF(OR(ISNUMBER(FIND({"M";"N";"D"},AF61))),"1","")</f>
        <v/>
      </c>
      <c r="BX61" s="17" t="str">
        <f>IF(OR(ISNUMBER(FIND({"M";"N";"D"},AG61))),"1","")</f>
        <v/>
      </c>
      <c r="BY61" s="17" t="str">
        <f>IF(OR(ISNUMBER(FIND({"M";"N";"D"},AH61))),"1","")</f>
        <v/>
      </c>
      <c r="BZ61" s="17" t="str">
        <f>IF(OR(ISNUMBER(FIND({"M";"N";"D"},AI61))),"1","")</f>
        <v/>
      </c>
      <c r="CA61" s="17" t="str">
        <f>IF(OR(ISNUMBER(FIND({"M";"N";"D"},AJ61))),"1","")</f>
        <v/>
      </c>
      <c r="CB61" s="17" t="str">
        <f>IF(OR(ISNUMBER(FIND({"M";"N";"D"},AK61))),"1","")</f>
        <v/>
      </c>
      <c r="CC61" s="17" t="str">
        <f>IF(OR(ISNUMBER(FIND({"M";"N";"D"},AL61))),"1","")</f>
        <v/>
      </c>
      <c r="CD61" s="17" t="str">
        <f>IF(OR(ISNUMBER(FIND({"M";"N";"D"},AM61))),"1","")</f>
        <v/>
      </c>
      <c r="CE61" s="17" t="str">
        <f>IF(OR(ISNUMBER(FIND({"M";"N";"D"},AN61))),"1","")</f>
        <v/>
      </c>
      <c r="CF61" s="16">
        <f t="array" ref="CF61">MAX(FREQUENCY(IF(AU61:CE61&lt;&gt;"",COLUMN(AU61:CE61)),IF(AU61:CE61="",COLUMN(AU61:CE61))))</f>
        <v>0</v>
      </c>
      <c r="CG61" s="7"/>
      <c r="CH61" s="18">
        <f t="shared" si="37"/>
        <v>0</v>
      </c>
      <c r="CI61" s="8">
        <v>168</v>
      </c>
      <c r="CJ61" s="18">
        <f t="shared" si="5"/>
        <v>-168</v>
      </c>
      <c r="CK61" s="19">
        <f t="shared" si="43"/>
        <v>0</v>
      </c>
      <c r="CL61" s="30">
        <f t="shared" si="14"/>
        <v>0</v>
      </c>
      <c r="CM61" s="30">
        <f t="shared" si="44"/>
        <v>0</v>
      </c>
      <c r="CN61" s="19">
        <f t="shared" si="38"/>
        <v>0</v>
      </c>
      <c r="CO61" s="19">
        <f t="shared" si="39"/>
        <v>0</v>
      </c>
      <c r="CP61" s="19">
        <f t="shared" si="40"/>
        <v>0</v>
      </c>
      <c r="CQ61" s="19">
        <f t="shared" si="41"/>
        <v>0</v>
      </c>
      <c r="CR61" s="19">
        <f t="shared" si="42"/>
        <v>0</v>
      </c>
    </row>
    <row r="62" spans="1:96" s="9" customFormat="1" ht="12.75" customHeight="1">
      <c r="A62" s="20"/>
      <c r="B62" s="21"/>
      <c r="C62" s="2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6">
        <f t="shared" si="32"/>
        <v>0</v>
      </c>
      <c r="AP62" s="6">
        <f t="shared" si="33"/>
        <v>0</v>
      </c>
      <c r="AQ62" s="6">
        <f t="shared" si="34"/>
        <v>0</v>
      </c>
      <c r="AR62" s="6">
        <f t="shared" si="35"/>
        <v>0</v>
      </c>
      <c r="AS62" s="6">
        <f t="shared" si="36"/>
        <v>0</v>
      </c>
      <c r="AT62" s="16">
        <f t="shared" si="11"/>
        <v>0</v>
      </c>
      <c r="AU62" s="17" t="str">
        <f>IF(OR(ISNUMBER(FIND({"M";"N";"D"},D62))),"1","")</f>
        <v/>
      </c>
      <c r="AV62" s="17" t="str">
        <f>IF(OR(ISNUMBER(FIND({"M";"N";"D"},E62))),"1","")</f>
        <v/>
      </c>
      <c r="AW62" s="17" t="str">
        <f>IF(OR(ISNUMBER(FIND({"M";"N";"D"},F62))),"1","")</f>
        <v/>
      </c>
      <c r="AX62" s="17" t="str">
        <f>IF(OR(ISNUMBER(FIND({"M";"N";"D"},G62))),"1","")</f>
        <v/>
      </c>
      <c r="AY62" s="17" t="str">
        <f>IF(OR(ISNUMBER(FIND({"M";"N";"D"},H62))),"1","")</f>
        <v/>
      </c>
      <c r="AZ62" s="17" t="str">
        <f>IF(OR(ISNUMBER(FIND({"M";"N";"D"},I62))),"1","")</f>
        <v/>
      </c>
      <c r="BA62" s="17" t="str">
        <f>IF(OR(ISNUMBER(FIND({"M";"N";"D"},J62))),"1","")</f>
        <v/>
      </c>
      <c r="BB62" s="17" t="str">
        <f>IF(OR(ISNUMBER(FIND({"M";"N";"D"},K62))),"1","")</f>
        <v/>
      </c>
      <c r="BC62" s="17" t="str">
        <f>IF(OR(ISNUMBER(FIND({"M";"N";"D"},L62))),"1","")</f>
        <v/>
      </c>
      <c r="BD62" s="17" t="str">
        <f>IF(OR(ISNUMBER(FIND({"M";"N";"D"},M62))),"1","")</f>
        <v/>
      </c>
      <c r="BE62" s="17" t="str">
        <f>IF(OR(ISNUMBER(FIND({"M";"N";"D"},N62))),"1","")</f>
        <v/>
      </c>
      <c r="BF62" s="17" t="str">
        <f>IF(OR(ISNUMBER(FIND({"M";"N";"D"},O62))),"1","")</f>
        <v/>
      </c>
      <c r="BG62" s="17" t="str">
        <f>IF(OR(ISNUMBER(FIND({"M";"N";"D"},P62))),"1","")</f>
        <v/>
      </c>
      <c r="BH62" s="17" t="str">
        <f>IF(OR(ISNUMBER(FIND({"M";"N";"D"},Q62))),"1","")</f>
        <v/>
      </c>
      <c r="BI62" s="17" t="str">
        <f>IF(OR(ISNUMBER(FIND({"M";"N";"D"},R62))),"1","")</f>
        <v/>
      </c>
      <c r="BJ62" s="17" t="str">
        <f>IF(OR(ISNUMBER(FIND({"M";"N";"D"},S62))),"1","")</f>
        <v/>
      </c>
      <c r="BK62" s="17" t="str">
        <f>IF(OR(ISNUMBER(FIND({"M";"N";"D"},T62))),"1","")</f>
        <v/>
      </c>
      <c r="BL62" s="17" t="str">
        <f>IF(OR(ISNUMBER(FIND({"M";"N";"D"},U62))),"1","")</f>
        <v/>
      </c>
      <c r="BM62" s="17" t="str">
        <f>IF(OR(ISNUMBER(FIND({"M";"N";"D"},V62))),"1","")</f>
        <v/>
      </c>
      <c r="BN62" s="17" t="str">
        <f>IF(OR(ISNUMBER(FIND({"M";"N";"D"},W62))),"1","")</f>
        <v/>
      </c>
      <c r="BO62" s="17" t="str">
        <f>IF(OR(ISNUMBER(FIND({"M";"N";"D"},X62))),"1","")</f>
        <v/>
      </c>
      <c r="BP62" s="17" t="str">
        <f>IF(OR(ISNUMBER(FIND({"M";"N";"D"},Y62))),"1","")</f>
        <v/>
      </c>
      <c r="BQ62" s="17" t="str">
        <f>IF(OR(ISNUMBER(FIND({"M";"N";"D"},Z62))),"1","")</f>
        <v/>
      </c>
      <c r="BR62" s="17" t="str">
        <f>IF(OR(ISNUMBER(FIND({"M";"N";"D"},AA62))),"1","")</f>
        <v/>
      </c>
      <c r="BS62" s="17" t="str">
        <f>IF(OR(ISNUMBER(FIND({"M";"N";"D"},AB62))),"1","")</f>
        <v/>
      </c>
      <c r="BT62" s="17" t="str">
        <f>IF(OR(ISNUMBER(FIND({"M";"N";"D"},AC62))),"1","")</f>
        <v/>
      </c>
      <c r="BU62" s="17" t="str">
        <f>IF(OR(ISNUMBER(FIND({"M";"N";"D"},AD62))),"1","")</f>
        <v/>
      </c>
      <c r="BV62" s="17" t="str">
        <f>IF(OR(ISNUMBER(FIND({"M";"N";"D"},AE62))),"1","")</f>
        <v/>
      </c>
      <c r="BW62" s="17" t="str">
        <f>IF(OR(ISNUMBER(FIND({"M";"N";"D"},AF62))),"1","")</f>
        <v/>
      </c>
      <c r="BX62" s="17" t="str">
        <f>IF(OR(ISNUMBER(FIND({"M";"N";"D"},AG62))),"1","")</f>
        <v/>
      </c>
      <c r="BY62" s="17" t="str">
        <f>IF(OR(ISNUMBER(FIND({"M";"N";"D"},AH62))),"1","")</f>
        <v/>
      </c>
      <c r="BZ62" s="17" t="str">
        <f>IF(OR(ISNUMBER(FIND({"M";"N";"D"},AI62))),"1","")</f>
        <v/>
      </c>
      <c r="CA62" s="17" t="str">
        <f>IF(OR(ISNUMBER(FIND({"M";"N";"D"},AJ62))),"1","")</f>
        <v/>
      </c>
      <c r="CB62" s="17" t="str">
        <f>IF(OR(ISNUMBER(FIND({"M";"N";"D"},AK62))),"1","")</f>
        <v/>
      </c>
      <c r="CC62" s="17" t="str">
        <f>IF(OR(ISNUMBER(FIND({"M";"N";"D"},AL62))),"1","")</f>
        <v/>
      </c>
      <c r="CD62" s="17" t="str">
        <f>IF(OR(ISNUMBER(FIND({"M";"N";"D"},AM62))),"1","")</f>
        <v/>
      </c>
      <c r="CE62" s="17" t="str">
        <f>IF(OR(ISNUMBER(FIND({"M";"N";"D"},AN62))),"1","")</f>
        <v/>
      </c>
      <c r="CF62" s="16">
        <f t="array" ref="CF62">MAX(FREQUENCY(IF(AU62:CE62&lt;&gt;"",COLUMN(AU62:CE62)),IF(AU62:CE62="",COLUMN(AU62:CE62))))</f>
        <v>0</v>
      </c>
      <c r="CG62" s="7"/>
      <c r="CH62" s="18">
        <f t="shared" si="37"/>
        <v>0</v>
      </c>
      <c r="CI62" s="8">
        <v>168</v>
      </c>
      <c r="CJ62" s="18">
        <f t="shared" si="5"/>
        <v>-168</v>
      </c>
      <c r="CK62" s="19">
        <f t="shared" si="43"/>
        <v>0</v>
      </c>
      <c r="CL62" s="30">
        <f t="shared" si="14"/>
        <v>0</v>
      </c>
      <c r="CM62" s="30">
        <f t="shared" si="44"/>
        <v>0</v>
      </c>
      <c r="CN62" s="19">
        <f t="shared" si="38"/>
        <v>0</v>
      </c>
      <c r="CO62" s="19">
        <f t="shared" si="39"/>
        <v>0</v>
      </c>
      <c r="CP62" s="19">
        <f t="shared" si="40"/>
        <v>0</v>
      </c>
      <c r="CQ62" s="19">
        <f t="shared" si="41"/>
        <v>0</v>
      </c>
      <c r="CR62" s="19">
        <f t="shared" si="42"/>
        <v>0</v>
      </c>
    </row>
    <row r="63" spans="1:96" s="9" customFormat="1" ht="12.75">
      <c r="A63" s="20"/>
      <c r="B63" s="21"/>
      <c r="C63" s="21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6">
        <f t="shared" si="32"/>
        <v>0</v>
      </c>
      <c r="AP63" s="6">
        <f t="shared" si="33"/>
        <v>0</v>
      </c>
      <c r="AQ63" s="6">
        <f t="shared" si="34"/>
        <v>0</v>
      </c>
      <c r="AR63" s="6">
        <f t="shared" si="35"/>
        <v>0</v>
      </c>
      <c r="AS63" s="6">
        <f t="shared" si="36"/>
        <v>0</v>
      </c>
      <c r="AT63" s="16">
        <f t="shared" si="11"/>
        <v>0</v>
      </c>
      <c r="AU63" s="17" t="str">
        <f>IF(OR(ISNUMBER(FIND({"M";"N";"D"},D63))),"1","")</f>
        <v/>
      </c>
      <c r="AV63" s="17" t="str">
        <f>IF(OR(ISNUMBER(FIND({"M";"N";"D"},E63))),"1","")</f>
        <v/>
      </c>
      <c r="AW63" s="17" t="str">
        <f>IF(OR(ISNUMBER(FIND({"M";"N";"D"},F63))),"1","")</f>
        <v/>
      </c>
      <c r="AX63" s="17" t="str">
        <f>IF(OR(ISNUMBER(FIND({"M";"N";"D"},G63))),"1","")</f>
        <v/>
      </c>
      <c r="AY63" s="17" t="str">
        <f>IF(OR(ISNUMBER(FIND({"M";"N";"D"},H63))),"1","")</f>
        <v/>
      </c>
      <c r="AZ63" s="17" t="str">
        <f>IF(OR(ISNUMBER(FIND({"M";"N";"D"},I63))),"1","")</f>
        <v/>
      </c>
      <c r="BA63" s="17" t="str">
        <f>IF(OR(ISNUMBER(FIND({"M";"N";"D"},J63))),"1","")</f>
        <v/>
      </c>
      <c r="BB63" s="17" t="str">
        <f>IF(OR(ISNUMBER(FIND({"M";"N";"D"},K63))),"1","")</f>
        <v/>
      </c>
      <c r="BC63" s="17" t="str">
        <f>IF(OR(ISNUMBER(FIND({"M";"N";"D"},L63))),"1","")</f>
        <v/>
      </c>
      <c r="BD63" s="17" t="str">
        <f>IF(OR(ISNUMBER(FIND({"M";"N";"D"},M63))),"1","")</f>
        <v/>
      </c>
      <c r="BE63" s="17" t="str">
        <f>IF(OR(ISNUMBER(FIND({"M";"N";"D"},N63))),"1","")</f>
        <v/>
      </c>
      <c r="BF63" s="17" t="str">
        <f>IF(OR(ISNUMBER(FIND({"M";"N";"D"},O63))),"1","")</f>
        <v/>
      </c>
      <c r="BG63" s="17" t="str">
        <f>IF(OR(ISNUMBER(FIND({"M";"N";"D"},P63))),"1","")</f>
        <v/>
      </c>
      <c r="BH63" s="17" t="str">
        <f>IF(OR(ISNUMBER(FIND({"M";"N";"D"},Q63))),"1","")</f>
        <v/>
      </c>
      <c r="BI63" s="17" t="str">
        <f>IF(OR(ISNUMBER(FIND({"M";"N";"D"},R63))),"1","")</f>
        <v/>
      </c>
      <c r="BJ63" s="17" t="str">
        <f>IF(OR(ISNUMBER(FIND({"M";"N";"D"},S63))),"1","")</f>
        <v/>
      </c>
      <c r="BK63" s="17" t="str">
        <f>IF(OR(ISNUMBER(FIND({"M";"N";"D"},T63))),"1","")</f>
        <v/>
      </c>
      <c r="BL63" s="17" t="str">
        <f>IF(OR(ISNUMBER(FIND({"M";"N";"D"},U63))),"1","")</f>
        <v/>
      </c>
      <c r="BM63" s="17" t="str">
        <f>IF(OR(ISNUMBER(FIND({"M";"N";"D"},V63))),"1","")</f>
        <v/>
      </c>
      <c r="BN63" s="17" t="str">
        <f>IF(OR(ISNUMBER(FIND({"M";"N";"D"},W63))),"1","")</f>
        <v/>
      </c>
      <c r="BO63" s="17" t="str">
        <f>IF(OR(ISNUMBER(FIND({"M";"N";"D"},X63))),"1","")</f>
        <v/>
      </c>
      <c r="BP63" s="17" t="str">
        <f>IF(OR(ISNUMBER(FIND({"M";"N";"D"},Y63))),"1","")</f>
        <v/>
      </c>
      <c r="BQ63" s="17" t="str">
        <f>IF(OR(ISNUMBER(FIND({"M";"N";"D"},Z63))),"1","")</f>
        <v/>
      </c>
      <c r="BR63" s="17" t="str">
        <f>IF(OR(ISNUMBER(FIND({"M";"N";"D"},AA63))),"1","")</f>
        <v/>
      </c>
      <c r="BS63" s="17" t="str">
        <f>IF(OR(ISNUMBER(FIND({"M";"N";"D"},AB63))),"1","")</f>
        <v/>
      </c>
      <c r="BT63" s="17" t="str">
        <f>IF(OR(ISNUMBER(FIND({"M";"N";"D"},AC63))),"1","")</f>
        <v/>
      </c>
      <c r="BU63" s="17" t="str">
        <f>IF(OR(ISNUMBER(FIND({"M";"N";"D"},AD63))),"1","")</f>
        <v/>
      </c>
      <c r="BV63" s="17" t="str">
        <f>IF(OR(ISNUMBER(FIND({"M";"N";"D"},AE63))),"1","")</f>
        <v/>
      </c>
      <c r="BW63" s="17" t="str">
        <f>IF(OR(ISNUMBER(FIND({"M";"N";"D"},AF63))),"1","")</f>
        <v/>
      </c>
      <c r="BX63" s="17" t="str">
        <f>IF(OR(ISNUMBER(FIND({"M";"N";"D"},AG63))),"1","")</f>
        <v/>
      </c>
      <c r="BY63" s="17" t="str">
        <f>IF(OR(ISNUMBER(FIND({"M";"N";"D"},AH63))),"1","")</f>
        <v/>
      </c>
      <c r="BZ63" s="17" t="str">
        <f>IF(OR(ISNUMBER(FIND({"M";"N";"D"},AI63))),"1","")</f>
        <v/>
      </c>
      <c r="CA63" s="17" t="str">
        <f>IF(OR(ISNUMBER(FIND({"M";"N";"D"},AJ63))),"1","")</f>
        <v/>
      </c>
      <c r="CB63" s="17" t="str">
        <f>IF(OR(ISNUMBER(FIND({"M";"N";"D"},AK63))),"1","")</f>
        <v/>
      </c>
      <c r="CC63" s="17" t="str">
        <f>IF(OR(ISNUMBER(FIND({"M";"N";"D"},AL63))),"1","")</f>
        <v/>
      </c>
      <c r="CD63" s="17" t="str">
        <f>IF(OR(ISNUMBER(FIND({"M";"N";"D"},AM63))),"1","")</f>
        <v/>
      </c>
      <c r="CE63" s="17" t="str">
        <f>IF(OR(ISNUMBER(FIND({"M";"N";"D"},AN63))),"1","")</f>
        <v/>
      </c>
      <c r="CF63" s="16">
        <f t="array" ref="CF63">MAX(FREQUENCY(IF(AU63:CE63&lt;&gt;"",COLUMN(AU63:CE63)),IF(AU63:CE63="",COLUMN(AU63:CE63))))</f>
        <v>0</v>
      </c>
      <c r="CG63" s="7"/>
      <c r="CH63" s="18">
        <f t="shared" si="37"/>
        <v>0</v>
      </c>
      <c r="CI63" s="8">
        <v>168</v>
      </c>
      <c r="CJ63" s="18">
        <f t="shared" si="5"/>
        <v>-168</v>
      </c>
      <c r="CK63" s="19">
        <f t="shared" si="43"/>
        <v>0</v>
      </c>
      <c r="CL63" s="30">
        <f t="shared" si="14"/>
        <v>0</v>
      </c>
      <c r="CM63" s="30">
        <f t="shared" si="44"/>
        <v>0</v>
      </c>
      <c r="CN63" s="19">
        <f t="shared" si="38"/>
        <v>0</v>
      </c>
      <c r="CO63" s="19">
        <f t="shared" si="39"/>
        <v>0</v>
      </c>
      <c r="CP63" s="19">
        <f t="shared" si="40"/>
        <v>0</v>
      </c>
      <c r="CQ63" s="19">
        <f t="shared" si="41"/>
        <v>0</v>
      </c>
      <c r="CR63" s="19">
        <f t="shared" si="42"/>
        <v>0</v>
      </c>
    </row>
    <row r="64" spans="1:96" s="9" customFormat="1" ht="12.75">
      <c r="A64" s="20"/>
      <c r="B64" s="21"/>
      <c r="C64" s="21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6">
        <f t="shared" si="32"/>
        <v>0</v>
      </c>
      <c r="AP64" s="6">
        <f t="shared" si="33"/>
        <v>0</v>
      </c>
      <c r="AQ64" s="6">
        <f t="shared" si="34"/>
        <v>0</v>
      </c>
      <c r="AR64" s="6">
        <f t="shared" si="35"/>
        <v>0</v>
      </c>
      <c r="AS64" s="6">
        <f t="shared" si="36"/>
        <v>0</v>
      </c>
      <c r="AT64" s="16">
        <f t="shared" si="11"/>
        <v>0</v>
      </c>
      <c r="AU64" s="17" t="str">
        <f>IF(OR(ISNUMBER(FIND({"M";"N";"D"},D64))),"1","")</f>
        <v/>
      </c>
      <c r="AV64" s="17" t="str">
        <f>IF(OR(ISNUMBER(FIND({"M";"N";"D"},E64))),"1","")</f>
        <v/>
      </c>
      <c r="AW64" s="17" t="str">
        <f>IF(OR(ISNUMBER(FIND({"M";"N";"D"},F64))),"1","")</f>
        <v/>
      </c>
      <c r="AX64" s="17" t="str">
        <f>IF(OR(ISNUMBER(FIND({"M";"N";"D"},G64))),"1","")</f>
        <v/>
      </c>
      <c r="AY64" s="17" t="str">
        <f>IF(OR(ISNUMBER(FIND({"M";"N";"D"},H64))),"1","")</f>
        <v/>
      </c>
      <c r="AZ64" s="17" t="str">
        <f>IF(OR(ISNUMBER(FIND({"M";"N";"D"},I64))),"1","")</f>
        <v/>
      </c>
      <c r="BA64" s="17" t="str">
        <f>IF(OR(ISNUMBER(FIND({"M";"N";"D"},J64))),"1","")</f>
        <v/>
      </c>
      <c r="BB64" s="17" t="str">
        <f>IF(OR(ISNUMBER(FIND({"M";"N";"D"},K64))),"1","")</f>
        <v/>
      </c>
      <c r="BC64" s="17" t="str">
        <f>IF(OR(ISNUMBER(FIND({"M";"N";"D"},L64))),"1","")</f>
        <v/>
      </c>
      <c r="BD64" s="17" t="str">
        <f>IF(OR(ISNUMBER(FIND({"M";"N";"D"},M64))),"1","")</f>
        <v/>
      </c>
      <c r="BE64" s="17" t="str">
        <f>IF(OR(ISNUMBER(FIND({"M";"N";"D"},N64))),"1","")</f>
        <v/>
      </c>
      <c r="BF64" s="17" t="str">
        <f>IF(OR(ISNUMBER(FIND({"M";"N";"D"},O64))),"1","")</f>
        <v/>
      </c>
      <c r="BG64" s="17" t="str">
        <f>IF(OR(ISNUMBER(FIND({"M";"N";"D"},P64))),"1","")</f>
        <v/>
      </c>
      <c r="BH64" s="17" t="str">
        <f>IF(OR(ISNUMBER(FIND({"M";"N";"D"},Q64))),"1","")</f>
        <v/>
      </c>
      <c r="BI64" s="17" t="str">
        <f>IF(OR(ISNUMBER(FIND({"M";"N";"D"},R64))),"1","")</f>
        <v/>
      </c>
      <c r="BJ64" s="17" t="str">
        <f>IF(OR(ISNUMBER(FIND({"M";"N";"D"},S64))),"1","")</f>
        <v/>
      </c>
      <c r="BK64" s="17" t="str">
        <f>IF(OR(ISNUMBER(FIND({"M";"N";"D"},T64))),"1","")</f>
        <v/>
      </c>
      <c r="BL64" s="17" t="str">
        <f>IF(OR(ISNUMBER(FIND({"M";"N";"D"},U64))),"1","")</f>
        <v/>
      </c>
      <c r="BM64" s="17" t="str">
        <f>IF(OR(ISNUMBER(FIND({"M";"N";"D"},V64))),"1","")</f>
        <v/>
      </c>
      <c r="BN64" s="17" t="str">
        <f>IF(OR(ISNUMBER(FIND({"M";"N";"D"},W64))),"1","")</f>
        <v/>
      </c>
      <c r="BO64" s="17" t="str">
        <f>IF(OR(ISNUMBER(FIND({"M";"N";"D"},X64))),"1","")</f>
        <v/>
      </c>
      <c r="BP64" s="17" t="str">
        <f>IF(OR(ISNUMBER(FIND({"M";"N";"D"},Y64))),"1","")</f>
        <v/>
      </c>
      <c r="BQ64" s="17" t="str">
        <f>IF(OR(ISNUMBER(FIND({"M";"N";"D"},Z64))),"1","")</f>
        <v/>
      </c>
      <c r="BR64" s="17" t="str">
        <f>IF(OR(ISNUMBER(FIND({"M";"N";"D"},AA64))),"1","")</f>
        <v/>
      </c>
      <c r="BS64" s="17" t="str">
        <f>IF(OR(ISNUMBER(FIND({"M";"N";"D"},AB64))),"1","")</f>
        <v/>
      </c>
      <c r="BT64" s="17" t="str">
        <f>IF(OR(ISNUMBER(FIND({"M";"N";"D"},AC64))),"1","")</f>
        <v/>
      </c>
      <c r="BU64" s="17" t="str">
        <f>IF(OR(ISNUMBER(FIND({"M";"N";"D"},AD64))),"1","")</f>
        <v/>
      </c>
      <c r="BV64" s="17" t="str">
        <f>IF(OR(ISNUMBER(FIND({"M";"N";"D"},AE64))),"1","")</f>
        <v/>
      </c>
      <c r="BW64" s="17" t="str">
        <f>IF(OR(ISNUMBER(FIND({"M";"N";"D"},AF64))),"1","")</f>
        <v/>
      </c>
      <c r="BX64" s="17" t="str">
        <f>IF(OR(ISNUMBER(FIND({"M";"N";"D"},AG64))),"1","")</f>
        <v/>
      </c>
      <c r="BY64" s="17" t="str">
        <f>IF(OR(ISNUMBER(FIND({"M";"N";"D"},AH64))),"1","")</f>
        <v/>
      </c>
      <c r="BZ64" s="17" t="str">
        <f>IF(OR(ISNUMBER(FIND({"M";"N";"D"},AI64))),"1","")</f>
        <v/>
      </c>
      <c r="CA64" s="17" t="str">
        <f>IF(OR(ISNUMBER(FIND({"M";"N";"D"},AJ64))),"1","")</f>
        <v/>
      </c>
      <c r="CB64" s="17" t="str">
        <f>IF(OR(ISNUMBER(FIND({"M";"N";"D"},AK64))),"1","")</f>
        <v/>
      </c>
      <c r="CC64" s="17" t="str">
        <f>IF(OR(ISNUMBER(FIND({"M";"N";"D"},AL64))),"1","")</f>
        <v/>
      </c>
      <c r="CD64" s="17" t="str">
        <f>IF(OR(ISNUMBER(FIND({"M";"N";"D"},AM64))),"1","")</f>
        <v/>
      </c>
      <c r="CE64" s="17" t="str">
        <f>IF(OR(ISNUMBER(FIND({"M";"N";"D"},AN64))),"1","")</f>
        <v/>
      </c>
      <c r="CF64" s="16">
        <f t="array" ref="CF64">MAX(FREQUENCY(IF(AU64:CE64&lt;&gt;"",COLUMN(AU64:CE64)),IF(AU64:CE64="",COLUMN(AU64:CE64))))</f>
        <v>0</v>
      </c>
      <c r="CG64" s="7"/>
      <c r="CH64" s="18">
        <f t="shared" si="37"/>
        <v>0</v>
      </c>
      <c r="CI64" s="8">
        <v>168</v>
      </c>
      <c r="CJ64" s="18">
        <f t="shared" si="5"/>
        <v>-168</v>
      </c>
      <c r="CK64" s="19">
        <f t="shared" si="43"/>
        <v>0</v>
      </c>
      <c r="CL64" s="30">
        <f t="shared" si="14"/>
        <v>0</v>
      </c>
      <c r="CM64" s="30">
        <f t="shared" si="44"/>
        <v>0</v>
      </c>
      <c r="CN64" s="19">
        <f t="shared" si="38"/>
        <v>0</v>
      </c>
      <c r="CO64" s="19">
        <f t="shared" si="39"/>
        <v>0</v>
      </c>
      <c r="CP64" s="19">
        <f t="shared" si="40"/>
        <v>0</v>
      </c>
      <c r="CQ64" s="19">
        <f t="shared" si="41"/>
        <v>0</v>
      </c>
      <c r="CR64" s="19">
        <f t="shared" si="42"/>
        <v>0</v>
      </c>
    </row>
    <row r="65" spans="1:96" s="9" customFormat="1" ht="12.75">
      <c r="A65" s="20"/>
      <c r="B65" s="21"/>
      <c r="C65" s="2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6">
        <f t="shared" si="32"/>
        <v>0</v>
      </c>
      <c r="AP65" s="6">
        <f t="shared" si="33"/>
        <v>0</v>
      </c>
      <c r="AQ65" s="6">
        <f t="shared" si="34"/>
        <v>0</v>
      </c>
      <c r="AR65" s="6">
        <f t="shared" si="35"/>
        <v>0</v>
      </c>
      <c r="AS65" s="6">
        <f t="shared" si="36"/>
        <v>0</v>
      </c>
      <c r="AT65" s="16">
        <f t="shared" si="11"/>
        <v>0</v>
      </c>
      <c r="AU65" s="17" t="str">
        <f>IF(OR(ISNUMBER(FIND({"M";"N";"D"},D65))),"1","")</f>
        <v/>
      </c>
      <c r="AV65" s="17" t="str">
        <f>IF(OR(ISNUMBER(FIND({"M";"N";"D"},E65))),"1","")</f>
        <v/>
      </c>
      <c r="AW65" s="17" t="str">
        <f>IF(OR(ISNUMBER(FIND({"M";"N";"D"},F65))),"1","")</f>
        <v/>
      </c>
      <c r="AX65" s="17" t="str">
        <f>IF(OR(ISNUMBER(FIND({"M";"N";"D"},G65))),"1","")</f>
        <v/>
      </c>
      <c r="AY65" s="17" t="str">
        <f>IF(OR(ISNUMBER(FIND({"M";"N";"D"},H65))),"1","")</f>
        <v/>
      </c>
      <c r="AZ65" s="17" t="str">
        <f>IF(OR(ISNUMBER(FIND({"M";"N";"D"},I65))),"1","")</f>
        <v/>
      </c>
      <c r="BA65" s="17" t="str">
        <f>IF(OR(ISNUMBER(FIND({"M";"N";"D"},J65))),"1","")</f>
        <v/>
      </c>
      <c r="BB65" s="17" t="str">
        <f>IF(OR(ISNUMBER(FIND({"M";"N";"D"},K65))),"1","")</f>
        <v/>
      </c>
      <c r="BC65" s="17" t="str">
        <f>IF(OR(ISNUMBER(FIND({"M";"N";"D"},L65))),"1","")</f>
        <v/>
      </c>
      <c r="BD65" s="17" t="str">
        <f>IF(OR(ISNUMBER(FIND({"M";"N";"D"},M65))),"1","")</f>
        <v/>
      </c>
      <c r="BE65" s="17" t="str">
        <f>IF(OR(ISNUMBER(FIND({"M";"N";"D"},N65))),"1","")</f>
        <v/>
      </c>
      <c r="BF65" s="17" t="str">
        <f>IF(OR(ISNUMBER(FIND({"M";"N";"D"},O65))),"1","")</f>
        <v/>
      </c>
      <c r="BG65" s="17" t="str">
        <f>IF(OR(ISNUMBER(FIND({"M";"N";"D"},P65))),"1","")</f>
        <v/>
      </c>
      <c r="BH65" s="17" t="str">
        <f>IF(OR(ISNUMBER(FIND({"M";"N";"D"},Q65))),"1","")</f>
        <v/>
      </c>
      <c r="BI65" s="17" t="str">
        <f>IF(OR(ISNUMBER(FIND({"M";"N";"D"},R65))),"1","")</f>
        <v/>
      </c>
      <c r="BJ65" s="17" t="str">
        <f>IF(OR(ISNUMBER(FIND({"M";"N";"D"},S65))),"1","")</f>
        <v/>
      </c>
      <c r="BK65" s="17" t="str">
        <f>IF(OR(ISNUMBER(FIND({"M";"N";"D"},T65))),"1","")</f>
        <v/>
      </c>
      <c r="BL65" s="17" t="str">
        <f>IF(OR(ISNUMBER(FIND({"M";"N";"D"},U65))),"1","")</f>
        <v/>
      </c>
      <c r="BM65" s="17" t="str">
        <f>IF(OR(ISNUMBER(FIND({"M";"N";"D"},V65))),"1","")</f>
        <v/>
      </c>
      <c r="BN65" s="17" t="str">
        <f>IF(OR(ISNUMBER(FIND({"M";"N";"D"},W65))),"1","")</f>
        <v/>
      </c>
      <c r="BO65" s="17" t="str">
        <f>IF(OR(ISNUMBER(FIND({"M";"N";"D"},X65))),"1","")</f>
        <v/>
      </c>
      <c r="BP65" s="17" t="str">
        <f>IF(OR(ISNUMBER(FIND({"M";"N";"D"},Y65))),"1","")</f>
        <v/>
      </c>
      <c r="BQ65" s="17" t="str">
        <f>IF(OR(ISNUMBER(FIND({"M";"N";"D"},Z65))),"1","")</f>
        <v/>
      </c>
      <c r="BR65" s="17" t="str">
        <f>IF(OR(ISNUMBER(FIND({"M";"N";"D"},AA65))),"1","")</f>
        <v/>
      </c>
      <c r="BS65" s="17" t="str">
        <f>IF(OR(ISNUMBER(FIND({"M";"N";"D"},AB65))),"1","")</f>
        <v/>
      </c>
      <c r="BT65" s="17" t="str">
        <f>IF(OR(ISNUMBER(FIND({"M";"N";"D"},AC65))),"1","")</f>
        <v/>
      </c>
      <c r="BU65" s="17" t="str">
        <f>IF(OR(ISNUMBER(FIND({"M";"N";"D"},AD65))),"1","")</f>
        <v/>
      </c>
      <c r="BV65" s="17" t="str">
        <f>IF(OR(ISNUMBER(FIND({"M";"N";"D"},AE65))),"1","")</f>
        <v/>
      </c>
      <c r="BW65" s="17" t="str">
        <f>IF(OR(ISNUMBER(FIND({"M";"N";"D"},AF65))),"1","")</f>
        <v/>
      </c>
      <c r="BX65" s="17" t="str">
        <f>IF(OR(ISNUMBER(FIND({"M";"N";"D"},AG65))),"1","")</f>
        <v/>
      </c>
      <c r="BY65" s="17" t="str">
        <f>IF(OR(ISNUMBER(FIND({"M";"N";"D"},AH65))),"1","")</f>
        <v/>
      </c>
      <c r="BZ65" s="17" t="str">
        <f>IF(OR(ISNUMBER(FIND({"M";"N";"D"},AI65))),"1","")</f>
        <v/>
      </c>
      <c r="CA65" s="17" t="str">
        <f>IF(OR(ISNUMBER(FIND({"M";"N";"D"},AJ65))),"1","")</f>
        <v/>
      </c>
      <c r="CB65" s="17" t="str">
        <f>IF(OR(ISNUMBER(FIND({"M";"N";"D"},AK65))),"1","")</f>
        <v/>
      </c>
      <c r="CC65" s="17" t="str">
        <f>IF(OR(ISNUMBER(FIND({"M";"N";"D"},AL65))),"1","")</f>
        <v/>
      </c>
      <c r="CD65" s="17" t="str">
        <f>IF(OR(ISNUMBER(FIND({"M";"N";"D"},AM65))),"1","")</f>
        <v/>
      </c>
      <c r="CE65" s="17" t="str">
        <f>IF(OR(ISNUMBER(FIND({"M";"N";"D"},AN65))),"1","")</f>
        <v/>
      </c>
      <c r="CF65" s="16">
        <f t="array" ref="CF65">MAX(FREQUENCY(IF(AU65:CE65&lt;&gt;"",COLUMN(AU65:CE65)),IF(AU65:CE65="",COLUMN(AU65:CE65))))</f>
        <v>0</v>
      </c>
      <c r="CG65" s="7"/>
      <c r="CH65" s="18">
        <f t="shared" si="37"/>
        <v>0</v>
      </c>
      <c r="CI65" s="8">
        <v>168</v>
      </c>
      <c r="CJ65" s="18">
        <f t="shared" si="5"/>
        <v>-168</v>
      </c>
      <c r="CK65" s="19">
        <f t="shared" si="43"/>
        <v>0</v>
      </c>
      <c r="CL65" s="30">
        <f t="shared" si="14"/>
        <v>0</v>
      </c>
      <c r="CM65" s="30">
        <f t="shared" si="44"/>
        <v>0</v>
      </c>
      <c r="CN65" s="19">
        <f t="shared" si="38"/>
        <v>0</v>
      </c>
      <c r="CO65" s="19">
        <f t="shared" si="39"/>
        <v>0</v>
      </c>
      <c r="CP65" s="19">
        <f t="shared" si="40"/>
        <v>0</v>
      </c>
      <c r="CQ65" s="19">
        <f t="shared" si="41"/>
        <v>0</v>
      </c>
      <c r="CR65" s="19">
        <f t="shared" si="42"/>
        <v>0</v>
      </c>
    </row>
    <row r="66" spans="1:96" s="9" customFormat="1" ht="12.75" customHeight="1">
      <c r="A66" s="20"/>
      <c r="B66" s="21"/>
      <c r="C66" s="2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6">
        <f t="shared" si="32"/>
        <v>0</v>
      </c>
      <c r="AP66" s="6">
        <f t="shared" si="33"/>
        <v>0</v>
      </c>
      <c r="AQ66" s="6">
        <f t="shared" si="34"/>
        <v>0</v>
      </c>
      <c r="AR66" s="6">
        <f t="shared" si="35"/>
        <v>0</v>
      </c>
      <c r="AS66" s="6">
        <f t="shared" si="36"/>
        <v>0</v>
      </c>
      <c r="AT66" s="16">
        <f t="shared" si="11"/>
        <v>0</v>
      </c>
      <c r="AU66" s="17" t="str">
        <f>IF(OR(ISNUMBER(FIND({"M";"N";"D"},D66))),"1","")</f>
        <v/>
      </c>
      <c r="AV66" s="17" t="str">
        <f>IF(OR(ISNUMBER(FIND({"M";"N";"D"},E66))),"1","")</f>
        <v/>
      </c>
      <c r="AW66" s="17" t="str">
        <f>IF(OR(ISNUMBER(FIND({"M";"N";"D"},F66))),"1","")</f>
        <v/>
      </c>
      <c r="AX66" s="17" t="str">
        <f>IF(OR(ISNUMBER(FIND({"M";"N";"D"},G66))),"1","")</f>
        <v/>
      </c>
      <c r="AY66" s="17" t="str">
        <f>IF(OR(ISNUMBER(FIND({"M";"N";"D"},H66))),"1","")</f>
        <v/>
      </c>
      <c r="AZ66" s="17" t="str">
        <f>IF(OR(ISNUMBER(FIND({"M";"N";"D"},I66))),"1","")</f>
        <v/>
      </c>
      <c r="BA66" s="17" t="str">
        <f>IF(OR(ISNUMBER(FIND({"M";"N";"D"},J66))),"1","")</f>
        <v/>
      </c>
      <c r="BB66" s="17" t="str">
        <f>IF(OR(ISNUMBER(FIND({"M";"N";"D"},K66))),"1","")</f>
        <v/>
      </c>
      <c r="BC66" s="17" t="str">
        <f>IF(OR(ISNUMBER(FIND({"M";"N";"D"},L66))),"1","")</f>
        <v/>
      </c>
      <c r="BD66" s="17" t="str">
        <f>IF(OR(ISNUMBER(FIND({"M";"N";"D"},M66))),"1","")</f>
        <v/>
      </c>
      <c r="BE66" s="17" t="str">
        <f>IF(OR(ISNUMBER(FIND({"M";"N";"D"},N66))),"1","")</f>
        <v/>
      </c>
      <c r="BF66" s="17" t="str">
        <f>IF(OR(ISNUMBER(FIND({"M";"N";"D"},O66))),"1","")</f>
        <v/>
      </c>
      <c r="BG66" s="17" t="str">
        <f>IF(OR(ISNUMBER(FIND({"M";"N";"D"},P66))),"1","")</f>
        <v/>
      </c>
      <c r="BH66" s="17" t="str">
        <f>IF(OR(ISNUMBER(FIND({"M";"N";"D"},Q66))),"1","")</f>
        <v/>
      </c>
      <c r="BI66" s="17" t="str">
        <f>IF(OR(ISNUMBER(FIND({"M";"N";"D"},R66))),"1","")</f>
        <v/>
      </c>
      <c r="BJ66" s="17" t="str">
        <f>IF(OR(ISNUMBER(FIND({"M";"N";"D"},S66))),"1","")</f>
        <v/>
      </c>
      <c r="BK66" s="17" t="str">
        <f>IF(OR(ISNUMBER(FIND({"M";"N";"D"},T66))),"1","")</f>
        <v/>
      </c>
      <c r="BL66" s="17" t="str">
        <f>IF(OR(ISNUMBER(FIND({"M";"N";"D"},U66))),"1","")</f>
        <v/>
      </c>
      <c r="BM66" s="17" t="str">
        <f>IF(OR(ISNUMBER(FIND({"M";"N";"D"},V66))),"1","")</f>
        <v/>
      </c>
      <c r="BN66" s="17" t="str">
        <f>IF(OR(ISNUMBER(FIND({"M";"N";"D"},W66))),"1","")</f>
        <v/>
      </c>
      <c r="BO66" s="17" t="str">
        <f>IF(OR(ISNUMBER(FIND({"M";"N";"D"},X66))),"1","")</f>
        <v/>
      </c>
      <c r="BP66" s="17" t="str">
        <f>IF(OR(ISNUMBER(FIND({"M";"N";"D"},Y66))),"1","")</f>
        <v/>
      </c>
      <c r="BQ66" s="17" t="str">
        <f>IF(OR(ISNUMBER(FIND({"M";"N";"D"},Z66))),"1","")</f>
        <v/>
      </c>
      <c r="BR66" s="17" t="str">
        <f>IF(OR(ISNUMBER(FIND({"M";"N";"D"},AA66))),"1","")</f>
        <v/>
      </c>
      <c r="BS66" s="17" t="str">
        <f>IF(OR(ISNUMBER(FIND({"M";"N";"D"},AB66))),"1","")</f>
        <v/>
      </c>
      <c r="BT66" s="17" t="str">
        <f>IF(OR(ISNUMBER(FIND({"M";"N";"D"},AC66))),"1","")</f>
        <v/>
      </c>
      <c r="BU66" s="17" t="str">
        <f>IF(OR(ISNUMBER(FIND({"M";"N";"D"},AD66))),"1","")</f>
        <v/>
      </c>
      <c r="BV66" s="17" t="str">
        <f>IF(OR(ISNUMBER(FIND({"M";"N";"D"},AE66))),"1","")</f>
        <v/>
      </c>
      <c r="BW66" s="17" t="str">
        <f>IF(OR(ISNUMBER(FIND({"M";"N";"D"},AF66))),"1","")</f>
        <v/>
      </c>
      <c r="BX66" s="17" t="str">
        <f>IF(OR(ISNUMBER(FIND({"M";"N";"D"},AG66))),"1","")</f>
        <v/>
      </c>
      <c r="BY66" s="17" t="str">
        <f>IF(OR(ISNUMBER(FIND({"M";"N";"D"},AH66))),"1","")</f>
        <v/>
      </c>
      <c r="BZ66" s="17" t="str">
        <f>IF(OR(ISNUMBER(FIND({"M";"N";"D"},AI66))),"1","")</f>
        <v/>
      </c>
      <c r="CA66" s="17" t="str">
        <f>IF(OR(ISNUMBER(FIND({"M";"N";"D"},AJ66))),"1","")</f>
        <v/>
      </c>
      <c r="CB66" s="17" t="str">
        <f>IF(OR(ISNUMBER(FIND({"M";"N";"D"},AK66))),"1","")</f>
        <v/>
      </c>
      <c r="CC66" s="17" t="str">
        <f>IF(OR(ISNUMBER(FIND({"M";"N";"D"},AL66))),"1","")</f>
        <v/>
      </c>
      <c r="CD66" s="17" t="str">
        <f>IF(OR(ISNUMBER(FIND({"M";"N";"D"},AM66))),"1","")</f>
        <v/>
      </c>
      <c r="CE66" s="17" t="str">
        <f>IF(OR(ISNUMBER(FIND({"M";"N";"D"},AN66))),"1","")</f>
        <v/>
      </c>
      <c r="CF66" s="16">
        <f t="array" ref="CF66">MAX(FREQUENCY(IF(AU66:CE66&lt;&gt;"",COLUMN(AU66:CE66)),IF(AU66:CE66="",COLUMN(AU66:CE66))))</f>
        <v>0</v>
      </c>
      <c r="CG66" s="7"/>
      <c r="CH66" s="18">
        <f t="shared" si="37"/>
        <v>0</v>
      </c>
      <c r="CI66" s="8">
        <v>168</v>
      </c>
      <c r="CJ66" s="18">
        <f t="shared" si="5"/>
        <v>-168</v>
      </c>
      <c r="CK66" s="19">
        <f t="shared" si="43"/>
        <v>0</v>
      </c>
      <c r="CL66" s="30">
        <f t="shared" si="14"/>
        <v>0</v>
      </c>
      <c r="CM66" s="30">
        <f t="shared" si="44"/>
        <v>0</v>
      </c>
      <c r="CN66" s="19">
        <f t="shared" si="38"/>
        <v>0</v>
      </c>
      <c r="CO66" s="19">
        <f t="shared" si="39"/>
        <v>0</v>
      </c>
      <c r="CP66" s="19">
        <f t="shared" si="40"/>
        <v>0</v>
      </c>
      <c r="CQ66" s="19">
        <f t="shared" si="41"/>
        <v>0</v>
      </c>
      <c r="CR66" s="19">
        <f t="shared" si="42"/>
        <v>0</v>
      </c>
    </row>
    <row r="67" spans="1:96" s="9" customFormat="1" ht="12.75">
      <c r="A67" s="20"/>
      <c r="B67" s="21"/>
      <c r="C67" s="2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6">
        <f t="shared" si="32"/>
        <v>0</v>
      </c>
      <c r="AP67" s="6">
        <f t="shared" si="33"/>
        <v>0</v>
      </c>
      <c r="AQ67" s="6">
        <f t="shared" si="34"/>
        <v>0</v>
      </c>
      <c r="AR67" s="6">
        <f t="shared" si="35"/>
        <v>0</v>
      </c>
      <c r="AS67" s="6">
        <f t="shared" si="36"/>
        <v>0</v>
      </c>
      <c r="AT67" s="16">
        <f t="shared" si="11"/>
        <v>0</v>
      </c>
      <c r="AU67" s="17" t="str">
        <f>IF(OR(ISNUMBER(FIND({"M";"N";"D"},D67))),"1","")</f>
        <v/>
      </c>
      <c r="AV67" s="17" t="str">
        <f>IF(OR(ISNUMBER(FIND({"M";"N";"D"},E67))),"1","")</f>
        <v/>
      </c>
      <c r="AW67" s="17" t="str">
        <f>IF(OR(ISNUMBER(FIND({"M";"N";"D"},F67))),"1","")</f>
        <v/>
      </c>
      <c r="AX67" s="17" t="str">
        <f>IF(OR(ISNUMBER(FIND({"M";"N";"D"},G67))),"1","")</f>
        <v/>
      </c>
      <c r="AY67" s="17" t="str">
        <f>IF(OR(ISNUMBER(FIND({"M";"N";"D"},H67))),"1","")</f>
        <v/>
      </c>
      <c r="AZ67" s="17" t="str">
        <f>IF(OR(ISNUMBER(FIND({"M";"N";"D"},I67))),"1","")</f>
        <v/>
      </c>
      <c r="BA67" s="17" t="str">
        <f>IF(OR(ISNUMBER(FIND({"M";"N";"D"},J67))),"1","")</f>
        <v/>
      </c>
      <c r="BB67" s="17" t="str">
        <f>IF(OR(ISNUMBER(FIND({"M";"N";"D"},K67))),"1","")</f>
        <v/>
      </c>
      <c r="BC67" s="17" t="str">
        <f>IF(OR(ISNUMBER(FIND({"M";"N";"D"},L67))),"1","")</f>
        <v/>
      </c>
      <c r="BD67" s="17" t="str">
        <f>IF(OR(ISNUMBER(FIND({"M";"N";"D"},M67))),"1","")</f>
        <v/>
      </c>
      <c r="BE67" s="17" t="str">
        <f>IF(OR(ISNUMBER(FIND({"M";"N";"D"},N67))),"1","")</f>
        <v/>
      </c>
      <c r="BF67" s="17" t="str">
        <f>IF(OR(ISNUMBER(FIND({"M";"N";"D"},O67))),"1","")</f>
        <v/>
      </c>
      <c r="BG67" s="17" t="str">
        <f>IF(OR(ISNUMBER(FIND({"M";"N";"D"},P67))),"1","")</f>
        <v/>
      </c>
      <c r="BH67" s="17" t="str">
        <f>IF(OR(ISNUMBER(FIND({"M";"N";"D"},Q67))),"1","")</f>
        <v/>
      </c>
      <c r="BI67" s="17" t="str">
        <f>IF(OR(ISNUMBER(FIND({"M";"N";"D"},R67))),"1","")</f>
        <v/>
      </c>
      <c r="BJ67" s="17" t="str">
        <f>IF(OR(ISNUMBER(FIND({"M";"N";"D"},S67))),"1","")</f>
        <v/>
      </c>
      <c r="BK67" s="17" t="str">
        <f>IF(OR(ISNUMBER(FIND({"M";"N";"D"},T67))),"1","")</f>
        <v/>
      </c>
      <c r="BL67" s="17" t="str">
        <f>IF(OR(ISNUMBER(FIND({"M";"N";"D"},U67))),"1","")</f>
        <v/>
      </c>
      <c r="BM67" s="17" t="str">
        <f>IF(OR(ISNUMBER(FIND({"M";"N";"D"},V67))),"1","")</f>
        <v/>
      </c>
      <c r="BN67" s="17" t="str">
        <f>IF(OR(ISNUMBER(FIND({"M";"N";"D"},W67))),"1","")</f>
        <v/>
      </c>
      <c r="BO67" s="17" t="str">
        <f>IF(OR(ISNUMBER(FIND({"M";"N";"D"},X67))),"1","")</f>
        <v/>
      </c>
      <c r="BP67" s="17" t="str">
        <f>IF(OR(ISNUMBER(FIND({"M";"N";"D"},Y67))),"1","")</f>
        <v/>
      </c>
      <c r="BQ67" s="17" t="str">
        <f>IF(OR(ISNUMBER(FIND({"M";"N";"D"},Z67))),"1","")</f>
        <v/>
      </c>
      <c r="BR67" s="17" t="str">
        <f>IF(OR(ISNUMBER(FIND({"M";"N";"D"},AA67))),"1","")</f>
        <v/>
      </c>
      <c r="BS67" s="17" t="str">
        <f>IF(OR(ISNUMBER(FIND({"M";"N";"D"},AB67))),"1","")</f>
        <v/>
      </c>
      <c r="BT67" s="17" t="str">
        <f>IF(OR(ISNUMBER(FIND({"M";"N";"D"},AC67))),"1","")</f>
        <v/>
      </c>
      <c r="BU67" s="17" t="str">
        <f>IF(OR(ISNUMBER(FIND({"M";"N";"D"},AD67))),"1","")</f>
        <v/>
      </c>
      <c r="BV67" s="17" t="str">
        <f>IF(OR(ISNUMBER(FIND({"M";"N";"D"},AE67))),"1","")</f>
        <v/>
      </c>
      <c r="BW67" s="17" t="str">
        <f>IF(OR(ISNUMBER(FIND({"M";"N";"D"},AF67))),"1","")</f>
        <v/>
      </c>
      <c r="BX67" s="17" t="str">
        <f>IF(OR(ISNUMBER(FIND({"M";"N";"D"},AG67))),"1","")</f>
        <v/>
      </c>
      <c r="BY67" s="17" t="str">
        <f>IF(OR(ISNUMBER(FIND({"M";"N";"D"},AH67))),"1","")</f>
        <v/>
      </c>
      <c r="BZ67" s="17" t="str">
        <f>IF(OR(ISNUMBER(FIND({"M";"N";"D"},AI67))),"1","")</f>
        <v/>
      </c>
      <c r="CA67" s="17" t="str">
        <f>IF(OR(ISNUMBER(FIND({"M";"N";"D"},AJ67))),"1","")</f>
        <v/>
      </c>
      <c r="CB67" s="17" t="str">
        <f>IF(OR(ISNUMBER(FIND({"M";"N";"D"},AK67))),"1","")</f>
        <v/>
      </c>
      <c r="CC67" s="17" t="str">
        <f>IF(OR(ISNUMBER(FIND({"M";"N";"D"},AL67))),"1","")</f>
        <v/>
      </c>
      <c r="CD67" s="17" t="str">
        <f>IF(OR(ISNUMBER(FIND({"M";"N";"D"},AM67))),"1","")</f>
        <v/>
      </c>
      <c r="CE67" s="17" t="str">
        <f>IF(OR(ISNUMBER(FIND({"M";"N";"D"},AN67))),"1","")</f>
        <v/>
      </c>
      <c r="CF67" s="16">
        <f t="array" ref="CF67">MAX(FREQUENCY(IF(AU67:CE67&lt;&gt;"",COLUMN(AU67:CE67)),IF(AU67:CE67="",COLUMN(AU67:CE67))))</f>
        <v>0</v>
      </c>
      <c r="CG67" s="7"/>
      <c r="CH67" s="18">
        <f t="shared" si="37"/>
        <v>0</v>
      </c>
      <c r="CI67" s="8">
        <v>168</v>
      </c>
      <c r="CJ67" s="18">
        <f t="shared" si="5"/>
        <v>-168</v>
      </c>
      <c r="CK67" s="19">
        <f t="shared" si="43"/>
        <v>0</v>
      </c>
      <c r="CL67" s="30">
        <f t="shared" si="14"/>
        <v>0</v>
      </c>
      <c r="CM67" s="30">
        <f t="shared" si="44"/>
        <v>0</v>
      </c>
      <c r="CN67" s="19">
        <f t="shared" si="38"/>
        <v>0</v>
      </c>
      <c r="CO67" s="19">
        <f t="shared" si="39"/>
        <v>0</v>
      </c>
      <c r="CP67" s="19">
        <f t="shared" si="40"/>
        <v>0</v>
      </c>
      <c r="CQ67" s="19">
        <f t="shared" si="41"/>
        <v>0</v>
      </c>
      <c r="CR67" s="19">
        <f t="shared" si="42"/>
        <v>0</v>
      </c>
    </row>
    <row r="68" spans="1:96" s="9" customFormat="1" ht="12.75">
      <c r="A68" s="20"/>
      <c r="B68" s="21"/>
      <c r="C68" s="2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6">
        <f t="shared" si="32"/>
        <v>0</v>
      </c>
      <c r="AP68" s="6">
        <f t="shared" si="33"/>
        <v>0</v>
      </c>
      <c r="AQ68" s="6">
        <f t="shared" si="34"/>
        <v>0</v>
      </c>
      <c r="AR68" s="6">
        <f t="shared" si="35"/>
        <v>0</v>
      </c>
      <c r="AS68" s="6">
        <f t="shared" si="36"/>
        <v>0</v>
      </c>
      <c r="AT68" s="16">
        <f t="shared" si="11"/>
        <v>0</v>
      </c>
      <c r="AU68" s="17" t="str">
        <f>IF(OR(ISNUMBER(FIND({"M";"N";"D"},D68))),"1","")</f>
        <v/>
      </c>
      <c r="AV68" s="17" t="str">
        <f>IF(OR(ISNUMBER(FIND({"M";"N";"D"},E68))),"1","")</f>
        <v/>
      </c>
      <c r="AW68" s="17" t="str">
        <f>IF(OR(ISNUMBER(FIND({"M";"N";"D"},F68))),"1","")</f>
        <v/>
      </c>
      <c r="AX68" s="17" t="str">
        <f>IF(OR(ISNUMBER(FIND({"M";"N";"D"},G68))),"1","")</f>
        <v/>
      </c>
      <c r="AY68" s="17" t="str">
        <f>IF(OR(ISNUMBER(FIND({"M";"N";"D"},H68))),"1","")</f>
        <v/>
      </c>
      <c r="AZ68" s="17" t="str">
        <f>IF(OR(ISNUMBER(FIND({"M";"N";"D"},I68))),"1","")</f>
        <v/>
      </c>
      <c r="BA68" s="17" t="str">
        <f>IF(OR(ISNUMBER(FIND({"M";"N";"D"},J68))),"1","")</f>
        <v/>
      </c>
      <c r="BB68" s="17" t="str">
        <f>IF(OR(ISNUMBER(FIND({"M";"N";"D"},K68))),"1","")</f>
        <v/>
      </c>
      <c r="BC68" s="17" t="str">
        <f>IF(OR(ISNUMBER(FIND({"M";"N";"D"},L68))),"1","")</f>
        <v/>
      </c>
      <c r="BD68" s="17" t="str">
        <f>IF(OR(ISNUMBER(FIND({"M";"N";"D"},M68))),"1","")</f>
        <v/>
      </c>
      <c r="BE68" s="17" t="str">
        <f>IF(OR(ISNUMBER(FIND({"M";"N";"D"},N68))),"1","")</f>
        <v/>
      </c>
      <c r="BF68" s="17" t="str">
        <f>IF(OR(ISNUMBER(FIND({"M";"N";"D"},O68))),"1","")</f>
        <v/>
      </c>
      <c r="BG68" s="17" t="str">
        <f>IF(OR(ISNUMBER(FIND({"M";"N";"D"},P68))),"1","")</f>
        <v/>
      </c>
      <c r="BH68" s="17" t="str">
        <f>IF(OR(ISNUMBER(FIND({"M";"N";"D"},Q68))),"1","")</f>
        <v/>
      </c>
      <c r="BI68" s="17" t="str">
        <f>IF(OR(ISNUMBER(FIND({"M";"N";"D"},R68))),"1","")</f>
        <v/>
      </c>
      <c r="BJ68" s="17" t="str">
        <f>IF(OR(ISNUMBER(FIND({"M";"N";"D"},S68))),"1","")</f>
        <v/>
      </c>
      <c r="BK68" s="17" t="str">
        <f>IF(OR(ISNUMBER(FIND({"M";"N";"D"},T68))),"1","")</f>
        <v/>
      </c>
      <c r="BL68" s="17" t="str">
        <f>IF(OR(ISNUMBER(FIND({"M";"N";"D"},U68))),"1","")</f>
        <v/>
      </c>
      <c r="BM68" s="17" t="str">
        <f>IF(OR(ISNUMBER(FIND({"M";"N";"D"},V68))),"1","")</f>
        <v/>
      </c>
      <c r="BN68" s="17" t="str">
        <f>IF(OR(ISNUMBER(FIND({"M";"N";"D"},W68))),"1","")</f>
        <v/>
      </c>
      <c r="BO68" s="17" t="str">
        <f>IF(OR(ISNUMBER(FIND({"M";"N";"D"},X68))),"1","")</f>
        <v/>
      </c>
      <c r="BP68" s="17" t="str">
        <f>IF(OR(ISNUMBER(FIND({"M";"N";"D"},Y68))),"1","")</f>
        <v/>
      </c>
      <c r="BQ68" s="17" t="str">
        <f>IF(OR(ISNUMBER(FIND({"M";"N";"D"},Z68))),"1","")</f>
        <v/>
      </c>
      <c r="BR68" s="17" t="str">
        <f>IF(OR(ISNUMBER(FIND({"M";"N";"D"},AA68))),"1","")</f>
        <v/>
      </c>
      <c r="BS68" s="17" t="str">
        <f>IF(OR(ISNUMBER(FIND({"M";"N";"D"},AB68))),"1","")</f>
        <v/>
      </c>
      <c r="BT68" s="17" t="str">
        <f>IF(OR(ISNUMBER(FIND({"M";"N";"D"},AC68))),"1","")</f>
        <v/>
      </c>
      <c r="BU68" s="17" t="str">
        <f>IF(OR(ISNUMBER(FIND({"M";"N";"D"},AD68))),"1","")</f>
        <v/>
      </c>
      <c r="BV68" s="17" t="str">
        <f>IF(OR(ISNUMBER(FIND({"M";"N";"D"},AE68))),"1","")</f>
        <v/>
      </c>
      <c r="BW68" s="17" t="str">
        <f>IF(OR(ISNUMBER(FIND({"M";"N";"D"},AF68))),"1","")</f>
        <v/>
      </c>
      <c r="BX68" s="17" t="str">
        <f>IF(OR(ISNUMBER(FIND({"M";"N";"D"},AG68))),"1","")</f>
        <v/>
      </c>
      <c r="BY68" s="17" t="str">
        <f>IF(OR(ISNUMBER(FIND({"M";"N";"D"},AH68))),"1","")</f>
        <v/>
      </c>
      <c r="BZ68" s="17" t="str">
        <f>IF(OR(ISNUMBER(FIND({"M";"N";"D"},AI68))),"1","")</f>
        <v/>
      </c>
      <c r="CA68" s="17" t="str">
        <f>IF(OR(ISNUMBER(FIND({"M";"N";"D"},AJ68))),"1","")</f>
        <v/>
      </c>
      <c r="CB68" s="17" t="str">
        <f>IF(OR(ISNUMBER(FIND({"M";"N";"D"},AK68))),"1","")</f>
        <v/>
      </c>
      <c r="CC68" s="17" t="str">
        <f>IF(OR(ISNUMBER(FIND({"M";"N";"D"},AL68))),"1","")</f>
        <v/>
      </c>
      <c r="CD68" s="17" t="str">
        <f>IF(OR(ISNUMBER(FIND({"M";"N";"D"},AM68))),"1","")</f>
        <v/>
      </c>
      <c r="CE68" s="17" t="str">
        <f>IF(OR(ISNUMBER(FIND({"M";"N";"D"},AN68))),"1","")</f>
        <v/>
      </c>
      <c r="CF68" s="16">
        <f t="array" ref="CF68">MAX(FREQUENCY(IF(AU68:CE68&lt;&gt;"",COLUMN(AU68:CE68)),IF(AU68:CE68="",COLUMN(AU68:CE68))))</f>
        <v>0</v>
      </c>
      <c r="CG68" s="7"/>
      <c r="CH68" s="18">
        <f t="shared" si="37"/>
        <v>0</v>
      </c>
      <c r="CI68" s="8">
        <v>168</v>
      </c>
      <c r="CJ68" s="18">
        <f t="shared" si="5"/>
        <v>-168</v>
      </c>
      <c r="CK68" s="19">
        <f t="shared" si="43"/>
        <v>0</v>
      </c>
      <c r="CL68" s="30">
        <f t="shared" si="14"/>
        <v>0</v>
      </c>
      <c r="CM68" s="30">
        <f t="shared" si="44"/>
        <v>0</v>
      </c>
      <c r="CN68" s="19">
        <f t="shared" si="38"/>
        <v>0</v>
      </c>
      <c r="CO68" s="19">
        <f t="shared" si="39"/>
        <v>0</v>
      </c>
      <c r="CP68" s="19">
        <f t="shared" si="40"/>
        <v>0</v>
      </c>
      <c r="CQ68" s="19">
        <f t="shared" si="41"/>
        <v>0</v>
      </c>
      <c r="CR68" s="19">
        <f t="shared" si="42"/>
        <v>0</v>
      </c>
    </row>
    <row r="69" spans="1:96" s="9" customFormat="1" ht="12.75" customHeight="1">
      <c r="A69" s="20"/>
      <c r="B69" s="21"/>
      <c r="C69" s="21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6">
        <f t="shared" si="32"/>
        <v>0</v>
      </c>
      <c r="AP69" s="6">
        <f t="shared" si="33"/>
        <v>0</v>
      </c>
      <c r="AQ69" s="6">
        <f t="shared" si="34"/>
        <v>0</v>
      </c>
      <c r="AR69" s="6">
        <f t="shared" si="35"/>
        <v>0</v>
      </c>
      <c r="AS69" s="6">
        <f t="shared" si="36"/>
        <v>0</v>
      </c>
      <c r="AT69" s="16">
        <f t="shared" si="11"/>
        <v>0</v>
      </c>
      <c r="AU69" s="17" t="str">
        <f>IF(OR(ISNUMBER(FIND({"M";"N";"D"},D69))),"1","")</f>
        <v/>
      </c>
      <c r="AV69" s="17" t="str">
        <f>IF(OR(ISNUMBER(FIND({"M";"N";"D"},E69))),"1","")</f>
        <v/>
      </c>
      <c r="AW69" s="17" t="str">
        <f>IF(OR(ISNUMBER(FIND({"M";"N";"D"},F69))),"1","")</f>
        <v/>
      </c>
      <c r="AX69" s="17" t="str">
        <f>IF(OR(ISNUMBER(FIND({"M";"N";"D"},G69))),"1","")</f>
        <v/>
      </c>
      <c r="AY69" s="17" t="str">
        <f>IF(OR(ISNUMBER(FIND({"M";"N";"D"},H69))),"1","")</f>
        <v/>
      </c>
      <c r="AZ69" s="17" t="str">
        <f>IF(OR(ISNUMBER(FIND({"M";"N";"D"},I69))),"1","")</f>
        <v/>
      </c>
      <c r="BA69" s="17" t="str">
        <f>IF(OR(ISNUMBER(FIND({"M";"N";"D"},J69))),"1","")</f>
        <v/>
      </c>
      <c r="BB69" s="17" t="str">
        <f>IF(OR(ISNUMBER(FIND({"M";"N";"D"},K69))),"1","")</f>
        <v/>
      </c>
      <c r="BC69" s="17" t="str">
        <f>IF(OR(ISNUMBER(FIND({"M";"N";"D"},L69))),"1","")</f>
        <v/>
      </c>
      <c r="BD69" s="17" t="str">
        <f>IF(OR(ISNUMBER(FIND({"M";"N";"D"},M69))),"1","")</f>
        <v/>
      </c>
      <c r="BE69" s="17" t="str">
        <f>IF(OR(ISNUMBER(FIND({"M";"N";"D"},N69))),"1","")</f>
        <v/>
      </c>
      <c r="BF69" s="17" t="str">
        <f>IF(OR(ISNUMBER(FIND({"M";"N";"D"},O69))),"1","")</f>
        <v/>
      </c>
      <c r="BG69" s="17" t="str">
        <f>IF(OR(ISNUMBER(FIND({"M";"N";"D"},P69))),"1","")</f>
        <v/>
      </c>
      <c r="BH69" s="17" t="str">
        <f>IF(OR(ISNUMBER(FIND({"M";"N";"D"},Q69))),"1","")</f>
        <v/>
      </c>
      <c r="BI69" s="17" t="str">
        <f>IF(OR(ISNUMBER(FIND({"M";"N";"D"},R69))),"1","")</f>
        <v/>
      </c>
      <c r="BJ69" s="17" t="str">
        <f>IF(OR(ISNUMBER(FIND({"M";"N";"D"},S69))),"1","")</f>
        <v/>
      </c>
      <c r="BK69" s="17" t="str">
        <f>IF(OR(ISNUMBER(FIND({"M";"N";"D"},T69))),"1","")</f>
        <v/>
      </c>
      <c r="BL69" s="17" t="str">
        <f>IF(OR(ISNUMBER(FIND({"M";"N";"D"},U69))),"1","")</f>
        <v/>
      </c>
      <c r="BM69" s="17" t="str">
        <f>IF(OR(ISNUMBER(FIND({"M";"N";"D"},V69))),"1","")</f>
        <v/>
      </c>
      <c r="BN69" s="17" t="str">
        <f>IF(OR(ISNUMBER(FIND({"M";"N";"D"},W69))),"1","")</f>
        <v/>
      </c>
      <c r="BO69" s="17" t="str">
        <f>IF(OR(ISNUMBER(FIND({"M";"N";"D"},X69))),"1","")</f>
        <v/>
      </c>
      <c r="BP69" s="17" t="str">
        <f>IF(OR(ISNUMBER(FIND({"M";"N";"D"},Y69))),"1","")</f>
        <v/>
      </c>
      <c r="BQ69" s="17" t="str">
        <f>IF(OR(ISNUMBER(FIND({"M";"N";"D"},Z69))),"1","")</f>
        <v/>
      </c>
      <c r="BR69" s="17" t="str">
        <f>IF(OR(ISNUMBER(FIND({"M";"N";"D"},AA69))),"1","")</f>
        <v/>
      </c>
      <c r="BS69" s="17" t="str">
        <f>IF(OR(ISNUMBER(FIND({"M";"N";"D"},AB69))),"1","")</f>
        <v/>
      </c>
      <c r="BT69" s="17" t="str">
        <f>IF(OR(ISNUMBER(FIND({"M";"N";"D"},AC69))),"1","")</f>
        <v/>
      </c>
      <c r="BU69" s="17" t="str">
        <f>IF(OR(ISNUMBER(FIND({"M";"N";"D"},AD69))),"1","")</f>
        <v/>
      </c>
      <c r="BV69" s="17" t="str">
        <f>IF(OR(ISNUMBER(FIND({"M";"N";"D"},AE69))),"1","")</f>
        <v/>
      </c>
      <c r="BW69" s="17" t="str">
        <f>IF(OR(ISNUMBER(FIND({"M";"N";"D"},AF69))),"1","")</f>
        <v/>
      </c>
      <c r="BX69" s="17" t="str">
        <f>IF(OR(ISNUMBER(FIND({"M";"N";"D"},AG69))),"1","")</f>
        <v/>
      </c>
      <c r="BY69" s="17" t="str">
        <f>IF(OR(ISNUMBER(FIND({"M";"N";"D"},AH69))),"1","")</f>
        <v/>
      </c>
      <c r="BZ69" s="17" t="str">
        <f>IF(OR(ISNUMBER(FIND({"M";"N";"D"},AI69))),"1","")</f>
        <v/>
      </c>
      <c r="CA69" s="17" t="str">
        <f>IF(OR(ISNUMBER(FIND({"M";"N";"D"},AJ69))),"1","")</f>
        <v/>
      </c>
      <c r="CB69" s="17" t="str">
        <f>IF(OR(ISNUMBER(FIND({"M";"N";"D"},AK69))),"1","")</f>
        <v/>
      </c>
      <c r="CC69" s="17" t="str">
        <f>IF(OR(ISNUMBER(FIND({"M";"N";"D"},AL69))),"1","")</f>
        <v/>
      </c>
      <c r="CD69" s="17" t="str">
        <f>IF(OR(ISNUMBER(FIND({"M";"N";"D"},AM69))),"1","")</f>
        <v/>
      </c>
      <c r="CE69" s="17" t="str">
        <f>IF(OR(ISNUMBER(FIND({"M";"N";"D"},AN69))),"1","")</f>
        <v/>
      </c>
      <c r="CF69" s="16">
        <f t="array" ref="CF69">MAX(FREQUENCY(IF(AU69:CE69&lt;&gt;"",COLUMN(AU69:CE69)),IF(AU69:CE69="",COLUMN(AU69:CE69))))</f>
        <v>0</v>
      </c>
      <c r="CG69" s="7"/>
      <c r="CH69" s="18">
        <f t="shared" si="37"/>
        <v>0</v>
      </c>
      <c r="CI69" s="8">
        <v>168</v>
      </c>
      <c r="CJ69" s="18">
        <f t="shared" si="5"/>
        <v>-168</v>
      </c>
      <c r="CK69" s="19">
        <f t="shared" si="43"/>
        <v>0</v>
      </c>
      <c r="CL69" s="30">
        <f t="shared" si="14"/>
        <v>0</v>
      </c>
      <c r="CM69" s="30">
        <f t="shared" si="44"/>
        <v>0</v>
      </c>
      <c r="CN69" s="19">
        <f t="shared" si="38"/>
        <v>0</v>
      </c>
      <c r="CO69" s="19">
        <f t="shared" si="39"/>
        <v>0</v>
      </c>
      <c r="CP69" s="19">
        <f t="shared" si="40"/>
        <v>0</v>
      </c>
      <c r="CQ69" s="19">
        <f t="shared" si="41"/>
        <v>0</v>
      </c>
      <c r="CR69" s="19">
        <f t="shared" si="42"/>
        <v>0</v>
      </c>
    </row>
    <row r="70" spans="1:96" s="9" customFormat="1" ht="12.75">
      <c r="A70" s="20"/>
      <c r="B70" s="21"/>
      <c r="C70" s="21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6">
        <f t="shared" si="32"/>
        <v>0</v>
      </c>
      <c r="AP70" s="6">
        <f t="shared" si="33"/>
        <v>0</v>
      </c>
      <c r="AQ70" s="6">
        <f t="shared" si="34"/>
        <v>0</v>
      </c>
      <c r="AR70" s="6">
        <f t="shared" si="35"/>
        <v>0</v>
      </c>
      <c r="AS70" s="6">
        <f t="shared" si="36"/>
        <v>0</v>
      </c>
      <c r="AT70" s="16">
        <f t="shared" si="11"/>
        <v>0</v>
      </c>
      <c r="AU70" s="17" t="str">
        <f>IF(OR(ISNUMBER(FIND({"M";"N";"D"},D70))),"1","")</f>
        <v/>
      </c>
      <c r="AV70" s="17" t="str">
        <f>IF(OR(ISNUMBER(FIND({"M";"N";"D"},E70))),"1","")</f>
        <v/>
      </c>
      <c r="AW70" s="17" t="str">
        <f>IF(OR(ISNUMBER(FIND({"M";"N";"D"},F70))),"1","")</f>
        <v/>
      </c>
      <c r="AX70" s="17" t="str">
        <f>IF(OR(ISNUMBER(FIND({"M";"N";"D"},G70))),"1","")</f>
        <v/>
      </c>
      <c r="AY70" s="17" t="str">
        <f>IF(OR(ISNUMBER(FIND({"M";"N";"D"},H70))),"1","")</f>
        <v/>
      </c>
      <c r="AZ70" s="17" t="str">
        <f>IF(OR(ISNUMBER(FIND({"M";"N";"D"},I70))),"1","")</f>
        <v/>
      </c>
      <c r="BA70" s="17" t="str">
        <f>IF(OR(ISNUMBER(FIND({"M";"N";"D"},J70))),"1","")</f>
        <v/>
      </c>
      <c r="BB70" s="17" t="str">
        <f>IF(OR(ISNUMBER(FIND({"M";"N";"D"},K70))),"1","")</f>
        <v/>
      </c>
      <c r="BC70" s="17" t="str">
        <f>IF(OR(ISNUMBER(FIND({"M";"N";"D"},L70))),"1","")</f>
        <v/>
      </c>
      <c r="BD70" s="17" t="str">
        <f>IF(OR(ISNUMBER(FIND({"M";"N";"D"},M70))),"1","")</f>
        <v/>
      </c>
      <c r="BE70" s="17" t="str">
        <f>IF(OR(ISNUMBER(FIND({"M";"N";"D"},N70))),"1","")</f>
        <v/>
      </c>
      <c r="BF70" s="17" t="str">
        <f>IF(OR(ISNUMBER(FIND({"M";"N";"D"},O70))),"1","")</f>
        <v/>
      </c>
      <c r="BG70" s="17" t="str">
        <f>IF(OR(ISNUMBER(FIND({"M";"N";"D"},P70))),"1","")</f>
        <v/>
      </c>
      <c r="BH70" s="17" t="str">
        <f>IF(OR(ISNUMBER(FIND({"M";"N";"D"},Q70))),"1","")</f>
        <v/>
      </c>
      <c r="BI70" s="17" t="str">
        <f>IF(OR(ISNUMBER(FIND({"M";"N";"D"},R70))),"1","")</f>
        <v/>
      </c>
      <c r="BJ70" s="17" t="str">
        <f>IF(OR(ISNUMBER(FIND({"M";"N";"D"},S70))),"1","")</f>
        <v/>
      </c>
      <c r="BK70" s="17" t="str">
        <f>IF(OR(ISNUMBER(FIND({"M";"N";"D"},T70))),"1","")</f>
        <v/>
      </c>
      <c r="BL70" s="17" t="str">
        <f>IF(OR(ISNUMBER(FIND({"M";"N";"D"},U70))),"1","")</f>
        <v/>
      </c>
      <c r="BM70" s="17" t="str">
        <f>IF(OR(ISNUMBER(FIND({"M";"N";"D"},V70))),"1","")</f>
        <v/>
      </c>
      <c r="BN70" s="17" t="str">
        <f>IF(OR(ISNUMBER(FIND({"M";"N";"D"},W70))),"1","")</f>
        <v/>
      </c>
      <c r="BO70" s="17" t="str">
        <f>IF(OR(ISNUMBER(FIND({"M";"N";"D"},X70))),"1","")</f>
        <v/>
      </c>
      <c r="BP70" s="17" t="str">
        <f>IF(OR(ISNUMBER(FIND({"M";"N";"D"},Y70))),"1","")</f>
        <v/>
      </c>
      <c r="BQ70" s="17" t="str">
        <f>IF(OR(ISNUMBER(FIND({"M";"N";"D"},Z70))),"1","")</f>
        <v/>
      </c>
      <c r="BR70" s="17" t="str">
        <f>IF(OR(ISNUMBER(FIND({"M";"N";"D"},AA70))),"1","")</f>
        <v/>
      </c>
      <c r="BS70" s="17" t="str">
        <f>IF(OR(ISNUMBER(FIND({"M";"N";"D"},AB70))),"1","")</f>
        <v/>
      </c>
      <c r="BT70" s="17" t="str">
        <f>IF(OR(ISNUMBER(FIND({"M";"N";"D"},AC70))),"1","")</f>
        <v/>
      </c>
      <c r="BU70" s="17" t="str">
        <f>IF(OR(ISNUMBER(FIND({"M";"N";"D"},AD70))),"1","")</f>
        <v/>
      </c>
      <c r="BV70" s="17" t="str">
        <f>IF(OR(ISNUMBER(FIND({"M";"N";"D"},AE70))),"1","")</f>
        <v/>
      </c>
      <c r="BW70" s="17" t="str">
        <f>IF(OR(ISNUMBER(FIND({"M";"N";"D"},AF70))),"1","")</f>
        <v/>
      </c>
      <c r="BX70" s="17" t="str">
        <f>IF(OR(ISNUMBER(FIND({"M";"N";"D"},AG70))),"1","")</f>
        <v/>
      </c>
      <c r="BY70" s="17" t="str">
        <f>IF(OR(ISNUMBER(FIND({"M";"N";"D"},AH70))),"1","")</f>
        <v/>
      </c>
      <c r="BZ70" s="17" t="str">
        <f>IF(OR(ISNUMBER(FIND({"M";"N";"D"},AI70))),"1","")</f>
        <v/>
      </c>
      <c r="CA70" s="17" t="str">
        <f>IF(OR(ISNUMBER(FIND({"M";"N";"D"},AJ70))),"1","")</f>
        <v/>
      </c>
      <c r="CB70" s="17" t="str">
        <f>IF(OR(ISNUMBER(FIND({"M";"N";"D"},AK70))),"1","")</f>
        <v/>
      </c>
      <c r="CC70" s="17" t="str">
        <f>IF(OR(ISNUMBER(FIND({"M";"N";"D"},AL70))),"1","")</f>
        <v/>
      </c>
      <c r="CD70" s="17" t="str">
        <f>IF(OR(ISNUMBER(FIND({"M";"N";"D"},AM70))),"1","")</f>
        <v/>
      </c>
      <c r="CE70" s="17" t="str">
        <f>IF(OR(ISNUMBER(FIND({"M";"N";"D"},AN70))),"1","")</f>
        <v/>
      </c>
      <c r="CF70" s="16">
        <f t="array" ref="CF70">MAX(FREQUENCY(IF(AU70:CE70&lt;&gt;"",COLUMN(AU70:CE70)),IF(AU70:CE70="",COLUMN(AU70:CE70))))</f>
        <v>0</v>
      </c>
      <c r="CG70" s="7"/>
      <c r="CH70" s="18">
        <f t="shared" si="37"/>
        <v>0</v>
      </c>
      <c r="CI70" s="8">
        <v>168</v>
      </c>
      <c r="CJ70" s="18">
        <f t="shared" si="5"/>
        <v>-168</v>
      </c>
      <c r="CK70" s="19">
        <f t="shared" si="43"/>
        <v>0</v>
      </c>
      <c r="CL70" s="30">
        <f t="shared" si="14"/>
        <v>0</v>
      </c>
      <c r="CM70" s="30">
        <f t="shared" si="44"/>
        <v>0</v>
      </c>
      <c r="CN70" s="19">
        <f t="shared" si="38"/>
        <v>0</v>
      </c>
      <c r="CO70" s="19">
        <f t="shared" si="39"/>
        <v>0</v>
      </c>
      <c r="CP70" s="19">
        <f t="shared" si="40"/>
        <v>0</v>
      </c>
      <c r="CQ70" s="19">
        <f t="shared" si="41"/>
        <v>0</v>
      </c>
      <c r="CR70" s="19">
        <f t="shared" si="42"/>
        <v>0</v>
      </c>
    </row>
    <row r="71" spans="1:96" s="10" customFormat="1" ht="12" customHeight="1">
      <c r="CL71" s="31"/>
      <c r="CM71" s="31"/>
    </row>
    <row r="72" spans="1:96" s="10" customFormat="1" ht="15">
      <c r="A72" s="11" t="s">
        <v>31</v>
      </c>
      <c r="B72" s="12"/>
      <c r="C72" s="12"/>
      <c r="D72" s="12"/>
      <c r="E72" s="12"/>
      <c r="F72" s="12"/>
      <c r="G72" s="12"/>
      <c r="H72" s="12"/>
      <c r="I72" s="12"/>
      <c r="K72" s="12"/>
      <c r="L72" s="12"/>
      <c r="M72" s="13"/>
      <c r="N72" s="13"/>
      <c r="O72" s="12" t="s">
        <v>37</v>
      </c>
      <c r="AU72" s="12"/>
      <c r="AV72" s="12"/>
      <c r="AW72" s="12"/>
      <c r="AX72" s="12"/>
      <c r="AY72" s="12"/>
      <c r="AZ72" s="12"/>
      <c r="BB72" s="12"/>
      <c r="BC72" s="12"/>
      <c r="BD72" s="13"/>
      <c r="BE72" s="13"/>
      <c r="BF72" s="12" t="s">
        <v>0</v>
      </c>
      <c r="CL72" s="31"/>
      <c r="CM72" s="31"/>
    </row>
    <row r="73" spans="1:96" s="10" customFormat="1" ht="15">
      <c r="A73" s="12"/>
      <c r="B73" s="12"/>
      <c r="C73" s="12"/>
      <c r="D73" s="12"/>
      <c r="E73" s="12"/>
      <c r="F73" s="12"/>
      <c r="G73" s="12"/>
      <c r="H73" s="12"/>
      <c r="I73" s="12"/>
      <c r="K73" s="12"/>
      <c r="L73" s="12"/>
      <c r="M73" s="13"/>
      <c r="N73" s="13"/>
      <c r="O73" s="12"/>
      <c r="AU73" s="12"/>
      <c r="AV73" s="12"/>
      <c r="AW73" s="12"/>
      <c r="AX73" s="12"/>
      <c r="AY73" s="12"/>
      <c r="AZ73" s="12"/>
      <c r="BB73" s="12"/>
      <c r="BC73" s="12"/>
      <c r="BD73" s="13"/>
      <c r="BE73" s="13"/>
      <c r="BF73" s="12"/>
      <c r="CL73" s="31"/>
      <c r="CM73" s="31"/>
    </row>
    <row r="74" spans="1:96" s="10" customFormat="1" ht="15">
      <c r="A74" s="12" t="s">
        <v>1</v>
      </c>
      <c r="B74" s="12"/>
      <c r="C74" s="12"/>
      <c r="D74" s="12"/>
      <c r="E74" s="12"/>
      <c r="F74" s="12"/>
      <c r="G74" s="12"/>
      <c r="H74" s="12"/>
      <c r="I74" s="12"/>
      <c r="K74" s="12"/>
      <c r="L74" s="12"/>
      <c r="M74" s="13"/>
      <c r="N74" s="13"/>
      <c r="O74" s="12" t="s">
        <v>1</v>
      </c>
      <c r="AU74" s="12"/>
      <c r="AV74" s="12"/>
      <c r="AW74" s="12"/>
      <c r="AX74" s="12"/>
      <c r="AY74" s="12"/>
      <c r="AZ74" s="12"/>
      <c r="BB74" s="12"/>
      <c r="BC74" s="12"/>
      <c r="BD74" s="13"/>
      <c r="BE74" s="13"/>
      <c r="BF74" s="12" t="s">
        <v>1</v>
      </c>
      <c r="CL74" s="31"/>
      <c r="CM74" s="31"/>
    </row>
  </sheetData>
  <sheetProtection insertRows="0" deleteRows="0"/>
  <dataConsolidate/>
  <mergeCells count="23">
    <mergeCell ref="CG4:CR4"/>
    <mergeCell ref="A4:CF4"/>
    <mergeCell ref="A1:CR1"/>
    <mergeCell ref="AQ5:AQ6"/>
    <mergeCell ref="AR5:AR6"/>
    <mergeCell ref="AS5:AS6"/>
    <mergeCell ref="AT5:AT6"/>
    <mergeCell ref="CF5:CF6"/>
    <mergeCell ref="CK5:CK6"/>
    <mergeCell ref="CL5:CL6"/>
    <mergeCell ref="CM5:CM6"/>
    <mergeCell ref="CN5:CR5"/>
    <mergeCell ref="A3:CR3"/>
    <mergeCell ref="CG5:CG6"/>
    <mergeCell ref="A2:CR2"/>
    <mergeCell ref="A5:A6"/>
    <mergeCell ref="CJ5:CJ6"/>
    <mergeCell ref="CI5:CI6"/>
    <mergeCell ref="B5:B6"/>
    <mergeCell ref="AP5:AP6"/>
    <mergeCell ref="C5:C6"/>
    <mergeCell ref="AO5:AO6"/>
    <mergeCell ref="CH5:CH6"/>
  </mergeCells>
  <phoneticPr fontId="11" type="noConversion"/>
  <conditionalFormatting sqref="D6:AN6">
    <cfRule type="containsText" dxfId="45" priority="102" operator="containsText" text="S">
      <formula>NOT(ISERROR(SEARCH("S",D6)))</formula>
    </cfRule>
  </conditionalFormatting>
  <conditionalFormatting sqref="D7:AN13">
    <cfRule type="containsText" dxfId="44" priority="84" operator="containsText" text="D4">
      <formula>NOT(ISERROR(SEARCH("D4",D7)))</formula>
    </cfRule>
    <cfRule type="containsText" dxfId="43" priority="85" operator="containsText" text="D8">
      <formula>NOT(ISERROR(SEARCH("D8",D7)))</formula>
    </cfRule>
    <cfRule type="containsText" dxfId="42" priority="86" operator="containsText" text="N4">
      <formula>NOT(ISERROR(SEARCH("N4",D7)))</formula>
    </cfRule>
    <cfRule type="containsText" dxfId="41" priority="87" operator="containsText" text="N8">
      <formula>NOT(ISERROR(SEARCH("N8",D7)))</formula>
    </cfRule>
    <cfRule type="containsText" dxfId="40" priority="88" operator="containsText" text="N12">
      <formula>NOT(ISERROR(SEARCH("N12",D7)))</formula>
    </cfRule>
    <cfRule type="containsText" dxfId="39" priority="89" operator="containsText" text="M4">
      <formula>NOT(ISERROR(SEARCH("M4",D7)))</formula>
    </cfRule>
    <cfRule type="containsText" dxfId="38" priority="91" operator="containsText" text="M8">
      <formula>NOT(ISERROR(SEARCH("M8",D7)))</formula>
    </cfRule>
    <cfRule type="containsText" dxfId="37" priority="92" operator="containsText" text="M12">
      <formula>NOT(ISERROR(SEARCH("M12",D7)))</formula>
    </cfRule>
  </conditionalFormatting>
  <conditionalFormatting sqref="D12:AN12">
    <cfRule type="containsText" dxfId="36" priority="1" operator="containsText" text="D4">
      <formula>NOT(ISERROR(SEARCH("D4",D12)))</formula>
    </cfRule>
    <cfRule type="containsText" dxfId="35" priority="2" operator="containsText" text="D8">
      <formula>NOT(ISERROR(SEARCH("D8",D12)))</formula>
    </cfRule>
    <cfRule type="containsText" dxfId="34" priority="3" operator="containsText" text="N4">
      <formula>NOT(ISERROR(SEARCH("N4",D12)))</formula>
    </cfRule>
    <cfRule type="containsText" dxfId="33" priority="4" operator="containsText" text="N8">
      <formula>NOT(ISERROR(SEARCH("N8",D12)))</formula>
    </cfRule>
    <cfRule type="containsText" dxfId="32" priority="5" operator="containsText" text="N12">
      <formula>NOT(ISERROR(SEARCH("N12",D12)))</formula>
    </cfRule>
    <cfRule type="containsText" dxfId="31" priority="6" operator="containsText" text="M4">
      <formula>NOT(ISERROR(SEARCH("M4",D12)))</formula>
    </cfRule>
    <cfRule type="containsText" dxfId="30" priority="7" operator="containsText" text="M8">
      <formula>NOT(ISERROR(SEARCH("M8",D12)))</formula>
    </cfRule>
    <cfRule type="containsText" dxfId="29" priority="8" operator="containsText" text="M12">
      <formula>NOT(ISERROR(SEARCH("M12",D12)))</formula>
    </cfRule>
  </conditionalFormatting>
  <conditionalFormatting sqref="D14:AN70">
    <cfRule type="containsText" dxfId="28" priority="12" operator="containsText" text="D4">
      <formula>NOT(ISERROR(SEARCH("D4",D14)))</formula>
    </cfRule>
    <cfRule type="containsText" dxfId="27" priority="13" operator="containsText" text="D8">
      <formula>NOT(ISERROR(SEARCH("D8",D14)))</formula>
    </cfRule>
    <cfRule type="containsText" dxfId="26" priority="14" operator="containsText" text="N4">
      <formula>NOT(ISERROR(SEARCH("N4",D14)))</formula>
    </cfRule>
    <cfRule type="containsText" dxfId="25" priority="15" operator="containsText" text="N8">
      <formula>NOT(ISERROR(SEARCH("N8",D14)))</formula>
    </cfRule>
    <cfRule type="containsText" dxfId="24" priority="16" operator="containsText" text="N12">
      <formula>NOT(ISERROR(SEARCH("N12",D14)))</formula>
    </cfRule>
    <cfRule type="containsText" dxfId="23" priority="17" operator="containsText" text="M4">
      <formula>NOT(ISERROR(SEARCH("M4",D14)))</formula>
    </cfRule>
    <cfRule type="containsText" dxfId="22" priority="18" operator="containsText" text="M8">
      <formula>NOT(ISERROR(SEARCH("M8",D14)))</formula>
    </cfRule>
    <cfRule type="containsText" dxfId="21" priority="19" operator="containsText" text="M12">
      <formula>NOT(ISERROR(SEARCH("M12",D14)))</formula>
    </cfRule>
  </conditionalFormatting>
  <conditionalFormatting sqref="H10:AN12">
    <cfRule type="containsText" dxfId="20" priority="36" operator="containsText" text="D4">
      <formula>NOT(ISERROR(SEARCH("D4",H10)))</formula>
    </cfRule>
    <cfRule type="containsText" dxfId="19" priority="37" operator="containsText" text="D8">
      <formula>NOT(ISERROR(SEARCH("D8",H10)))</formula>
    </cfRule>
    <cfRule type="containsText" dxfId="18" priority="38" operator="containsText" text="N4">
      <formula>NOT(ISERROR(SEARCH("N4",H10)))</formula>
    </cfRule>
    <cfRule type="containsText" dxfId="17" priority="39" operator="containsText" text="N8">
      <formula>NOT(ISERROR(SEARCH("N8",H10)))</formula>
    </cfRule>
    <cfRule type="containsText" dxfId="16" priority="40" operator="containsText" text="N12">
      <formula>NOT(ISERROR(SEARCH("N12",H10)))</formula>
    </cfRule>
    <cfRule type="containsText" dxfId="15" priority="41" operator="containsText" text="M4">
      <formula>NOT(ISERROR(SEARCH("M4",H10)))</formula>
    </cfRule>
    <cfRule type="containsText" dxfId="14" priority="42" operator="containsText" text="M8">
      <formula>NOT(ISERROR(SEARCH("M8",H10)))</formula>
    </cfRule>
    <cfRule type="containsText" dxfId="13" priority="43" operator="containsText" text="M12">
      <formula>NOT(ISERROR(SEARCH("M12",H10)))</formula>
    </cfRule>
  </conditionalFormatting>
  <conditionalFormatting sqref="AT7:AT70">
    <cfRule type="cellIs" dxfId="12" priority="10" operator="greaterThan">
      <formula>60</formula>
    </cfRule>
  </conditionalFormatting>
  <conditionalFormatting sqref="AU6:CE6">
    <cfRule type="containsText" dxfId="11" priority="96" operator="containsText" text="S">
      <formula>NOT(ISERROR(SEARCH("S",AU6)))</formula>
    </cfRule>
  </conditionalFormatting>
  <conditionalFormatting sqref="CF7:CF70">
    <cfRule type="cellIs" dxfId="10" priority="9" operator="greaterThan">
      <formula>6</formula>
    </cfRule>
  </conditionalFormatting>
  <conditionalFormatting sqref="CG7:CG70">
    <cfRule type="cellIs" dxfId="9" priority="11" operator="between">
      <formula>6.1</formula>
      <formula>27</formula>
    </cfRule>
  </conditionalFormatting>
  <dataValidations count="2">
    <dataValidation type="list" allowBlank="1" showInputMessage="1" sqref="AU7:CE70" xr:uid="{54047296-200E-46EA-9442-BA8F41D27FDE}">
      <formula1>"M12,N12,D8,D4,O8,O4,M8,M4,N8,N4"</formula1>
    </dataValidation>
    <dataValidation type="list" allowBlank="1" showInputMessage="1" sqref="D7:AN70" xr:uid="{5B832FCD-8885-4BE6-9F34-40F064A95E57}">
      <formula1>"M12,M8,M4,N12,N8,N4,D8,D4,A8,A4,S8,S4,P8,P4,O8,O4,V8,V4"</formula1>
    </dataValidation>
  </dataValidations>
  <pageMargins left="0.15748031496062992" right="0.15748031496062992" top="0.11811023622047245" bottom="0.15748031496062992" header="0.11811023622047245" footer="0.15748031496062992"/>
  <pageSetup paperSize="8" scale="75" orientation="landscape" r:id="rId1"/>
  <headerFooter alignWithMargins="0"/>
  <colBreaks count="1" manualBreakCount="1">
    <brk id="85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85AD-B8AA-4791-B9F3-2E8C3B9BD480}">
  <dimension ref="A1:AN73"/>
  <sheetViews>
    <sheetView workbookViewId="0">
      <selection activeCell="E5" sqref="E5"/>
    </sheetView>
  </sheetViews>
  <sheetFormatPr defaultColWidth="9" defaultRowHeight="12"/>
  <cols>
    <col min="1" max="1" width="11.75" style="14" customWidth="1"/>
    <col min="2" max="2" width="11.625" style="14" bestFit="1" customWidth="1"/>
    <col min="3" max="39" width="5.875" style="14" customWidth="1"/>
    <col min="40" max="40" width="8.375" style="14" customWidth="1"/>
    <col min="41" max="16384" width="9" style="14"/>
  </cols>
  <sheetData>
    <row r="1" spans="1:40" s="1" customFormat="1" ht="20.25" customHeight="1">
      <c r="A1" s="48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</row>
    <row r="2" spans="1:40" s="2" customFormat="1" ht="20.25" customHeight="1">
      <c r="A2" s="61" t="s">
        <v>92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1:40" s="2" customFormat="1" ht="20.25" customHeight="1">
      <c r="A3" s="47" t="s">
        <v>26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</row>
    <row r="4" spans="1:40" s="4" customFormat="1" ht="40.5" customHeight="1">
      <c r="A4" s="42" t="s">
        <v>80</v>
      </c>
      <c r="B4" s="45" t="s">
        <v>81</v>
      </c>
      <c r="C4" s="3"/>
      <c r="D4" s="3"/>
      <c r="E4" s="3">
        <v>1</v>
      </c>
      <c r="F4" s="3">
        <v>2</v>
      </c>
      <c r="G4" s="3">
        <v>3</v>
      </c>
      <c r="H4" s="3">
        <v>4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10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Y4" s="3">
        <v>21</v>
      </c>
      <c r="Z4" s="3">
        <v>22</v>
      </c>
      <c r="AA4" s="3">
        <v>23</v>
      </c>
      <c r="AB4" s="3">
        <v>24</v>
      </c>
      <c r="AC4" s="3">
        <v>25</v>
      </c>
      <c r="AD4" s="3">
        <v>26</v>
      </c>
      <c r="AE4" s="3">
        <v>27</v>
      </c>
      <c r="AF4" s="3">
        <v>28</v>
      </c>
      <c r="AG4" s="3">
        <v>29</v>
      </c>
      <c r="AH4" s="3">
        <v>30</v>
      </c>
      <c r="AI4" s="3">
        <v>31</v>
      </c>
      <c r="AJ4" s="3"/>
      <c r="AK4" s="3"/>
      <c r="AL4" s="3"/>
      <c r="AM4" s="3"/>
      <c r="AN4" s="3" t="s">
        <v>82</v>
      </c>
    </row>
    <row r="5" spans="1:40" s="4" customFormat="1" ht="44.25" customHeight="1">
      <c r="A5" s="43"/>
      <c r="B5" s="44"/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83</v>
      </c>
      <c r="I5" s="15" t="s">
        <v>84</v>
      </c>
      <c r="J5" s="15" t="s">
        <v>4</v>
      </c>
      <c r="K5" s="15" t="s">
        <v>5</v>
      </c>
      <c r="L5" s="15" t="s">
        <v>6</v>
      </c>
      <c r="M5" s="15" t="s">
        <v>7</v>
      </c>
      <c r="N5" s="15" t="s">
        <v>8</v>
      </c>
      <c r="O5" s="15" t="s">
        <v>9</v>
      </c>
      <c r="P5" s="15" t="s">
        <v>3</v>
      </c>
      <c r="Q5" s="15" t="s">
        <v>4</v>
      </c>
      <c r="R5" s="15" t="s">
        <v>5</v>
      </c>
      <c r="S5" s="15" t="s">
        <v>6</v>
      </c>
      <c r="T5" s="15" t="s">
        <v>7</v>
      </c>
      <c r="U5" s="15" t="s">
        <v>8</v>
      </c>
      <c r="V5" s="15" t="s">
        <v>9</v>
      </c>
      <c r="W5" s="15" t="s">
        <v>3</v>
      </c>
      <c r="X5" s="15" t="s">
        <v>4</v>
      </c>
      <c r="Y5" s="15" t="s">
        <v>5</v>
      </c>
      <c r="Z5" s="15" t="s">
        <v>6</v>
      </c>
      <c r="AA5" s="15" t="s">
        <v>7</v>
      </c>
      <c r="AB5" s="15" t="s">
        <v>8</v>
      </c>
      <c r="AC5" s="15" t="s">
        <v>9</v>
      </c>
      <c r="AD5" s="15" t="s">
        <v>3</v>
      </c>
      <c r="AE5" s="15" t="s">
        <v>4</v>
      </c>
      <c r="AF5" s="15" t="s">
        <v>5</v>
      </c>
      <c r="AG5" s="15" t="s">
        <v>6</v>
      </c>
      <c r="AH5" s="15" t="s">
        <v>7</v>
      </c>
      <c r="AI5" s="15" t="s">
        <v>8</v>
      </c>
      <c r="AJ5" s="15" t="s">
        <v>9</v>
      </c>
      <c r="AK5" s="15" t="s">
        <v>3</v>
      </c>
      <c r="AL5" s="15" t="s">
        <v>4</v>
      </c>
      <c r="AM5" s="15" t="s">
        <v>5</v>
      </c>
      <c r="AN5" s="35" t="s">
        <v>85</v>
      </c>
    </row>
    <row r="6" spans="1:40" s="9" customFormat="1" ht="12.75">
      <c r="A6" s="21" t="s">
        <v>86</v>
      </c>
      <c r="B6" s="21" t="s">
        <v>87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33"/>
      <c r="AK6" s="5"/>
      <c r="AL6" s="5"/>
      <c r="AM6" s="5"/>
      <c r="AN6" s="5">
        <f>SUM(C6:AM6)</f>
        <v>0</v>
      </c>
    </row>
    <row r="7" spans="1:40" s="9" customFormat="1" ht="12.75" customHeight="1">
      <c r="A7" s="21"/>
      <c r="B7" s="21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s="9" customFormat="1" ht="12.75">
      <c r="A8" s="21"/>
      <c r="B8" s="21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s="9" customFormat="1" ht="12.75">
      <c r="A9" s="21"/>
      <c r="B9" s="21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s="9" customFormat="1" ht="12.75" customHeight="1">
      <c r="A10" s="21"/>
      <c r="B10" s="2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s="9" customFormat="1" ht="12.75">
      <c r="A11" s="21"/>
      <c r="B11" s="2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s="9" customFormat="1" ht="12.75">
      <c r="A12" s="21"/>
      <c r="B12" s="21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s="9" customFormat="1" ht="12.75" customHeight="1">
      <c r="A13" s="21"/>
      <c r="B13" s="21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s="9" customFormat="1" ht="12.75">
      <c r="A14" s="21"/>
      <c r="B14" s="21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s="9" customFormat="1" ht="12.75">
      <c r="A15" s="21"/>
      <c r="B15" s="2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s="9" customFormat="1" ht="12.75" customHeight="1">
      <c r="A16" s="21"/>
      <c r="B16" s="21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s="9" customFormat="1" ht="12.75">
      <c r="A17" s="21"/>
      <c r="B17" s="2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s="9" customFormat="1" ht="12.75">
      <c r="A18" s="21"/>
      <c r="B18" s="2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s="9" customFormat="1" ht="12.75" customHeight="1">
      <c r="A19" s="21"/>
      <c r="B19" s="2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s="9" customFormat="1" ht="12.75">
      <c r="A20" s="21"/>
      <c r="B20" s="21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s="9" customFormat="1" ht="12.75">
      <c r="A21" s="21"/>
      <c r="B21" s="2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s="9" customFormat="1" ht="12.75" customHeight="1">
      <c r="A22" s="21"/>
      <c r="B22" s="2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s="9" customFormat="1" ht="12.75">
      <c r="A23" s="21"/>
      <c r="B23" s="2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s="9" customFormat="1" ht="12.75">
      <c r="A24" s="21"/>
      <c r="B24" s="2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s="9" customFormat="1" ht="12.75" customHeight="1">
      <c r="A25" s="21"/>
      <c r="B25" s="2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s="9" customFormat="1" ht="12.75">
      <c r="A26" s="21"/>
      <c r="B26" s="2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s="9" customFormat="1" ht="12.75">
      <c r="A27" s="21"/>
      <c r="B27" s="21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s="9" customFormat="1" ht="12.75" customHeight="1">
      <c r="A28" s="21"/>
      <c r="B28" s="2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s="9" customFormat="1" ht="12.75">
      <c r="A29" s="21"/>
      <c r="B29" s="2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s="9" customFormat="1" ht="12.75">
      <c r="A30" s="21"/>
      <c r="B30" s="2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s="9" customFormat="1" ht="12.75" customHeight="1">
      <c r="A31" s="21"/>
      <c r="B31" s="2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s="9" customFormat="1" ht="12.75">
      <c r="A32" s="21"/>
      <c r="B32" s="2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s="9" customFormat="1" ht="12.75">
      <c r="A33" s="21"/>
      <c r="B33" s="2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s="9" customFormat="1" ht="12.75" customHeight="1">
      <c r="A34" s="21"/>
      <c r="B34" s="2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s="9" customFormat="1" ht="12.75">
      <c r="A35" s="21"/>
      <c r="B35" s="2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s="9" customFormat="1" ht="12.75">
      <c r="A36" s="21"/>
      <c r="B36" s="2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s="9" customFormat="1" ht="12.75" customHeight="1">
      <c r="A37" s="21"/>
      <c r="B37" s="2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s="9" customFormat="1" ht="12.75">
      <c r="A38" s="21"/>
      <c r="B38" s="2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s="9" customFormat="1" ht="12.75">
      <c r="A39" s="21"/>
      <c r="B39" s="2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s="9" customFormat="1" ht="12.75" customHeight="1">
      <c r="A40" s="21"/>
      <c r="B40" s="2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s="9" customFormat="1" ht="12.75">
      <c r="A41" s="21"/>
      <c r="B41" s="2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s="9" customFormat="1" ht="12.75">
      <c r="A42" s="21"/>
      <c r="B42" s="2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s="9" customFormat="1" ht="12.75" customHeight="1">
      <c r="A43" s="21"/>
      <c r="B43" s="21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s="9" customFormat="1" ht="12.75">
      <c r="A44" s="21"/>
      <c r="B44" s="21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s="9" customFormat="1" ht="12.75">
      <c r="A45" s="21"/>
      <c r="B45" s="2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s="9" customFormat="1" ht="12.75" customHeight="1">
      <c r="A46" s="21"/>
      <c r="B46" s="2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s="9" customFormat="1" ht="12.75">
      <c r="A47" s="21"/>
      <c r="B47" s="2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s="9" customFormat="1" ht="12.75">
      <c r="A48" s="21"/>
      <c r="B48" s="2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s="9" customFormat="1" ht="12.75" customHeight="1">
      <c r="A49" s="21"/>
      <c r="B49" s="2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s="9" customFormat="1" ht="12.75">
      <c r="A50" s="21"/>
      <c r="B50" s="2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s="9" customFormat="1" ht="12.75">
      <c r="A51" s="21"/>
      <c r="B51" s="2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s="9" customFormat="1" ht="12.75" customHeight="1">
      <c r="A52" s="21"/>
      <c r="B52" s="21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s="9" customFormat="1" ht="12.75">
      <c r="A53" s="21"/>
      <c r="B53" s="21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s="9" customFormat="1" ht="12.75">
      <c r="A54" s="21"/>
      <c r="B54" s="21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s="9" customFormat="1" ht="12.75" customHeight="1">
      <c r="A55" s="21"/>
      <c r="B55" s="21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s="9" customFormat="1" ht="12.75">
      <c r="A56" s="21"/>
      <c r="B56" s="21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s="9" customFormat="1" ht="12.75">
      <c r="A57" s="21"/>
      <c r="B57" s="21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s="9" customFormat="1" ht="12.75" customHeight="1">
      <c r="A58" s="21"/>
      <c r="B58" s="21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s="9" customFormat="1" ht="12.75">
      <c r="A59" s="21"/>
      <c r="B59" s="21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s="9" customFormat="1" ht="12.75">
      <c r="A60" s="21"/>
      <c r="B60" s="21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s="9" customFormat="1" ht="12.75" customHeight="1">
      <c r="A61" s="21"/>
      <c r="B61" s="21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s="9" customFormat="1" ht="12.75">
      <c r="A62" s="21"/>
      <c r="B62" s="21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s="9" customFormat="1" ht="12.75">
      <c r="A63" s="21"/>
      <c r="B63" s="21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s="9" customFormat="1" ht="12.75">
      <c r="A64" s="21"/>
      <c r="B64" s="21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s="9" customFormat="1" ht="12.75" customHeight="1">
      <c r="A65" s="21"/>
      <c r="B65" s="21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s="9" customFormat="1" ht="12.75">
      <c r="A66" s="21"/>
      <c r="B66" s="21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s="9" customFormat="1" ht="12.75">
      <c r="A67" s="21"/>
      <c r="B67" s="2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s="9" customFormat="1" ht="12.75" customHeight="1">
      <c r="A68" s="21"/>
      <c r="B68" s="2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s="9" customFormat="1" ht="12.75">
      <c r="A69" s="21"/>
      <c r="B69" s="2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s="10" customFormat="1" ht="12" customHeight="1"/>
    <row r="71" spans="1:40" s="10" customFormat="1" ht="15">
      <c r="A71" s="11" t="s">
        <v>31</v>
      </c>
      <c r="B71" s="12"/>
      <c r="C71" s="12"/>
      <c r="D71" s="12"/>
      <c r="E71" s="12"/>
      <c r="F71" s="12"/>
      <c r="G71" s="12"/>
      <c r="H71" s="12"/>
      <c r="I71" s="12"/>
      <c r="K71" s="12"/>
      <c r="L71" s="12"/>
      <c r="M71" s="13"/>
      <c r="N71" s="13"/>
      <c r="O71" s="12" t="s">
        <v>37</v>
      </c>
    </row>
    <row r="72" spans="1:40" s="10" customFormat="1" ht="15">
      <c r="A72" s="12"/>
      <c r="B72" s="12"/>
      <c r="C72" s="12"/>
      <c r="D72" s="12"/>
      <c r="E72" s="12"/>
      <c r="F72" s="12"/>
      <c r="G72" s="12"/>
      <c r="H72" s="12"/>
      <c r="I72" s="12"/>
      <c r="K72" s="12"/>
      <c r="L72" s="12"/>
      <c r="M72" s="13"/>
      <c r="N72" s="13"/>
      <c r="O72" s="12"/>
    </row>
    <row r="73" spans="1:40" s="10" customFormat="1" ht="15">
      <c r="A73" s="12" t="s">
        <v>1</v>
      </c>
      <c r="B73" s="12"/>
      <c r="C73" s="12"/>
      <c r="D73" s="12"/>
      <c r="E73" s="12"/>
      <c r="F73" s="12"/>
      <c r="G73" s="12"/>
      <c r="H73" s="12"/>
      <c r="I73" s="12"/>
      <c r="K73" s="12"/>
      <c r="L73" s="12"/>
      <c r="M73" s="13"/>
      <c r="N73" s="13"/>
      <c r="O73" s="12" t="s">
        <v>1</v>
      </c>
    </row>
  </sheetData>
  <mergeCells count="5">
    <mergeCell ref="A1:AN1"/>
    <mergeCell ref="A2:AN2"/>
    <mergeCell ref="A3:AN3"/>
    <mergeCell ref="A4:A5"/>
    <mergeCell ref="B4:B5"/>
  </mergeCells>
  <phoneticPr fontId="5" type="noConversion"/>
  <conditionalFormatting sqref="C5:AN5">
    <cfRule type="containsText" dxfId="8" priority="1" operator="containsText" text="S">
      <formula>NOT(ISERROR(SEARCH("S",C5)))</formula>
    </cfRule>
  </conditionalFormatting>
  <conditionalFormatting sqref="C6:AN69">
    <cfRule type="containsText" dxfId="7" priority="2" operator="containsText" text="D4">
      <formula>NOT(ISERROR(SEARCH("D4",C6)))</formula>
    </cfRule>
    <cfRule type="containsText" dxfId="6" priority="3" operator="containsText" text="D8">
      <formula>NOT(ISERROR(SEARCH("D8",C6)))</formula>
    </cfRule>
    <cfRule type="containsText" dxfId="5" priority="4" operator="containsText" text="N4">
      <formula>NOT(ISERROR(SEARCH("N4",C6)))</formula>
    </cfRule>
    <cfRule type="containsText" dxfId="4" priority="5" operator="containsText" text="N8">
      <formula>NOT(ISERROR(SEARCH("N8",C6)))</formula>
    </cfRule>
    <cfRule type="containsText" dxfId="3" priority="6" operator="containsText" text="N12">
      <formula>NOT(ISERROR(SEARCH("N12",C6)))</formula>
    </cfRule>
    <cfRule type="containsText" dxfId="2" priority="7" operator="containsText" text="M4">
      <formula>NOT(ISERROR(SEARCH("M4",C6)))</formula>
    </cfRule>
    <cfRule type="containsText" dxfId="1" priority="8" operator="containsText" text="M8">
      <formula>NOT(ISERROR(SEARCH("M8",C6)))</formula>
    </cfRule>
    <cfRule type="containsText" dxfId="0" priority="9" operator="containsText" text="M12">
      <formula>NOT(ISERROR(SEARCH("M12",C6)))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0B559CE015844A5ACFE3C604F191A" ma:contentTypeVersion="21" ma:contentTypeDescription="Create a new document." ma:contentTypeScope="" ma:versionID="672cfc2074841ae0791abef8a215d487">
  <xsd:schema xmlns:xsd="http://www.w3.org/2001/XMLSchema" xmlns:xs="http://www.w3.org/2001/XMLSchema" xmlns:p="http://schemas.microsoft.com/office/2006/metadata/properties" xmlns:ns2="d579e6ce-049d-4121-b529-586ba35ddabb" xmlns:ns3="978f814b-53c3-4a59-8936-db03967adbf8" xmlns:ns4="ef406d6b-70e0-427c-b08d-4edfc77771aa" targetNamespace="http://schemas.microsoft.com/office/2006/metadata/properties" ma:root="true" ma:fieldsID="ecd664585d15206a1fb2d9098365b440" ns2:_="" ns3:_="" ns4:_="">
    <xsd:import namespace="d579e6ce-049d-4121-b529-586ba35ddabb"/>
    <xsd:import namespace="978f814b-53c3-4a59-8936-db03967adbf8"/>
    <xsd:import namespace="ef406d6b-70e0-427c-b08d-4edfc7777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9e6ce-049d-4121-b529-586ba35dd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2f792e8-4dad-42c1-ad63-44982727bf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f814b-53c3-4a59-8936-db03967ad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06d6b-70e0-427c-b08d-4edfc77771aa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332dcef-cf15-42ea-8edc-ebe163a524e8}" ma:internalName="TaxCatchAll" ma:showField="CatchAllData" ma:web="978f814b-53c3-4a59-8936-db03967ad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5bd5ffd0d7f68b13ec4f6f677be58787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7510b1d9a5ba5c9f55a6b194411e8c21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034578-CD67-43D9-971B-03F486D90C64}">
  <ds:schemaRefs>
    <ds:schemaRef ds:uri="http://schemas.microsoft.com/office/2006/metadata/properties"/>
    <ds:schemaRef ds:uri="http://schemas.microsoft.com/office/infopath/2007/PartnerControls"/>
    <ds:schemaRef ds:uri="ef406d6b-70e0-427c-b08d-4edfc77771aa"/>
    <ds:schemaRef ds:uri="67cf2754-ad85-4353-a961-4439d114286b"/>
    <ds:schemaRef ds:uri="d579e6ce-049d-4121-b529-586ba35ddabb"/>
  </ds:schemaRefs>
</ds:datastoreItem>
</file>

<file path=customXml/itemProps2.xml><?xml version="1.0" encoding="utf-8"?>
<ds:datastoreItem xmlns:ds="http://schemas.openxmlformats.org/officeDocument/2006/customXml" ds:itemID="{8811A2A9-C5F7-4F9E-B409-BBCE53C2A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9e6ce-049d-4121-b529-586ba35ddabb"/>
    <ds:schemaRef ds:uri="978f814b-53c3-4a59-8936-db03967adbf8"/>
    <ds:schemaRef ds:uri="ef406d6b-70e0-427c-b08d-4edfc77771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C22755-87E8-4CB8-93E2-F985D2A3D1E4}"/>
</file>

<file path=customXml/itemProps4.xml><?xml version="1.0" encoding="utf-8"?>
<ds:datastoreItem xmlns:ds="http://schemas.openxmlformats.org/officeDocument/2006/customXml" ds:itemID="{3CEBBD87-2090-4D5E-B575-DC377F1AF4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Instruction</vt:lpstr>
      <vt:lpstr>Shift Arrangement  Henkel</vt:lpstr>
      <vt:lpstr> Outsourcing Daily Worhing Hrs</vt:lpstr>
      <vt:lpstr>'Shift Arrangement  Henkel'!Print_Area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</dc:creator>
  <cp:lastModifiedBy>Zhang, Zhenjuan</cp:lastModifiedBy>
  <cp:lastPrinted>2018-12-14T08:24:08Z</cp:lastPrinted>
  <dcterms:created xsi:type="dcterms:W3CDTF">2014-06-24T18:36:55Z</dcterms:created>
  <dcterms:modified xsi:type="dcterms:W3CDTF">2024-07-16T03:44:35Z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  <property fmtid="{D5CDD505-2E9C-101B-9397-08002B2CF9AE}" pid="3" name="ContentTypeId">
    <vt:lpwstr>0x01010092A6694D2AC78A48A7C8E53FEF04F831</vt:lpwstr>
  </property>
  <property fmtid="{D5CDD505-2E9C-101B-9397-08002B2CF9AE}" pid="4" name="MediaServiceImageTags">
    <vt:lpwstr/>
  </property>
</Properties>
</file>